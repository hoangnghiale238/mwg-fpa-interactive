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opdown\outputs\mwg_fpa_project\"/>
    </mc:Choice>
  </mc:AlternateContent>
  <xr:revisionPtr revIDLastSave="0" documentId="13_ncr:1_{BC9BA0F8-304B-4073-8F6C-7127DC325D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_Read_Me" sheetId="1" r:id="rId1"/>
    <sheet name="01_Raw_Actual" sheetId="2" r:id="rId2"/>
    <sheet name="02_Raw_Budget" sheetId="3" r:id="rId3"/>
    <sheet name="03_Master_Data" sheetId="4" r:id="rId4"/>
    <sheet name="04_Account_Mapping" sheetId="5" r:id="rId5"/>
    <sheet name="05_Monthly_P&amp;L" sheetId="6" r:id="rId6"/>
    <sheet name="05A_YoY_Analysis" sheetId="7" r:id="rId7"/>
    <sheet name="06_Variance_Analysis" sheetId="8" r:id="rId8"/>
    <sheet name="07_Rolling_Forecast" sheetId="9" r:id="rId9"/>
    <sheet name="07A_Forecast_Variance" sheetId="10" r:id="rId10"/>
    <sheet name="08_Working_Capital" sheetId="11" r:id="rId11"/>
    <sheet name="09_Management_Dashboard" sheetId="12" r:id="rId12"/>
    <sheet name="10_Checks" sheetId="13" r:id="rId13"/>
    <sheet name="11_Sources" sheetId="14" r:id="rId14"/>
    <sheet name="12_Pivot_Source" sheetId="15" r:id="rId15"/>
    <sheet name="13_Query_M_Code" sheetId="16" r:id="rId16"/>
    <sheet name="14_Formula_Guide" sheetId="17" r:id="rId17"/>
    <sheet name="15_Practice_Lab" sheetId="18" r:id="rId18"/>
    <sheet name="16_Answer_Key" sheetId="19" r:id="rId19"/>
  </sheets>
  <calcPr calcId="191029"/>
  <pivotCaches>
    <pivotCache cacheId="6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9" l="1"/>
  <c r="C10" i="19"/>
  <c r="C9" i="19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K6" i="3"/>
  <c r="J6" i="3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K6" i="2"/>
  <c r="J6" i="2"/>
  <c r="C22" i="19"/>
  <c r="C21" i="19"/>
  <c r="C20" i="19"/>
  <c r="C19" i="19"/>
  <c r="C17" i="19"/>
  <c r="C14" i="19"/>
  <c r="C16" i="19" s="1"/>
  <c r="C12" i="19"/>
  <c r="C13" i="19" s="1"/>
  <c r="C8" i="19"/>
  <c r="C23" i="19" s="1"/>
  <c r="C7" i="19"/>
  <c r="C6" i="19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C21" i="13"/>
  <c r="C20" i="13"/>
  <c r="C19" i="13"/>
  <c r="C18" i="13"/>
  <c r="C17" i="13"/>
  <c r="B17" i="13"/>
  <c r="D16" i="13"/>
  <c r="F16" i="13" s="1"/>
  <c r="D15" i="13"/>
  <c r="F15" i="13" s="1"/>
  <c r="C14" i="13"/>
  <c r="C13" i="13"/>
  <c r="B13" i="13"/>
  <c r="C12" i="13"/>
  <c r="C11" i="13"/>
  <c r="C10" i="13"/>
  <c r="C9" i="13"/>
  <c r="C8" i="13"/>
  <c r="C7" i="13"/>
  <c r="C6" i="13"/>
  <c r="O42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18" i="12"/>
  <c r="E10" i="12"/>
  <c r="A10" i="12"/>
  <c r="B17" i="11"/>
  <c r="C16" i="11"/>
  <c r="D14" i="11"/>
  <c r="C14" i="11"/>
  <c r="B14" i="11"/>
  <c r="D13" i="11"/>
  <c r="C13" i="11"/>
  <c r="B13" i="11"/>
  <c r="D12" i="11"/>
  <c r="C12" i="11"/>
  <c r="C15" i="11" s="1"/>
  <c r="B12" i="11"/>
  <c r="C11" i="11"/>
  <c r="B14" i="13" s="1"/>
  <c r="B11" i="11"/>
  <c r="C17" i="11" s="1"/>
  <c r="M26" i="10"/>
  <c r="M25" i="10"/>
  <c r="M24" i="10"/>
  <c r="M23" i="10"/>
  <c r="C23" i="10"/>
  <c r="B21" i="13" s="1"/>
  <c r="D21" i="13" s="1"/>
  <c r="F21" i="13" s="1"/>
  <c r="M22" i="10"/>
  <c r="C22" i="10"/>
  <c r="M21" i="10"/>
  <c r="M20" i="10"/>
  <c r="C20" i="10"/>
  <c r="M19" i="10"/>
  <c r="C19" i="10"/>
  <c r="M18" i="10"/>
  <c r="M17" i="10"/>
  <c r="M16" i="10"/>
  <c r="C16" i="10"/>
  <c r="M15" i="10"/>
  <c r="B3" i="10"/>
  <c r="C30" i="9"/>
  <c r="O25" i="12" s="1"/>
  <c r="H26" i="9"/>
  <c r="C24" i="9"/>
  <c r="H23" i="9"/>
  <c r="I16" i="9"/>
  <c r="H16" i="9"/>
  <c r="H20" i="9" s="1"/>
  <c r="G16" i="9"/>
  <c r="G25" i="9" s="1"/>
  <c r="F16" i="9"/>
  <c r="F26" i="9" s="1"/>
  <c r="E16" i="9"/>
  <c r="E25" i="9" s="1"/>
  <c r="D16" i="9"/>
  <c r="D24" i="9" s="1"/>
  <c r="C16" i="9"/>
  <c r="C26" i="9" s="1"/>
  <c r="B9" i="9"/>
  <c r="B11" i="9" s="1"/>
  <c r="C23" i="8"/>
  <c r="B23" i="8"/>
  <c r="O21" i="12" s="1"/>
  <c r="C22" i="8"/>
  <c r="P20" i="12" s="1"/>
  <c r="B22" i="8"/>
  <c r="O20" i="12" s="1"/>
  <c r="C21" i="8"/>
  <c r="P19" i="12" s="1"/>
  <c r="B21" i="8"/>
  <c r="C20" i="8"/>
  <c r="B20" i="8"/>
  <c r="O18" i="12" s="1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B14" i="7"/>
  <c r="B19" i="13" s="1"/>
  <c r="D19" i="13" s="1"/>
  <c r="F19" i="13" s="1"/>
  <c r="B13" i="7"/>
  <c r="B11" i="7"/>
  <c r="B10" i="7"/>
  <c r="B7" i="7"/>
  <c r="N36" i="6"/>
  <c r="M36" i="6"/>
  <c r="L36" i="6"/>
  <c r="L53" i="6" s="1"/>
  <c r="K36" i="6"/>
  <c r="J36" i="6"/>
  <c r="I36" i="6"/>
  <c r="H36" i="6"/>
  <c r="G36" i="6"/>
  <c r="F36" i="6"/>
  <c r="E36" i="6"/>
  <c r="D36" i="6"/>
  <c r="C36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N50" i="6" s="1"/>
  <c r="M33" i="6"/>
  <c r="L33" i="6"/>
  <c r="K33" i="6"/>
  <c r="J33" i="6"/>
  <c r="I33" i="6"/>
  <c r="H33" i="6"/>
  <c r="G33" i="6"/>
  <c r="F33" i="6"/>
  <c r="F50" i="6" s="1"/>
  <c r="E33" i="6"/>
  <c r="D33" i="6"/>
  <c r="D50" i="6" s="1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N48" i="6" s="1"/>
  <c r="M31" i="6"/>
  <c r="L31" i="6"/>
  <c r="L48" i="6" s="1"/>
  <c r="K31" i="6"/>
  <c r="J31" i="6"/>
  <c r="I31" i="6"/>
  <c r="H31" i="6"/>
  <c r="G31" i="6"/>
  <c r="F31" i="6"/>
  <c r="E31" i="6"/>
  <c r="D31" i="6"/>
  <c r="C31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5" i="6"/>
  <c r="M25" i="6"/>
  <c r="L25" i="6"/>
  <c r="K25" i="6"/>
  <c r="K26" i="6" s="1"/>
  <c r="K27" i="6" s="1"/>
  <c r="J25" i="6"/>
  <c r="I25" i="6"/>
  <c r="H25" i="6"/>
  <c r="G25" i="6"/>
  <c r="F25" i="6"/>
  <c r="E25" i="6"/>
  <c r="D25" i="6"/>
  <c r="C25" i="6"/>
  <c r="N24" i="6"/>
  <c r="M24" i="6"/>
  <c r="P13" i="12" s="1"/>
  <c r="L24" i="6"/>
  <c r="P12" i="12" s="1"/>
  <c r="K24" i="6"/>
  <c r="P11" i="12" s="1"/>
  <c r="J24" i="6"/>
  <c r="P10" i="12" s="1"/>
  <c r="I24" i="6"/>
  <c r="H24" i="6"/>
  <c r="P8" i="12" s="1"/>
  <c r="G24" i="6"/>
  <c r="P7" i="12" s="1"/>
  <c r="F24" i="6"/>
  <c r="E24" i="6"/>
  <c r="P5" i="12" s="1"/>
  <c r="D24" i="6"/>
  <c r="P4" i="12" s="1"/>
  <c r="C24" i="6"/>
  <c r="P3" i="12" s="1"/>
  <c r="N19" i="6"/>
  <c r="M19" i="6"/>
  <c r="L19" i="6"/>
  <c r="K19" i="6"/>
  <c r="K53" i="6" s="1"/>
  <c r="J19" i="6"/>
  <c r="J53" i="6" s="1"/>
  <c r="I19" i="6"/>
  <c r="H19" i="6"/>
  <c r="H53" i="6" s="1"/>
  <c r="G19" i="6"/>
  <c r="F19" i="6"/>
  <c r="E19" i="6"/>
  <c r="D19" i="6"/>
  <c r="C19" i="6"/>
  <c r="C53" i="6" s="1"/>
  <c r="N17" i="6"/>
  <c r="N51" i="6" s="1"/>
  <c r="M17" i="6"/>
  <c r="L17" i="6"/>
  <c r="K17" i="6"/>
  <c r="J17" i="6"/>
  <c r="I17" i="6"/>
  <c r="H17" i="6"/>
  <c r="G17" i="6"/>
  <c r="F17" i="6"/>
  <c r="F51" i="6" s="1"/>
  <c r="E17" i="6"/>
  <c r="D17" i="6"/>
  <c r="D51" i="6" s="1"/>
  <c r="C17" i="6"/>
  <c r="N16" i="6"/>
  <c r="M16" i="6"/>
  <c r="L16" i="6"/>
  <c r="K16" i="6"/>
  <c r="K50" i="6" s="1"/>
  <c r="J16" i="6"/>
  <c r="J50" i="6" s="1"/>
  <c r="I16" i="6"/>
  <c r="H16" i="6"/>
  <c r="H50" i="6" s="1"/>
  <c r="G16" i="6"/>
  <c r="F16" i="6"/>
  <c r="E16" i="6"/>
  <c r="D16" i="6"/>
  <c r="C16" i="6"/>
  <c r="C50" i="6" s="1"/>
  <c r="N15" i="6"/>
  <c r="M15" i="6"/>
  <c r="L15" i="6"/>
  <c r="L49" i="6" s="1"/>
  <c r="K15" i="6"/>
  <c r="J15" i="6"/>
  <c r="I15" i="6"/>
  <c r="H15" i="6"/>
  <c r="G15" i="6"/>
  <c r="G49" i="6" s="1"/>
  <c r="F15" i="6"/>
  <c r="F49" i="6" s="1"/>
  <c r="E15" i="6"/>
  <c r="D15" i="6"/>
  <c r="D49" i="6" s="1"/>
  <c r="C15" i="6"/>
  <c r="N14" i="6"/>
  <c r="M14" i="6"/>
  <c r="L14" i="6"/>
  <c r="K14" i="6"/>
  <c r="K48" i="6" s="1"/>
  <c r="J14" i="6"/>
  <c r="J48" i="6" s="1"/>
  <c r="I14" i="6"/>
  <c r="H14" i="6"/>
  <c r="H48" i="6" s="1"/>
  <c r="G14" i="6"/>
  <c r="F14" i="6"/>
  <c r="E14" i="6"/>
  <c r="D14" i="6"/>
  <c r="C14" i="6"/>
  <c r="C48" i="6" s="1"/>
  <c r="N12" i="6"/>
  <c r="M12" i="6"/>
  <c r="M46" i="6" s="1"/>
  <c r="L12" i="6"/>
  <c r="L46" i="6" s="1"/>
  <c r="K12" i="6"/>
  <c r="J12" i="6"/>
  <c r="I12" i="6"/>
  <c r="H12" i="6"/>
  <c r="G12" i="6"/>
  <c r="G46" i="6" s="1"/>
  <c r="F12" i="6"/>
  <c r="F46" i="6" s="1"/>
  <c r="E12" i="6"/>
  <c r="D12" i="6"/>
  <c r="D46" i="6" s="1"/>
  <c r="C12" i="6"/>
  <c r="N11" i="6"/>
  <c r="M11" i="6"/>
  <c r="L11" i="6"/>
  <c r="K11" i="6"/>
  <c r="J11" i="6"/>
  <c r="I11" i="6"/>
  <c r="H11" i="6"/>
  <c r="H45" i="6" s="1"/>
  <c r="G11" i="6"/>
  <c r="G45" i="6" s="1"/>
  <c r="F11" i="6"/>
  <c r="E11" i="6"/>
  <c r="D11" i="6"/>
  <c r="C11" i="6"/>
  <c r="N8" i="6"/>
  <c r="M8" i="6"/>
  <c r="L8" i="6"/>
  <c r="K8" i="6"/>
  <c r="J8" i="6"/>
  <c r="J42" i="6" s="1"/>
  <c r="I8" i="6"/>
  <c r="H8" i="6"/>
  <c r="G8" i="6"/>
  <c r="G42" i="6" s="1"/>
  <c r="F8" i="6"/>
  <c r="E8" i="6"/>
  <c r="E9" i="6" s="1"/>
  <c r="E13" i="6" s="1"/>
  <c r="D8" i="6"/>
  <c r="C8" i="6"/>
  <c r="N7" i="6"/>
  <c r="O14" i="12" s="1"/>
  <c r="M7" i="6"/>
  <c r="O13" i="12" s="1"/>
  <c r="L7" i="6"/>
  <c r="K7" i="6"/>
  <c r="O11" i="12" s="1"/>
  <c r="J7" i="6"/>
  <c r="I7" i="6"/>
  <c r="O9" i="12" s="1"/>
  <c r="H7" i="6"/>
  <c r="O8" i="12" s="1"/>
  <c r="G7" i="6"/>
  <c r="F7" i="6"/>
  <c r="O6" i="12" s="1"/>
  <c r="E7" i="6"/>
  <c r="O5" i="12" s="1"/>
  <c r="D7" i="6"/>
  <c r="C7" i="6"/>
  <c r="O3" i="12" s="1"/>
  <c r="F26" i="4"/>
  <c r="B24" i="4"/>
  <c r="E41" i="6" l="1"/>
  <c r="D14" i="13"/>
  <c r="F14" i="13" s="1"/>
  <c r="H49" i="6"/>
  <c r="D53" i="6"/>
  <c r="G26" i="9"/>
  <c r="L18" i="10"/>
  <c r="M45" i="6"/>
  <c r="I46" i="6"/>
  <c r="E48" i="6"/>
  <c r="M48" i="6"/>
  <c r="E50" i="6"/>
  <c r="M50" i="6"/>
  <c r="I51" i="6"/>
  <c r="E53" i="6"/>
  <c r="M53" i="6"/>
  <c r="I50" i="6"/>
  <c r="E20" i="9"/>
  <c r="G41" i="6"/>
  <c r="C42" i="6"/>
  <c r="K42" i="6"/>
  <c r="F20" i="9"/>
  <c r="D13" i="13"/>
  <c r="F13" i="13" s="1"/>
  <c r="G20" i="9"/>
  <c r="B15" i="11"/>
  <c r="E3" i="18"/>
  <c r="H42" i="6"/>
  <c r="H9" i="6"/>
  <c r="H13" i="6" s="1"/>
  <c r="K46" i="6"/>
  <c r="G48" i="6"/>
  <c r="C49" i="6"/>
  <c r="K49" i="6"/>
  <c r="G50" i="6"/>
  <c r="O17" i="6"/>
  <c r="K51" i="6"/>
  <c r="G53" i="6"/>
  <c r="C26" i="6"/>
  <c r="C27" i="6" s="1"/>
  <c r="L51" i="6"/>
  <c r="K41" i="6"/>
  <c r="H21" i="9"/>
  <c r="F25" i="9"/>
  <c r="L19" i="10"/>
  <c r="B16" i="11"/>
  <c r="D23" i="9"/>
  <c r="H25" i="9"/>
  <c r="D15" i="11"/>
  <c r="C15" i="19"/>
  <c r="D25" i="9"/>
  <c r="F45" i="6"/>
  <c r="N45" i="6"/>
  <c r="J46" i="6"/>
  <c r="J49" i="6"/>
  <c r="J51" i="6"/>
  <c r="F53" i="6"/>
  <c r="N53" i="6"/>
  <c r="O36" i="6"/>
  <c r="D22" i="8"/>
  <c r="F22" i="8" s="1"/>
  <c r="D21" i="9"/>
  <c r="I9" i="6"/>
  <c r="I10" i="6" s="1"/>
  <c r="H26" i="6"/>
  <c r="H27" i="6" s="1"/>
  <c r="O32" i="6"/>
  <c r="M41" i="6"/>
  <c r="J9" i="6"/>
  <c r="J43" i="6" s="1"/>
  <c r="K9" i="6"/>
  <c r="K10" i="6" s="1"/>
  <c r="K44" i="6" s="1"/>
  <c r="I45" i="6"/>
  <c r="E46" i="6"/>
  <c r="I48" i="6"/>
  <c r="E49" i="6"/>
  <c r="M49" i="6"/>
  <c r="E51" i="6"/>
  <c r="M51" i="6"/>
  <c r="I53" i="6"/>
  <c r="I42" i="6"/>
  <c r="M26" i="6"/>
  <c r="M27" i="6" s="1"/>
  <c r="J45" i="6"/>
  <c r="N49" i="6"/>
  <c r="N41" i="6"/>
  <c r="H17" i="9"/>
  <c r="H18" i="9" s="1"/>
  <c r="H19" i="9" s="1"/>
  <c r="F23" i="9"/>
  <c r="L16" i="10"/>
  <c r="D17" i="13"/>
  <c r="F17" i="13" s="1"/>
  <c r="J26" i="6"/>
  <c r="J30" i="6" s="1"/>
  <c r="J35" i="6" s="1"/>
  <c r="J37" i="6" s="1"/>
  <c r="K30" i="6"/>
  <c r="K35" i="6" s="1"/>
  <c r="K37" i="6" s="1"/>
  <c r="O33" i="6"/>
  <c r="O34" i="6"/>
  <c r="D20" i="9"/>
  <c r="G23" i="9"/>
  <c r="D26" i="9"/>
  <c r="L20" i="10"/>
  <c r="H30" i="6"/>
  <c r="H35" i="6" s="1"/>
  <c r="H37" i="6" s="1"/>
  <c r="E42" i="6"/>
  <c r="M42" i="6"/>
  <c r="D45" i="6"/>
  <c r="L45" i="6"/>
  <c r="H46" i="6"/>
  <c r="D48" i="6"/>
  <c r="H51" i="6"/>
  <c r="O25" i="6"/>
  <c r="L42" i="6"/>
  <c r="E45" i="6"/>
  <c r="I49" i="6"/>
  <c r="J10" i="6"/>
  <c r="J13" i="6"/>
  <c r="E18" i="6"/>
  <c r="H47" i="6"/>
  <c r="L26" i="6"/>
  <c r="I23" i="9"/>
  <c r="L21" i="10"/>
  <c r="I25" i="9"/>
  <c r="I17" i="9"/>
  <c r="I24" i="9"/>
  <c r="I18" i="9"/>
  <c r="I26" i="9"/>
  <c r="I20" i="9"/>
  <c r="I21" i="9"/>
  <c r="H18" i="6"/>
  <c r="P9" i="12"/>
  <c r="I26" i="6"/>
  <c r="I43" i="6" s="1"/>
  <c r="O7" i="12"/>
  <c r="G9" i="6"/>
  <c r="O7" i="6"/>
  <c r="O28" i="6"/>
  <c r="C10" i="8" s="1"/>
  <c r="P21" i="12"/>
  <c r="D23" i="8"/>
  <c r="O15" i="6"/>
  <c r="F17" i="9"/>
  <c r="F18" i="9" s="1"/>
  <c r="D17" i="9"/>
  <c r="D18" i="9" s="1"/>
  <c r="K43" i="6"/>
  <c r="F48" i="6"/>
  <c r="L50" i="6"/>
  <c r="G51" i="6"/>
  <c r="D26" i="6"/>
  <c r="B18" i="13"/>
  <c r="D18" i="13" s="1"/>
  <c r="F18" i="13" s="1"/>
  <c r="B8" i="7"/>
  <c r="C17" i="10"/>
  <c r="B20" i="13"/>
  <c r="D20" i="13" s="1"/>
  <c r="F20" i="13" s="1"/>
  <c r="F42" i="6"/>
  <c r="F9" i="6"/>
  <c r="N42" i="6"/>
  <c r="N9" i="6"/>
  <c r="M9" i="6"/>
  <c r="O14" i="6"/>
  <c r="P6" i="12"/>
  <c r="F26" i="6"/>
  <c r="P14" i="12"/>
  <c r="N26" i="6"/>
  <c r="E26" i="6"/>
  <c r="E43" i="6" s="1"/>
  <c r="O29" i="6"/>
  <c r="C11" i="8" s="1"/>
  <c r="H43" i="6"/>
  <c r="E10" i="6"/>
  <c r="O19" i="6"/>
  <c r="O53" i="6" s="1"/>
  <c r="H10" i="6"/>
  <c r="H44" i="6" s="1"/>
  <c r="L16" i="9"/>
  <c r="F10" i="12"/>
  <c r="N16" i="9"/>
  <c r="M16" i="9"/>
  <c r="K16" i="9"/>
  <c r="J16" i="9"/>
  <c r="D42" i="6"/>
  <c r="O11" i="6"/>
  <c r="C51" i="6"/>
  <c r="O10" i="12"/>
  <c r="J41" i="6"/>
  <c r="C46" i="6"/>
  <c r="O12" i="6"/>
  <c r="D41" i="6"/>
  <c r="O4" i="12"/>
  <c r="D9" i="6"/>
  <c r="L41" i="6"/>
  <c r="O12" i="12"/>
  <c r="L9" i="6"/>
  <c r="O8" i="6"/>
  <c r="O42" i="6" s="1"/>
  <c r="O24" i="6"/>
  <c r="G26" i="6"/>
  <c r="J27" i="6"/>
  <c r="C9" i="6"/>
  <c r="C45" i="6"/>
  <c r="K45" i="6"/>
  <c r="N46" i="6"/>
  <c r="O16" i="6"/>
  <c r="O50" i="6" s="1"/>
  <c r="O31" i="6"/>
  <c r="C41" i="6"/>
  <c r="F41" i="6"/>
  <c r="C21" i="9"/>
  <c r="C25" i="9"/>
  <c r="C17" i="9"/>
  <c r="C20" i="9"/>
  <c r="L15" i="10"/>
  <c r="C23" i="9"/>
  <c r="D20" i="8"/>
  <c r="H41" i="6"/>
  <c r="L17" i="10"/>
  <c r="E23" i="9"/>
  <c r="E26" i="9"/>
  <c r="E21" i="9"/>
  <c r="D30" i="9"/>
  <c r="A7" i="10"/>
  <c r="B10" i="13"/>
  <c r="D10" i="13" s="1"/>
  <c r="F10" i="13" s="1"/>
  <c r="B11" i="13"/>
  <c r="D11" i="13" s="1"/>
  <c r="F11" i="13" s="1"/>
  <c r="I41" i="6"/>
  <c r="E17" i="9"/>
  <c r="E18" i="9" s="1"/>
  <c r="E24" i="9"/>
  <c r="D21" i="8"/>
  <c r="O19" i="12"/>
  <c r="F24" i="9"/>
  <c r="F21" i="9"/>
  <c r="G24" i="9"/>
  <c r="G21" i="9"/>
  <c r="H24" i="9"/>
  <c r="G17" i="9"/>
  <c r="G18" i="9" s="1"/>
  <c r="E22" i="8" l="1"/>
  <c r="I13" i="6"/>
  <c r="I18" i="6" s="1"/>
  <c r="H22" i="9"/>
  <c r="H27" i="9" s="1"/>
  <c r="K13" i="6"/>
  <c r="O51" i="6"/>
  <c r="O49" i="6"/>
  <c r="M30" i="6"/>
  <c r="M35" i="6" s="1"/>
  <c r="M37" i="6" s="1"/>
  <c r="C30" i="6"/>
  <c r="C35" i="6" s="1"/>
  <c r="E19" i="9"/>
  <c r="E22" i="9"/>
  <c r="E27" i="9" s="1"/>
  <c r="C43" i="6"/>
  <c r="C13" i="6"/>
  <c r="O9" i="6"/>
  <c r="C10" i="6"/>
  <c r="C44" i="6" s="1"/>
  <c r="F23" i="8"/>
  <c r="E23" i="8"/>
  <c r="K21" i="9"/>
  <c r="K25" i="9"/>
  <c r="K17" i="9"/>
  <c r="K18" i="9" s="1"/>
  <c r="K20" i="9"/>
  <c r="L23" i="10"/>
  <c r="K23" i="9"/>
  <c r="K26" i="9"/>
  <c r="K24" i="9"/>
  <c r="N30" i="6"/>
  <c r="N35" i="6" s="1"/>
  <c r="N37" i="6" s="1"/>
  <c r="N27" i="6"/>
  <c r="F10" i="6"/>
  <c r="F43" i="6"/>
  <c r="F13" i="6"/>
  <c r="J44" i="6"/>
  <c r="G27" i="6"/>
  <c r="G30" i="6"/>
  <c r="G35" i="6" s="1"/>
  <c r="G37" i="6" s="1"/>
  <c r="L26" i="10"/>
  <c r="N26" i="9"/>
  <c r="N21" i="9"/>
  <c r="N24" i="9"/>
  <c r="N20" i="9"/>
  <c r="N23" i="9"/>
  <c r="N17" i="9"/>
  <c r="N18" i="9" s="1"/>
  <c r="N25" i="9"/>
  <c r="F30" i="6"/>
  <c r="F35" i="6" s="1"/>
  <c r="F37" i="6" s="1"/>
  <c r="F27" i="6"/>
  <c r="K47" i="6"/>
  <c r="K18" i="6"/>
  <c r="A5" i="12"/>
  <c r="O40" i="12"/>
  <c r="C11" i="19"/>
  <c r="B6" i="13"/>
  <c r="D6" i="13" s="1"/>
  <c r="F6" i="13" s="1"/>
  <c r="B7" i="8"/>
  <c r="O41" i="6"/>
  <c r="C7" i="7"/>
  <c r="D7" i="7" s="1"/>
  <c r="E7" i="7" s="1"/>
  <c r="A18" i="7" s="1"/>
  <c r="L27" i="6"/>
  <c r="L30" i="6"/>
  <c r="L35" i="6" s="1"/>
  <c r="L37" i="6" s="1"/>
  <c r="F22" i="9"/>
  <c r="F27" i="9" s="1"/>
  <c r="F19" i="9"/>
  <c r="O16" i="9"/>
  <c r="B10" i="8"/>
  <c r="D10" i="8" s="1"/>
  <c r="C10" i="7"/>
  <c r="O45" i="6"/>
  <c r="C21" i="10"/>
  <c r="C18" i="10"/>
  <c r="G43" i="6"/>
  <c r="G10" i="6"/>
  <c r="G44" i="6" s="1"/>
  <c r="G13" i="6"/>
  <c r="C7" i="10"/>
  <c r="B8" i="13"/>
  <c r="D8" i="13" s="1"/>
  <c r="F8" i="13" s="1"/>
  <c r="C7" i="8"/>
  <c r="L24" i="9"/>
  <c r="L24" i="10"/>
  <c r="L20" i="9"/>
  <c r="L23" i="9"/>
  <c r="L26" i="9"/>
  <c r="L25" i="9"/>
  <c r="L21" i="9"/>
  <c r="L17" i="9"/>
  <c r="L18" i="9" s="1"/>
  <c r="O48" i="6"/>
  <c r="B9" i="7"/>
  <c r="B12" i="7"/>
  <c r="D22" i="9"/>
  <c r="D27" i="9" s="1"/>
  <c r="D19" i="9"/>
  <c r="I19" i="9"/>
  <c r="I22" i="9"/>
  <c r="I27" i="9" s="1"/>
  <c r="C18" i="9"/>
  <c r="C11" i="7"/>
  <c r="D11" i="7" s="1"/>
  <c r="E11" i="7" s="1"/>
  <c r="B11" i="8"/>
  <c r="D11" i="8" s="1"/>
  <c r="O46" i="6"/>
  <c r="H28" i="9"/>
  <c r="H29" i="9" s="1"/>
  <c r="M43" i="6"/>
  <c r="M13" i="6"/>
  <c r="M10" i="6"/>
  <c r="M44" i="6" s="1"/>
  <c r="I27" i="6"/>
  <c r="I44" i="6" s="1"/>
  <c r="I30" i="6"/>
  <c r="I35" i="6" s="1"/>
  <c r="I37" i="6" s="1"/>
  <c r="E20" i="6"/>
  <c r="L43" i="6"/>
  <c r="L13" i="6"/>
  <c r="L10" i="6"/>
  <c r="N43" i="6"/>
  <c r="N13" i="6"/>
  <c r="N10" i="6"/>
  <c r="D27" i="6"/>
  <c r="D30" i="6"/>
  <c r="D35" i="6" s="1"/>
  <c r="D37" i="6" s="1"/>
  <c r="O26" i="6"/>
  <c r="O26" i="12"/>
  <c r="E30" i="9"/>
  <c r="J26" i="9"/>
  <c r="L22" i="10"/>
  <c r="J25" i="9"/>
  <c r="J17" i="9"/>
  <c r="J20" i="9"/>
  <c r="J21" i="9"/>
  <c r="O21" i="9" s="1"/>
  <c r="B20" i="10" s="1"/>
  <c r="D20" i="10" s="1"/>
  <c r="J23" i="9"/>
  <c r="J24" i="9"/>
  <c r="E27" i="6"/>
  <c r="E44" i="6" s="1"/>
  <c r="E30" i="6"/>
  <c r="H20" i="6"/>
  <c r="H54" i="6" s="1"/>
  <c r="H52" i="6"/>
  <c r="J18" i="6"/>
  <c r="J47" i="6"/>
  <c r="G19" i="9"/>
  <c r="G22" i="9"/>
  <c r="G27" i="9" s="1"/>
  <c r="F21" i="8"/>
  <c r="E21" i="8"/>
  <c r="F20" i="8"/>
  <c r="E20" i="8"/>
  <c r="D10" i="6"/>
  <c r="D44" i="6" s="1"/>
  <c r="D13" i="6"/>
  <c r="D43" i="6"/>
  <c r="M23" i="9"/>
  <c r="M26" i="9"/>
  <c r="M21" i="9"/>
  <c r="M20" i="9"/>
  <c r="L25" i="10"/>
  <c r="M24" i="9"/>
  <c r="M17" i="9"/>
  <c r="M18" i="9" s="1"/>
  <c r="M25" i="9"/>
  <c r="O17" i="9" l="1"/>
  <c r="D7" i="11" s="1"/>
  <c r="D9" i="11" s="1"/>
  <c r="O24" i="9"/>
  <c r="O20" i="9"/>
  <c r="B19" i="10" s="1"/>
  <c r="D19" i="10" s="1"/>
  <c r="O25" i="9"/>
  <c r="J18" i="9"/>
  <c r="O26" i="9"/>
  <c r="O23" i="9"/>
  <c r="F20" i="10"/>
  <c r="E20" i="10"/>
  <c r="E19" i="10"/>
  <c r="F19" i="10"/>
  <c r="K19" i="9"/>
  <c r="K22" i="9"/>
  <c r="K27" i="9" s="1"/>
  <c r="D47" i="6"/>
  <c r="D18" i="6"/>
  <c r="E11" i="8"/>
  <c r="F11" i="8"/>
  <c r="C47" i="6"/>
  <c r="O13" i="6"/>
  <c r="C18" i="6"/>
  <c r="N47" i="6"/>
  <c r="N18" i="6"/>
  <c r="L19" i="9"/>
  <c r="L22" i="9"/>
  <c r="L27" i="9" s="1"/>
  <c r="G28" i="9"/>
  <c r="G29" i="9" s="1"/>
  <c r="F30" i="9"/>
  <c r="O27" i="12"/>
  <c r="N22" i="9"/>
  <c r="N27" i="9" s="1"/>
  <c r="N19" i="9"/>
  <c r="C37" i="6"/>
  <c r="B16" i="10"/>
  <c r="D16" i="10" s="1"/>
  <c r="D6" i="11"/>
  <c r="D8" i="11" s="1"/>
  <c r="B35" i="9"/>
  <c r="D7" i="8"/>
  <c r="I28" i="9"/>
  <c r="I29" i="9" s="1"/>
  <c r="I47" i="6"/>
  <c r="E28" i="9"/>
  <c r="E29" i="9" s="1"/>
  <c r="J22" i="9"/>
  <c r="J27" i="9" s="1"/>
  <c r="J19" i="9"/>
  <c r="D28" i="9"/>
  <c r="D29" i="9" s="1"/>
  <c r="K52" i="6"/>
  <c r="K20" i="6"/>
  <c r="K54" i="6" s="1"/>
  <c r="F47" i="6"/>
  <c r="F18" i="6"/>
  <c r="D10" i="7"/>
  <c r="E10" i="7" s="1"/>
  <c r="G18" i="7"/>
  <c r="B8" i="8"/>
  <c r="C8" i="7"/>
  <c r="D8" i="7" s="1"/>
  <c r="E8" i="7" s="1"/>
  <c r="O10" i="6"/>
  <c r="O43" i="6"/>
  <c r="O30" i="6"/>
  <c r="C12" i="8" s="1"/>
  <c r="L44" i="6"/>
  <c r="C22" i="9"/>
  <c r="C19" i="9"/>
  <c r="O18" i="9"/>
  <c r="E10" i="8"/>
  <c r="F10" i="8"/>
  <c r="F44" i="6"/>
  <c r="M19" i="9"/>
  <c r="M22" i="9"/>
  <c r="M27" i="9" s="1"/>
  <c r="J52" i="6"/>
  <c r="J20" i="6"/>
  <c r="J54" i="6" s="1"/>
  <c r="C8" i="8"/>
  <c r="O27" i="6"/>
  <c r="C9" i="8" s="1"/>
  <c r="L47" i="6"/>
  <c r="L18" i="6"/>
  <c r="M47" i="6"/>
  <c r="M18" i="6"/>
  <c r="G18" i="6"/>
  <c r="G47" i="6"/>
  <c r="E35" i="6"/>
  <c r="O35" i="6" s="1"/>
  <c r="C13" i="8" s="1"/>
  <c r="E47" i="6"/>
  <c r="N44" i="6"/>
  <c r="I52" i="6"/>
  <c r="I20" i="6"/>
  <c r="I54" i="6" s="1"/>
  <c r="F28" i="9"/>
  <c r="F29" i="9" s="1"/>
  <c r="D10" i="11" l="1"/>
  <c r="D8" i="8"/>
  <c r="F8" i="8" s="1"/>
  <c r="D11" i="11"/>
  <c r="B17" i="10"/>
  <c r="D17" i="10" s="1"/>
  <c r="O19" i="9"/>
  <c r="B18" i="10" s="1"/>
  <c r="F7" i="8"/>
  <c r="E7" i="8"/>
  <c r="D5" i="12" s="1"/>
  <c r="N52" i="6"/>
  <c r="N20" i="6"/>
  <c r="N54" i="6" s="1"/>
  <c r="B10" i="12"/>
  <c r="B37" i="9"/>
  <c r="B12" i="13"/>
  <c r="D12" i="13" s="1"/>
  <c r="F12" i="13" s="1"/>
  <c r="O22" i="9"/>
  <c r="B21" i="10" s="1"/>
  <c r="D21" i="10" s="1"/>
  <c r="C27" i="9"/>
  <c r="J28" i="9"/>
  <c r="J29" i="9" s="1"/>
  <c r="M28" i="9"/>
  <c r="M29" i="9" s="1"/>
  <c r="O28" i="12"/>
  <c r="G30" i="9"/>
  <c r="O47" i="6"/>
  <c r="B12" i="8"/>
  <c r="D12" i="8" s="1"/>
  <c r="C12" i="7"/>
  <c r="D12" i="7" s="1"/>
  <c r="E12" i="7" s="1"/>
  <c r="E37" i="6"/>
  <c r="E54" i="6" s="1"/>
  <c r="E52" i="6"/>
  <c r="N28" i="9"/>
  <c r="N29" i="9" s="1"/>
  <c r="L52" i="6"/>
  <c r="L20" i="6"/>
  <c r="L54" i="6" s="1"/>
  <c r="D52" i="6"/>
  <c r="D20" i="6"/>
  <c r="D54" i="6" s="1"/>
  <c r="K28" i="9"/>
  <c r="K29" i="9" s="1"/>
  <c r="G20" i="6"/>
  <c r="G54" i="6" s="1"/>
  <c r="G52" i="6"/>
  <c r="D16" i="11"/>
  <c r="D17" i="11"/>
  <c r="C52" i="6"/>
  <c r="O18" i="6"/>
  <c r="C20" i="6"/>
  <c r="M52" i="6"/>
  <c r="M20" i="6"/>
  <c r="M54" i="6" s="1"/>
  <c r="F20" i="6"/>
  <c r="F54" i="6" s="1"/>
  <c r="F52" i="6"/>
  <c r="F16" i="10"/>
  <c r="E7" i="10"/>
  <c r="E16" i="10"/>
  <c r="O44" i="6"/>
  <c r="C9" i="7"/>
  <c r="B9" i="8"/>
  <c r="D9" i="8" s="1"/>
  <c r="L28" i="9"/>
  <c r="L29" i="9"/>
  <c r="E8" i="8" l="1"/>
  <c r="C54" i="6"/>
  <c r="O20" i="6"/>
  <c r="O37" i="6"/>
  <c r="F21" i="10"/>
  <c r="E21" i="10"/>
  <c r="D18" i="10"/>
  <c r="F18" i="10" s="1"/>
  <c r="E18" i="10"/>
  <c r="E9" i="7"/>
  <c r="D9" i="7"/>
  <c r="E18" i="7" s="1"/>
  <c r="O43" i="12"/>
  <c r="C10" i="12"/>
  <c r="C13" i="7"/>
  <c r="D13" i="7" s="1"/>
  <c r="E13" i="7" s="1"/>
  <c r="O52" i="6"/>
  <c r="B13" i="8"/>
  <c r="D13" i="8" s="1"/>
  <c r="F12" i="8"/>
  <c r="E12" i="8"/>
  <c r="C28" i="9"/>
  <c r="O28" i="9" s="1"/>
  <c r="O27" i="9"/>
  <c r="B22" i="10" s="1"/>
  <c r="D22" i="10" s="1"/>
  <c r="F9" i="8"/>
  <c r="E9" i="8"/>
  <c r="O29" i="12"/>
  <c r="H30" i="9"/>
  <c r="E17" i="10"/>
  <c r="F17" i="10"/>
  <c r="O30" i="12" l="1"/>
  <c r="I30" i="9"/>
  <c r="F13" i="8"/>
  <c r="E13" i="8"/>
  <c r="F22" i="10"/>
  <c r="E22" i="10"/>
  <c r="C14" i="8"/>
  <c r="B9" i="13"/>
  <c r="D9" i="13" s="1"/>
  <c r="F9" i="13" s="1"/>
  <c r="G5" i="12"/>
  <c r="O41" i="12"/>
  <c r="O54" i="6"/>
  <c r="B14" i="8"/>
  <c r="B7" i="13"/>
  <c r="D7" i="13" s="1"/>
  <c r="F7" i="13" s="1"/>
  <c r="C14" i="7"/>
  <c r="D14" i="7" s="1"/>
  <c r="E14" i="7" s="1"/>
  <c r="C18" i="7" s="1"/>
  <c r="C29" i="9"/>
  <c r="O29" i="9" s="1"/>
  <c r="B23" i="10" l="1"/>
  <c r="D23" i="10" s="1"/>
  <c r="B38" i="9"/>
  <c r="B32" i="1"/>
  <c r="B31" i="1"/>
  <c r="B2" i="13"/>
  <c r="B30" i="1" s="1"/>
  <c r="C24" i="19"/>
  <c r="D14" i="8"/>
  <c r="J30" i="9"/>
  <c r="O31" i="12"/>
  <c r="O32" i="12" l="1"/>
  <c r="K30" i="9"/>
  <c r="F14" i="8"/>
  <c r="E14" i="8"/>
  <c r="J5" i="12" s="1"/>
  <c r="E23" i="10"/>
  <c r="F23" i="10"/>
  <c r="G7" i="10"/>
  <c r="O33" i="12" l="1"/>
  <c r="L30" i="9"/>
  <c r="O34" i="12" l="1"/>
  <c r="M30" i="9"/>
  <c r="N30" i="9" l="1"/>
  <c r="O35" i="12"/>
  <c r="O36" i="12" l="1"/>
  <c r="O3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CFA8D1-0A7A-417E-87F3-4D85D8B4DC3B}" name="Query - qAccount_Map" description="Power Query connection for qAccount_Map" type="5" refreshedVersion="0" background="1">
    <dbPr connection="Provider=Microsoft.Mashup.OleDb.1;Data Source=$Workbook$;Location=qAccount_Map;Extended Properties=&quot;&quot;" command="SELECT * FROM [qAccount_Map]"/>
  </connection>
  <connection id="2" xr16:uid="{495F9653-ED54-4FBC-8C8E-2BCAF1B625AE}" name="Query - qActual_Clean" description="Power Query connection for qActual_Clean" type="5" refreshedVersion="0" background="1">
    <dbPr connection="Provider=Microsoft.Mashup.OleDb.1;Data Source=$Workbook$;Location=qActual_Clean;Extended Properties=&quot;&quot;" command="SELECT * FROM [qActual_Clean]"/>
  </connection>
  <connection id="3" xr16:uid="{E48C4F8B-2BC5-47FA-8C3A-E2F80F1A9AB0}" name="Query - qActual_Mapped" description="Power Query connection for qActual_Mapped" type="5" refreshedVersion="0" background="1">
    <dbPr connection="Provider=Microsoft.Mashup.OleDb.1;Data Source=$Workbook$;Location=qActual_Mapped;Extended Properties=&quot;&quot;" command="SELECT * FROM [qActual_Mapped]"/>
  </connection>
  <connection id="4" xr16:uid="{143153CA-E8F5-4687-8DB9-AB1A36856AD2}" name="Query - qBudget_Clean" description="Power Query connection for qBudget_Clean" type="5" refreshedVersion="0" background="1">
    <dbPr connection="Provider=Microsoft.Mashup.OleDb.1;Data Source=$Workbook$;Location=qBudget_Clean;Extended Properties=&quot;&quot;" command="SELECT * FROM [qBudget_Clean]"/>
  </connection>
  <connection id="5" xr16:uid="{3600AE26-EDA6-4F0B-865A-36F3D84E76E8}" name="Query - qCombined_Actual_Budget" description="Power Query connection for qCombined_Actual_Budget" type="5" refreshedVersion="0" background="1">
    <dbPr connection="Provider=Microsoft.Mashup.OleDb.1;Data Source=$Workbook$;Location=qCombined_Actual_Budget;Extended Properties=&quot;&quot;" command="SELECT * FROM [qCombined_Actual_Budget]"/>
  </connection>
</connections>
</file>

<file path=xl/sharedStrings.xml><?xml version="1.0" encoding="utf-8"?>
<sst xmlns="http://schemas.openxmlformats.org/spreadsheetml/2006/main" count="11633" uniqueCount="843">
  <si>
    <t>MWG FP&amp;A Showcase — Monthly Reporting, Variance &amp; Rolling Forecast</t>
  </si>
  <si>
    <t>CV work sample | FY2024/FY2025 actuals tie to audited filings; Budget and Forecast are analyst-prepared and clearly labelled.</t>
  </si>
  <si>
    <t>Workbook purpose and scope</t>
  </si>
  <si>
    <t>Purpose</t>
  </si>
  <si>
    <t>Demonstrate Excel / FP&amp;A skills using public MWG disclosures: monthly reporting, budget variance, forecast, working capital, dashboard and controls.</t>
  </si>
  <si>
    <t>Core management question</t>
  </si>
  <si>
    <t>Did FY2025 beat plan, which business units drove the variance, and what H2 growth is required for FY2026 guidance?</t>
  </si>
  <si>
    <t>Actual period</t>
  </si>
  <si>
    <t>FY2024 and FY2025 actual P&amp;L; 6M2026 reported revenue.</t>
  </si>
  <si>
    <t>Budget period</t>
  </si>
  <si>
    <t>FY2025 and FY2026 analyst-prepared monthly budgets calibrated to MWG official revenue and PAT targets.</t>
  </si>
  <si>
    <t>Forecast period</t>
  </si>
  <si>
    <t>FY2026 rolling forecast as of Jun-2026 with Base / Bull / Bear scenario selector.</t>
  </si>
  <si>
    <t>Units</t>
  </si>
  <si>
    <t>VND bn unless stated otherwise.</t>
  </si>
  <si>
    <t>Data limitation</t>
  </si>
  <si>
    <t>MWG does not publish a monthly cost-center ledger or segment P&amp;L. Quarterly expenses are allocated to months and BUs by revenue; do not present allocated BU margins as company-reported.</t>
  </si>
  <si>
    <t>Refresh layer</t>
  </si>
  <si>
    <t>Queries reference workbook input tables; outputs remain formula-driven even if Power Query is not refreshed.</t>
  </si>
  <si>
    <t>Owner / version</t>
  </si>
  <si>
    <t>Le Hoang Nghia | v1.2 | 28 Jul 2026</t>
  </si>
  <si>
    <t>How to use</t>
  </si>
  <si>
    <t>1) Refresh or replace the two raw input tables.  2) Review account and BU mappings.  3) Read Monthly P&amp;L, YoY Analysis and Variance Analysis.  4) Change the scenario in Rolling Forecast cell B3.  5) Review Forecast vs Budget and working-capital assumptions.  6) Confirm MODEL STATUS = PASS before sharing.  7) Use the PivotTable on Variance Analysis to filter Revenue / Opex by BU and version.</t>
  </si>
  <si>
    <t>Financial-model color legend</t>
  </si>
  <si>
    <t>Blue font</t>
  </si>
  <si>
    <t>Editable assumptions / scenario inputs</t>
  </si>
  <si>
    <t>Green font</t>
  </si>
  <si>
    <t>Formula linked to another worksheet</t>
  </si>
  <si>
    <t>Black font</t>
  </si>
  <si>
    <t>Formula or calculation on the same worksheet</t>
  </si>
  <si>
    <t>Yellow fill</t>
  </si>
  <si>
    <t>Key assumption / limitation requiring attention</t>
  </si>
  <si>
    <t>Green or red fill</t>
  </si>
  <si>
    <t>Control status or favorable / unfavorable output</t>
  </si>
  <si>
    <t>Model status</t>
  </si>
  <si>
    <t>MODEL STATUS</t>
  </si>
  <si>
    <t>Checks passed</t>
  </si>
  <si>
    <t>Checks failed</t>
  </si>
  <si>
    <t>Learning mode (optional; does not affect the core model)</t>
  </si>
  <si>
    <t>Use 14_Formula_Guide to understand the logic and formula patterns used across the workbook. Then complete the blue/yellow formula cells in 15_Practice_Lab and use the automatic status column to check your work. Open 16_Answer_Key only after attempting the exercises. Practice formulas are isolated and do not feed the management reports or model checks.</t>
  </si>
  <si>
    <t>Actual input table — FY2024/FY2025 audited P&amp;L and 6M2026 reported revenue</t>
  </si>
  <si>
    <t>Green formula columns use XLOOKUP against 04_Account_Mapping. Input values are intentionally separate from report outputs.</t>
  </si>
  <si>
    <t>Period</t>
  </si>
  <si>
    <t>Year</t>
  </si>
  <si>
    <t>Month</t>
  </si>
  <si>
    <t>BusinessUnit</t>
  </si>
  <si>
    <t>CostCenter</t>
  </si>
  <si>
    <t>AccountCode</t>
  </si>
  <si>
    <t>Amount_VNDm</t>
  </si>
  <si>
    <t>EvidenceClass</t>
  </si>
  <si>
    <t>SourceID</t>
  </si>
  <si>
    <t>MappedCategory</t>
  </si>
  <si>
    <t>CostNature</t>
  </si>
  <si>
    <t>Group</t>
  </si>
  <si>
    <t>CC_GROUP</t>
  </si>
  <si>
    <t>REV</t>
  </si>
  <si>
    <t>Reported monthly revenue; scaled to audited FY2024 revenue</t>
  </si>
  <si>
    <t>SRC-005</t>
  </si>
  <si>
    <t>COGS</t>
  </si>
  <si>
    <t>Audited FY2024 account allocated monthly by reported revenue</t>
  </si>
  <si>
    <t>SELL</t>
  </si>
  <si>
    <t>GA</t>
  </si>
  <si>
    <t>FIN_INC</t>
  </si>
  <si>
    <t>FIN_EXP</t>
  </si>
  <si>
    <t>JV</t>
  </si>
  <si>
    <t>OTHER</t>
  </si>
  <si>
    <t>TAX</t>
  </si>
  <si>
    <t>TGDĐ</t>
  </si>
  <si>
    <t>CC_TECH</t>
  </si>
  <si>
    <t>Reported revenue / audited quarter tie</t>
  </si>
  <si>
    <t>SRC-001</t>
  </si>
  <si>
    <t>Audited quarter allocated by revenue</t>
  </si>
  <si>
    <t>ĐMX</t>
  </si>
  <si>
    <t>BHX</t>
  </si>
  <si>
    <t>CC_GROCERY</t>
  </si>
  <si>
    <t>Other</t>
  </si>
  <si>
    <t>CC_NEWVENTURES</t>
  </si>
  <si>
    <t>SRC-002</t>
  </si>
  <si>
    <t>SRC-003</t>
  </si>
  <si>
    <t>SRC-004</t>
  </si>
  <si>
    <t>Reported 2M cumulative; Jan/Feb split 50/50</t>
  </si>
  <si>
    <t>SRC-007</t>
  </si>
  <si>
    <t>Reported cumulative revenue; monthly delta</t>
  </si>
  <si>
    <t>Budget input table — analyst prepared and calibrated to FY2025/FY2026 official targets</t>
  </si>
  <si>
    <t>Analyst-prepared monthly budget calibrated to official FY2025 revenue/PAT plan</t>
  </si>
  <si>
    <t>SRC-008</t>
  </si>
  <si>
    <t>Analyst monthly phasing calibrated to official FY2026 revenue/PAT plan</t>
  </si>
  <si>
    <t>SRC-009</t>
  </si>
  <si>
    <t>Master Data, Scenario Drivers &amp; Refresh Control</t>
  </si>
  <si>
    <t>Blue cells are user-editable assumptions. Company targets remain separate from analyst assumptions.</t>
  </si>
  <si>
    <t>Business unit and cost-center master</t>
  </si>
  <si>
    <t>Description</t>
  </si>
  <si>
    <t>FY2025 actual mix</t>
  </si>
  <si>
    <t>thegioididong.com + TopZone</t>
  </si>
  <si>
    <t>Điện Máy Xanh</t>
  </si>
  <si>
    <t>Bách Hóa Xanh</t>
  </si>
  <si>
    <t>An Khang, AVAKids and other</t>
  </si>
  <si>
    <t>FY2024 consolidated allocation only</t>
  </si>
  <si>
    <t>FY2025 budget assumptions</t>
  </si>
  <si>
    <t>FY2026 plan / rolling forecast assumptions</t>
  </si>
  <si>
    <t>Driver</t>
  </si>
  <si>
    <t>Value</t>
  </si>
  <si>
    <t>Source / rationale</t>
  </si>
  <si>
    <t>Revenue target</t>
  </si>
  <si>
    <t>Official MWG FY2025 guidance</t>
  </si>
  <si>
    <t>Official MWG FY2026 guidance</t>
  </si>
  <si>
    <t>PAT target</t>
  </si>
  <si>
    <t>Selling expense / revenue</t>
  </si>
  <si>
    <t>Analyst assumption</t>
  </si>
  <si>
    <t>G&amp;A / revenue</t>
  </si>
  <si>
    <t>Finance income / revenue</t>
  </si>
  <si>
    <t>Finance expense / revenue</t>
  </si>
  <si>
    <t>JV profit / revenue</t>
  </si>
  <si>
    <t>Other net / revenue</t>
  </si>
  <si>
    <t>Tax rate</t>
  </si>
  <si>
    <t>Implied gross margin</t>
  </si>
  <si>
    <t>Solved to make budget PAT equal official target</t>
  </si>
  <si>
    <t>Bull / Bear spread</t>
  </si>
  <si>
    <t>±5ppt H2 growth</t>
  </si>
  <si>
    <t>As-of month</t>
  </si>
  <si>
    <t>Actual revenue through Jun-2026</t>
  </si>
  <si>
    <t>Solved to make plan PAT equal official target</t>
  </si>
  <si>
    <t>Power Query objects expected in Queries &amp; Connections</t>
  </si>
  <si>
    <t>Query</t>
  </si>
  <si>
    <t>Load type</t>
  </si>
  <si>
    <t>Status</t>
  </si>
  <si>
    <t>qActual_Clean</t>
  </si>
  <si>
    <t>Type and clean Actual input</t>
  </si>
  <si>
    <t>Connection only</t>
  </si>
  <si>
    <t>qBudget_Clean</t>
  </si>
  <si>
    <t>Type and clean Budget input</t>
  </si>
  <si>
    <t>qAccount_Map</t>
  </si>
  <si>
    <t>Type account mapping</t>
  </si>
  <si>
    <t>qActual_Mapped</t>
  </si>
  <si>
    <t>Merge Actual with mapping</t>
  </si>
  <si>
    <t>qCombined_Actual_Budget</t>
  </si>
  <si>
    <t>Append Actual and Budget</t>
  </si>
  <si>
    <t>Account Mapping</t>
  </si>
  <si>
    <t>This mapping is used by XLOOKUP on raw inputs and by Power Query merge logic.</t>
  </si>
  <si>
    <t>AccountName</t>
  </si>
  <si>
    <t>P&amp;L Category</t>
  </si>
  <si>
    <t>FavorableSign</t>
  </si>
  <si>
    <t>Variance rule</t>
  </si>
  <si>
    <t>Doanh thu thuần</t>
  </si>
  <si>
    <t>Revenue</t>
  </si>
  <si>
    <t>Income</t>
  </si>
  <si>
    <t>Higher is favorable</t>
  </si>
  <si>
    <t>Giá vốn hàng bán</t>
  </si>
  <si>
    <t>Expense</t>
  </si>
  <si>
    <t>Lower is favorable</t>
  </si>
  <si>
    <t>Chi phí bán hàng</t>
  </si>
  <si>
    <t>Selling Expense</t>
  </si>
  <si>
    <t>Chi phí quản lý doanh nghiệp</t>
  </si>
  <si>
    <t>G&amp;A</t>
  </si>
  <si>
    <t>Doanh thu tài chính</t>
  </si>
  <si>
    <t>Finance Income</t>
  </si>
  <si>
    <t>Chi phí tài chính</t>
  </si>
  <si>
    <t>Finance Expense</t>
  </si>
  <si>
    <t>Lãi/(lỗ) công ty liên doanh</t>
  </si>
  <si>
    <t>JV Profit/(Loss)</t>
  </si>
  <si>
    <t>Thu nhập/(chi phí) khác thuần</t>
  </si>
  <si>
    <t>Other Net</t>
  </si>
  <si>
    <t>Thuế TNDN</t>
  </si>
  <si>
    <t>Tax Expense</t>
  </si>
  <si>
    <t>Monthly P&amp;L — FY2025 Actual vs Budget</t>
  </si>
  <si>
    <t>Actual quarterly totals tie to consolidated filings. Monthly and BU expense allocations use revenue weights because MWG does not disclose a monthly cost-center ledger.</t>
  </si>
  <si>
    <t>Code</t>
  </si>
  <si>
    <t>P&amp;L line</t>
  </si>
  <si>
    <t>FY2025</t>
  </si>
  <si>
    <t>ACTUAL</t>
  </si>
  <si>
    <t>Gross Profit</t>
  </si>
  <si>
    <t>Gross Margin</t>
  </si>
  <si>
    <t>Operating Profit</t>
  </si>
  <si>
    <t>Profit Before Tax</t>
  </si>
  <si>
    <t>PAT</t>
  </si>
  <si>
    <t>BUDGET</t>
  </si>
  <si>
    <t>VARIANCE — ACTUAL MINUS BUDGET</t>
  </si>
  <si>
    <t>Prior-Year Analysis — FY2025 Actual vs FY2024 Actual</t>
  </si>
  <si>
    <t>FY2024 annual P&amp;L ties to the audited filing. Monthly FY2024 costs are allocated by reported revenue solely to support trend analysis.</t>
  </si>
  <si>
    <t>Annual P&amp;L comparison</t>
  </si>
  <si>
    <t>FY2024A</t>
  </si>
  <si>
    <t>FY2025A</t>
  </si>
  <si>
    <t>Var VND bn / ppt</t>
  </si>
  <si>
    <t>YoY %</t>
  </si>
  <si>
    <t>Management interpretation</t>
  </si>
  <si>
    <t>Scale expanded; use store productivity and category demand to explain the increase.</t>
  </si>
  <si>
    <t>Gross profit rose despite a modest decline in gross margin.</t>
  </si>
  <si>
    <t>Mix and promotional intensity reduced margin versus FY2024.</t>
  </si>
  <si>
    <t>Selling-expense productivity was the largest source of operating leverage.</t>
  </si>
  <si>
    <t>G&amp;A grew faster than revenue; overhead discipline remains important.</t>
  </si>
  <si>
    <t>Operating leverage converted revenue growth into faster operating-profit growth.</t>
  </si>
  <si>
    <t>Operating improvement and finance income supported the PBT step-up.</t>
  </si>
  <si>
    <t>PAT growth materially exceeded revenue growth.</t>
  </si>
  <si>
    <t>Revenue growth</t>
  </si>
  <si>
    <t>PAT growth</t>
  </si>
  <si>
    <t>Gross-margin change</t>
  </si>
  <si>
    <t>Selling-expense ratio improvement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</si>
  <si>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</si>
  <si>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</si>
  <si>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</si>
  <si>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</si>
  <si>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</si>
  <si>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</si>
  <si>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</si>
  <si>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</si>
  <si>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</si>
  <si>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</si>
  <si>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</si>
  <si>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</si>
  <si>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Management takeaway: FY2025 revenue grew faster than the prior year while selling-expense intensity improved materially. Gross-margin compression and faster G&amp;A growth are the main items to monitor.</t>
  </si>
  <si>
    <t>Variance Analysis — FY2025 Actual vs Budget</t>
  </si>
  <si>
    <t>Favorable / unfavorable is based on account nature. A live PivotTable is placed at N4 after the workbook build.</t>
  </si>
  <si>
    <t>P&amp;L variance summary and management commentary</t>
  </si>
  <si>
    <t>Actual</t>
  </si>
  <si>
    <t>Budget</t>
  </si>
  <si>
    <t>Var VND bn</t>
  </si>
  <si>
    <t>Var %</t>
  </si>
  <si>
    <t>F/U</t>
  </si>
  <si>
    <t>Primary driver</t>
  </si>
  <si>
    <t>Business impact</t>
  </si>
  <si>
    <t>Recommended action</t>
  </si>
  <si>
    <t>Revenue exceeded plan, led by the core electronics chains and BHX.</t>
  </si>
  <si>
    <t>Higher gross profit and stronger fixed-cost absorption.</t>
  </si>
  <si>
    <t>Protect conversion and store productivity; validate BHX expansion returns.</t>
  </si>
  <si>
    <t>Volume growth offset part of the gross-margin shortfall.</t>
  </si>
  <si>
    <t>Gross profit remained above budget despite lower margin.</t>
  </si>
  <si>
    <t>Tighten category mix, markdown and supplier-funding reviews.</t>
  </si>
  <si>
    <t>Mix and promotional intensity kept margin below budget.</t>
  </si>
  <si>
    <t>Each 10bp of margin is material at MWG's revenue scale.</t>
  </si>
  <si>
    <t>Track weekly margin by category and promotion cohort.</t>
  </si>
  <si>
    <t>Selling-expense ratio was materially below the budget assumption.</t>
  </si>
  <si>
    <t>Largest operating-leverage contribution versus plan.</t>
  </si>
  <si>
    <t>Retain productivity gains without weakening service levels.</t>
  </si>
  <si>
    <t>G&amp;A ran above budget.</t>
  </si>
  <si>
    <t>Partly offset the selling-expense benefit.</t>
  </si>
  <si>
    <t>Set owner-level cost actions and monthly run-rate limits.</t>
  </si>
  <si>
    <t>Revenue growth and selling-cost leverage outweighed G&amp;A pressure.</t>
  </si>
  <si>
    <t>Operating profit finished above plan.</t>
  </si>
  <si>
    <t>Preserve margin and prevent overhead growth from re-accelerating.</t>
  </si>
  <si>
    <t>Operating performance and finance income supported the beat.</t>
  </si>
  <si>
    <t>Improved earnings capacity and liquidity headroom.</t>
  </si>
  <si>
    <t>Separate recurring operating improvement from financial-income effects.</t>
  </si>
  <si>
    <t>PAT materially exceeded the official plan.</t>
  </si>
  <si>
    <t>Provides room for reinvestment while preserving the annual target.</t>
  </si>
  <si>
    <t>Use the beat to fund high-return growth, not permanent cost expansion.</t>
  </si>
  <si>
    <t>Revenue variance by business unit</t>
  </si>
  <si>
    <t>Business Unit</t>
  </si>
  <si>
    <t>Interpretation: FY2025 beat both revenue and PAT plans. Revenue outperformance was concentrated in TGDĐ/ĐMX and BHX. Commentary is analyst-prepared from public disclosures and model variances, not management commentary.</t>
  </si>
  <si>
    <t>Rolling Forecast — FY2026 as of Jun-2026</t>
  </si>
  <si>
    <t>Reported revenue through Jun-2026 + scenario-based H2 forecast. Cost lines are analyst estimates, not reported 6M2026 actuals.</t>
  </si>
  <si>
    <t>Scenario</t>
  </si>
  <si>
    <t>Base</t>
  </si>
  <si>
    <t>Scenario assumptions</t>
  </si>
  <si>
    <t>FY2026 revenue target</t>
  </si>
  <si>
    <t>6M2026 reported revenue</t>
  </si>
  <si>
    <t>H2 2025 revenue</t>
  </si>
  <si>
    <t>Base H2 growth</t>
  </si>
  <si>
    <t>Selected H2 growth</t>
  </si>
  <si>
    <t>Forecast line</t>
  </si>
  <si>
    <t>FY2026F</t>
  </si>
  <si>
    <t>JV Profit</t>
  </si>
  <si>
    <t>PBT</t>
  </si>
  <si>
    <t>Cumulative Revenue</t>
  </si>
  <si>
    <t>Forecast output</t>
  </si>
  <si>
    <t>FY2026F revenue</t>
  </si>
  <si>
    <t>Revenue plan</t>
  </si>
  <si>
    <t>Achievement</t>
  </si>
  <si>
    <t>FY2026F PAT</t>
  </si>
  <si>
    <t>PAT plan</t>
  </si>
  <si>
    <t>FY2026 Forecast vs Budget</t>
  </si>
  <si>
    <t>Budget is analyst-phased to MWG's official FY2026 revenue and PAT targets. Forecast combines reported 6M2026 revenue with scenario-based H2 estimates.</t>
  </si>
  <si>
    <t>Selected scenario</t>
  </si>
  <si>
    <t>Forecast-to-budget summary</t>
  </si>
  <si>
    <t>6M revenue vs Budget</t>
  </si>
  <si>
    <t>H2 revenue vs Budget</t>
  </si>
  <si>
    <t>FY revenue variance</t>
  </si>
  <si>
    <t>FY PAT variance</t>
  </si>
  <si>
    <t>Full-year P&amp;L variance and decision commentary</t>
  </si>
  <si>
    <t>Forecast</t>
  </si>
  <si>
    <t>F/U/N</t>
  </si>
  <si>
    <t>Jan-26</t>
  </si>
  <si>
    <t>6M actual plus selected H2 scenario versus budget phasing.</t>
  </si>
  <si>
    <t>Determines whether annual guidance is met.</t>
  </si>
  <si>
    <t>Review H2 exit rate monthly and update the scenario when actuals arrive.</t>
  </si>
  <si>
    <t>Feb-26</t>
  </si>
  <si>
    <t>Revenue phasing and the gross-margin assumption drive gross profit.</t>
  </si>
  <si>
    <t>Gross-profit variance funds or constrains opex capacity.</t>
  </si>
  <si>
    <t>Refresh category mix and supplier-funding assumptions.</t>
  </si>
  <si>
    <t>Mar-26</t>
  </si>
  <si>
    <t>Plan and forecast currently share the same margin assumption.</t>
  </si>
  <si>
    <t>No annual margin variance appears until the assumption changes.</t>
  </si>
  <si>
    <t>Replace the assumption with reported margin evidence when available.</t>
  </si>
  <si>
    <t>Apr-26</t>
  </si>
  <si>
    <t>Selling expense scales with forecast revenue.</t>
  </si>
  <si>
    <t>Scenario changes flow directly into operating profit.</t>
  </si>
  <si>
    <t>Add owner-level opex inputs when internal data becomes available.</t>
  </si>
  <si>
    <t>May-26</t>
  </si>
  <si>
    <t>G&amp;A scales with forecast revenue.</t>
  </si>
  <si>
    <t>Higher growth can be diluted by overhead expansion.</t>
  </si>
  <si>
    <t>Set a fixed-versus-variable G&amp;A split for the next refresh.</t>
  </si>
  <si>
    <t>Jun-26</t>
  </si>
  <si>
    <t>Revenue scenario drives the annual operating-profit variance.</t>
  </si>
  <si>
    <t>Shows operating leverage under Bull and Bear cases.</t>
  </si>
  <si>
    <t>Use monthly run-rate thresholds for early escalation.</t>
  </si>
  <si>
    <t>Jul-26</t>
  </si>
  <si>
    <t>Operating result plus finance and JV assumptions drive PBT.</t>
  </si>
  <si>
    <t>Separates operating delivery from non-operating support.</t>
  </si>
  <si>
    <t>Track recurring versus non-recurring finance income.</t>
  </si>
  <si>
    <t>Aug-26</t>
  </si>
  <si>
    <t>Base is calibrated to official PAT guidance; Bull/Bear create variance.</t>
  </si>
  <si>
    <t>Provides a clear earnings range around management's target.</t>
  </si>
  <si>
    <t>Communicate the scenario, gap and corrective action together.</t>
  </si>
  <si>
    <t>Sep-26</t>
  </si>
  <si>
    <t>Oct-26</t>
  </si>
  <si>
    <t>Nov-26</t>
  </si>
  <si>
    <t>Dec-26</t>
  </si>
  <si>
    <t>Base-case annual revenue and PAT equal Budget by construction: H2 growth and P&amp;L assumptions are solved to MWG's official guidance. The monthly phasing still differs, and Bull/Bear scenarios create full-year variance.</t>
  </si>
  <si>
    <t>Working Capital &amp; Cash Conversion Cycle</t>
  </si>
  <si>
    <t>2024A/2025A balances are reported. 2026F uses revenue, COGS and explicit DSO/DIO/DPO assumptions.</t>
  </si>
  <si>
    <t>Metric</t>
  </si>
  <si>
    <t>FY2026F assumption</t>
  </si>
  <si>
    <t>DSO</t>
  </si>
  <si>
    <t>DIO</t>
  </si>
  <si>
    <t>Trade receivables</t>
  </si>
  <si>
    <t>DPO</t>
  </si>
  <si>
    <t>Inventory (net)</t>
  </si>
  <si>
    <t>Trade payables</t>
  </si>
  <si>
    <t>Net working capital</t>
  </si>
  <si>
    <t>Cash conversion cycle</t>
  </si>
  <si>
    <t>NWC / Revenue</t>
  </si>
  <si>
    <t>Change in NWC</t>
  </si>
  <si>
    <t>Definition: NWC = trade receivables + net inventory − trade payables. Retail receivables are structurally low; inventory and supplier terms dominate the cash conversion cycle. Forecast days are analyst assumptions.</t>
  </si>
  <si>
    <t>MWG Management Dashboard — FY2025 Review &amp; FY2026 Outlook</t>
  </si>
  <si>
    <t>Executive summary. All outputs are formula-linked; change the scenario on 07_Rolling_Forecast to update FY2026.</t>
  </si>
  <si>
    <t>Actual 2025</t>
  </si>
  <si>
    <t>Budget 2025</t>
  </si>
  <si>
    <t>FY2025 Revenue</t>
  </si>
  <si>
    <t>Revenue vs Budget</t>
  </si>
  <si>
    <t>FY2025 PAT</t>
  </si>
  <si>
    <t>PAT vs Budget</t>
  </si>
  <si>
    <t>FY2026 Scenario</t>
  </si>
  <si>
    <t>FY2026F Revenue</t>
  </si>
  <si>
    <t>Plan Achievement</t>
  </si>
  <si>
    <t>6M2026 Revenue</t>
  </si>
  <si>
    <t>% of Plan</t>
  </si>
  <si>
    <t>Required H2 Growth</t>
  </si>
  <si>
    <t>FY2026 Cum.</t>
  </si>
  <si>
    <t>Plan run-rate</t>
  </si>
  <si>
    <t>FY2025 Revenue vs Plan</t>
  </si>
  <si>
    <t>FY2025 PAT vs Plan</t>
  </si>
  <si>
    <t>6M2026 Revenue vs FY Plan</t>
  </si>
  <si>
    <t>FY2026F Revenue vs Plan</t>
  </si>
  <si>
    <t>Checks &amp; Controls</t>
  </si>
  <si>
    <t>Check</t>
  </si>
  <si>
    <t>Expected</t>
  </si>
  <si>
    <t>Difference</t>
  </si>
  <si>
    <t>Tolerance</t>
  </si>
  <si>
    <t>Where to fix</t>
  </si>
  <si>
    <t>Notes</t>
  </si>
  <si>
    <t>FY2025 revenue ties audited BCTC</t>
  </si>
  <si>
    <t>01_Raw_Actual</t>
  </si>
  <si>
    <t>Audited FY2025 BCTC</t>
  </si>
  <si>
    <t>FY2025 PAT ties audited BCTC</t>
  </si>
  <si>
    <t>FY2025 budget revenue ties guidance</t>
  </si>
  <si>
    <t>02_Raw_Budget</t>
  </si>
  <si>
    <t>Official target</t>
  </si>
  <si>
    <t>FY2025 budget PAT ties guidance</t>
  </si>
  <si>
    <t>Actual mapping completeness</t>
  </si>
  <si>
    <t>04_Account_Mapping</t>
  </si>
  <si>
    <t>No unmapped account</t>
  </si>
  <si>
    <t>Budget mapping completeness</t>
  </si>
  <si>
    <t>FY2026 Base revenue reaches plan</t>
  </si>
  <si>
    <t>07_Rolling_Forecast</t>
  </si>
  <si>
    <t>Passes in Base scenario</t>
  </si>
  <si>
    <t>FY2026 guidance PAT assumption</t>
  </si>
  <si>
    <t>03_Master_Data</t>
  </si>
  <si>
    <t>2025 NWC identity</t>
  </si>
  <si>
    <t>08_Working_Capital</t>
  </si>
  <si>
    <t>AR + Inventory - AP</t>
  </si>
  <si>
    <t>Power Query objects</t>
  </si>
  <si>
    <t>Updated after query creation</t>
  </si>
  <si>
    <t>PivotTable object</t>
  </si>
  <si>
    <t>06_Variance_Analysis</t>
  </si>
  <si>
    <t>Updated after PivotTable creation</t>
  </si>
  <si>
    <t>Source register populated</t>
  </si>
  <si>
    <t>11_Sources</t>
  </si>
  <si>
    <t>Minimum ten source rows</t>
  </si>
  <si>
    <t>FY2024 revenue ties audited BCTC</t>
  </si>
  <si>
    <t>Audited FY2024 BCTC</t>
  </si>
  <si>
    <t>FY2024 PAT ties audited BCTC</t>
  </si>
  <si>
    <t>FY2026 budget revenue ties guidance</t>
  </si>
  <si>
    <t>Official FY2026 target</t>
  </si>
  <si>
    <t>FY2026 budget PAT ties guidance</t>
  </si>
  <si>
    <t>Sources &amp; Audit Trail</t>
  </si>
  <si>
    <t>Full local paths and URLs are stored once here. Source dates and allocation limitations are explicit.</t>
  </si>
  <si>
    <t>Item</t>
  </si>
  <si>
    <t>Source Type</t>
  </si>
  <si>
    <t>Source Name</t>
  </si>
  <si>
    <t>Ref</t>
  </si>
  <si>
    <t>Local Path</t>
  </si>
  <si>
    <t>URL</t>
  </si>
  <si>
    <t>Q1 2025 consolidated P&amp;L</t>
  </si>
  <si>
    <t>VND bn</t>
  </si>
  <si>
    <t>3M2025</t>
  </si>
  <si>
    <t>Company filing</t>
  </si>
  <si>
    <t>MWG BCTC Hợp nhất Q1/2025</t>
  </si>
  <si>
    <t>P&amp;L page 5</t>
  </si>
  <si>
    <t>C:\topdown\FP&amp;A\Thêm\bs 2025 q1.pdf</t>
  </si>
  <si>
    <t>https://mwg.vn/bao-cao</t>
  </si>
  <si>
    <t>Actual Q1 totals</t>
  </si>
  <si>
    <t>H1 2025 consolidated P&amp;L</t>
  </si>
  <si>
    <t>6M2025</t>
  </si>
  <si>
    <t>MWG BCTC Hợp nhất Bán niên 2025</t>
  </si>
  <si>
    <t>P&amp;L page 7</t>
  </si>
  <si>
    <t>C:\topdown\FP&amp;A\2025\MWG_BCTC_Hop_Nhat_Ban_Nien_2025.pdf</t>
  </si>
  <si>
    <t>Reviewed by EY</t>
  </si>
  <si>
    <t>9M 2025 consolidated P&amp;L</t>
  </si>
  <si>
    <t>9M2025</t>
  </si>
  <si>
    <t>MWG BCTC Hợp nhất Q3/2025</t>
  </si>
  <si>
    <t>P&amp;L pages 5-6</t>
  </si>
  <si>
    <t>C:\topdown\FP&amp;A\2025\MWG_BCTC_Hop_Nhat_Q3_2025.pdf</t>
  </si>
  <si>
    <t>Actual 9M totals</t>
  </si>
  <si>
    <t>FY2025 consolidated P&amp;L and balance sheet</t>
  </si>
  <si>
    <t>MWG audited consolidated FS 2025</t>
  </si>
  <si>
    <t>BS/P&amp;L pages 5-7</t>
  </si>
  <si>
    <t>C:\topdown\FP&amp;A\2025\bs 2025.pdf</t>
  </si>
  <si>
    <t>Audited year-end actual</t>
  </si>
  <si>
    <t>FY2024 consolidated P&amp;L and balance sheet</t>
  </si>
  <si>
    <t>FY2024</t>
  </si>
  <si>
    <t>MWG audited consolidated FS 2024</t>
  </si>
  <si>
    <t>C:\topdown\FP&amp;A\2024\bs_2024 hopnhat.pdf</t>
  </si>
  <si>
    <t>Audited prior-year actual</t>
  </si>
  <si>
    <t>SRC-006</t>
  </si>
  <si>
    <t>Monthly cumulative revenue and mix</t>
  </si>
  <si>
    <t>VND bn / %</t>
  </si>
  <si>
    <t>2M-12M2025</t>
  </si>
  <si>
    <t>Company update</t>
  </si>
  <si>
    <t>MWG monthly business updates 2025</t>
  </si>
  <si>
    <t>Cover revenue chart</t>
  </si>
  <si>
    <t>C:\topdown\FP&amp;A\KQKD 2025</t>
  </si>
  <si>
    <t>Monthly deltas derived from cumulative values</t>
  </si>
  <si>
    <t>6M2026 reported revenue and mix</t>
  </si>
  <si>
    <t>2M-6M2026</t>
  </si>
  <si>
    <t>MWG monthly business updates 2026</t>
  </si>
  <si>
    <t>C:\topdown\FP&amp;A\KQKD 2026</t>
  </si>
  <si>
    <t>Jan/Feb split 50/50 because only 2M cumulative is published</t>
  </si>
  <si>
    <t>FY2025 revenue and PAT targets</t>
  </si>
  <si>
    <t>Company guidance</t>
  </si>
  <si>
    <t>MWG Định hướng kinh doanh 2025</t>
  </si>
  <si>
    <t>Target table</t>
  </si>
  <si>
    <t>C:\topdown\FP&amp;A\KQKD 2025\1afd6ca76c5da1a22766cb5c53a76e97.pdf</t>
  </si>
  <si>
    <t>Revenue 150,000; PAT 4,850</t>
  </si>
  <si>
    <t>FY2026 revenue, PAT and segment direction</t>
  </si>
  <si>
    <t>FY2026</t>
  </si>
  <si>
    <t>MWG Định hướng kinh doanh 2026</t>
  </si>
  <si>
    <t>Target and segment pages</t>
  </si>
  <si>
    <t>C:\topdown\FP&amp;A\KQKD 2026\3329b29508569abd63f80d72a4c26368.pdf</t>
  </si>
  <si>
    <t>Revenue 185,000; PAT 9,200</t>
  </si>
  <si>
    <t>SRC-010</t>
  </si>
  <si>
    <t>Analyst allocation method</t>
  </si>
  <si>
    <t>Method</t>
  </si>
  <si>
    <t>Model-wide</t>
  </si>
  <si>
    <t>FP&amp;A modelling convention</t>
  </si>
  <si>
    <t>Read_Me limitation</t>
  </si>
  <si>
    <t>Workbook logic</t>
  </si>
  <si>
    <t>Quarterly costs allocated by revenue; budget calibrated to guidance</t>
  </si>
  <si>
    <t>Version</t>
  </si>
  <si>
    <t>AccountCategory</t>
  </si>
  <si>
    <t>Power Query M Code — Audit Copy</t>
  </si>
  <si>
    <t>The live query objects are created in the workbook. This sheet keeps a readable audit copy of their logic.</t>
  </si>
  <si>
    <t>M Code</t>
  </si>
  <si>
    <t>Clean/type Actual table</t>
  </si>
  <si>
    <t>let Source = Excel.CurrentWorkbook(){[Name="tbl_Actual_Input"]}[Content], Typed = Table.TransformColumnTypes(Source,{{"Period", type date},{"Year", Int64.Type},{"Month", Int64.Type},{"Amount_VNDm", type number}}), Filtered = Table.SelectRows(Typed, each [AccountCode] &lt;&gt; null) in Filtered</t>
  </si>
  <si>
    <t>Clean/type Budget table</t>
  </si>
  <si>
    <t>let Source = Excel.CurrentWorkbook(){[Name="tbl_Budget_Input"]}[Content], Typed = Table.TransformColumnTypes(Source,{{"Period", type date},{"Year", Int64.Type},{"Month", Int64.Type},{"Amount_VNDm", type number}}), Filtered = Table.SelectRows(Typed, each [AccountCode] &lt;&gt; null) in Filtered</t>
  </si>
  <si>
    <t>Type account map</t>
  </si>
  <si>
    <t>let Source = Excel.CurrentWorkbook(){[Name="tbl_Account_Map"]}[Content], Typed = Table.TransformColumnTypes(Source,{{"AccountCode", type text},{"P&amp;L Category", type text},{"CostNature", type text}}) in Typed</t>
  </si>
  <si>
    <t>let A = qActual_Clean, M = qAccount_Map, Joined = Table.NestedJoin(A,{"AccountCode"},M,{"AccountCode"},"Map",JoinKind.LeftOuter), Expanded = Table.ExpandTableColumn(Joined,"Map",{"P&amp;L Category","CostNature"},{"PQ_Category","PQ_CostNature"}) in Expanded</t>
  </si>
  <si>
    <t>let A = Table.AddColumn(qActual_Clean,"Version",each "Actual"), B = Table.AddColumn(qBudget_Clean,"Version",each "Budget"), Combined = Table.Combine({A,B}) in Combined</t>
  </si>
  <si>
    <t>Hướng dẫn công thức và logic FP&amp;A</t>
  </si>
  <si>
    <t>Học theo mẫu công thức lặp lại trong workbook; không cần ghi nhớ từng ô riêng lẻ.</t>
  </si>
  <si>
    <t>Luồng tư duy của workbook</t>
  </si>
  <si>
    <t>1. Raw data</t>
  </si>
  <si>
    <t>2. Mapping</t>
  </si>
  <si>
    <t>3. Monthly P&amp;L</t>
  </si>
  <si>
    <t>4. Variance</t>
  </si>
  <si>
    <t>5. Forecast</t>
  </si>
  <si>
    <t>6. Working capital</t>
  </si>
  <si>
    <t>7. Dashboard &amp; Checks</t>
  </si>
  <si>
    <t>Actual/Budget theo tháng</t>
  </si>
  <si>
    <t>AccountCode → P&amp;L line</t>
  </si>
  <si>
    <t>SUMIFS tổng hợp</t>
  </si>
  <si>
    <t>Actual − Budget</t>
  </si>
  <si>
    <t>Actual YTD + phần còn lại</t>
  </si>
  <si>
    <t>AR + Inventory − AP</t>
  </si>
  <si>
    <t>KPI, chart và kiểm soát</t>
  </si>
  <si>
    <t>01/02</t>
  </si>
  <si>
    <t>04</t>
  </si>
  <si>
    <t>05</t>
  </si>
  <si>
    <t>06</t>
  </si>
  <si>
    <t>07</t>
  </si>
  <si>
    <t>08</t>
  </si>
  <si>
    <t>09/10</t>
  </si>
  <si>
    <t>Cách học hiệu quả</t>
  </si>
  <si>
    <t>Đọc cột “Ý nghĩa” trước, sau đó trace ví dụ tại sheet được ghi trong cột “Dùng ở đâu”. Tiếp theo sang 15_Practice_Lab, tự nhập công thức vào ô màu vàng/chữ xanh và chỉ mở 16_Answer_Key sau khi đã thử. Hãy luyện theo logic: xác định đầu vào → chọn hàm → khóa tham chiếu đúng → kiểm tra kết quả.</t>
  </si>
  <si>
    <t>Danh mục công thức và kỹ năng dùng trong bài</t>
  </si>
  <si>
    <t>Công thức / kỹ năng</t>
  </si>
  <si>
    <t>Ý nghĩa</t>
  </si>
  <si>
    <t>Mẫu cú pháp</t>
  </si>
  <si>
    <t>Ví dụ trong model</t>
  </si>
  <si>
    <t>Dùng ở đâu</t>
  </si>
  <si>
    <t>Lỗi hay gặp</t>
  </si>
  <si>
    <t>Bài tập</t>
  </si>
  <si>
    <t>Relative reference</t>
  </si>
  <si>
    <t>Tham chiếu thay đổi khi copy công thức.</t>
  </si>
  <si>
    <t>=B7-C7</t>
  </si>
  <si>
    <t>Variance = Actual − Budget</t>
  </si>
  <si>
    <t>Khóa nhầm hàng/cột nên copy sai.</t>
  </si>
  <si>
    <t>9</t>
  </si>
  <si>
    <t>Absolute reference ($)</t>
  </si>
  <si>
    <t>Giữ cố định assumption khi copy.</t>
  </si>
  <si>
    <t>=C16*(1+$B$11)</t>
  </si>
  <si>
    <t>Forecast dùng cùng một growth assumption</t>
  </si>
  <si>
    <t>Quên dấu $ làm assumption trôi.</t>
  </si>
  <si>
    <t>14</t>
  </si>
  <si>
    <t>Cross-sheet link</t>
  </si>
  <si>
    <t>Lấy dữ liệu từ một sheet khác.</t>
  </si>
  <si>
    <t>='05_Monthly_P&amp;L'!O7</t>
  </si>
  <si>
    <t>Dashboard lấy KPI từ model</t>
  </si>
  <si>
    <t>09_Management_Dashboard</t>
  </si>
  <si>
    <t>Gõ lại số thay vì tạo link.</t>
  </si>
  <si>
    <t>6</t>
  </si>
  <si>
    <t>SUM</t>
  </si>
  <si>
    <t>Cộng một dải liên tục.</t>
  </si>
  <si>
    <t>=SUM(C7:N7)</t>
  </si>
  <si>
    <t>Cộng 12 tháng thành FY</t>
  </si>
  <si>
    <t>05_Monthly_P&amp;L</t>
  </si>
  <si>
    <t>Cộng thiếu tháng hoặc chèn hardcode.</t>
  </si>
  <si>
    <t>1</t>
  </si>
  <si>
    <t>SUMIF</t>
  </si>
  <si>
    <t>Tổng theo một điều kiện.</t>
  </si>
  <si>
    <t>=SUMIF(B6:B13,"TGDĐ",D6:D13)</t>
  </si>
  <si>
    <t>Tổng theo một BU</t>
  </si>
  <si>
    <t>Bài tập minh họa</t>
  </si>
  <si>
    <t>Criteria range và sum range lệch kích thước.</t>
  </si>
  <si>
    <t>2</t>
  </si>
  <si>
    <t>SUMIFS</t>
  </si>
  <si>
    <t>Tổng theo nhiều điều kiện.</t>
  </si>
  <si>
    <t>=SUMIFS(Amount,Year,2025,Code,"REV")</t>
  </si>
  <si>
    <t>Revenue theo năm/tháng/BU/account</t>
  </si>
  <si>
    <t>05/05A/06/07A</t>
  </si>
  <si>
    <t>Sai dấu của chi phí hoặc dùng nhầm cột.</t>
  </si>
  <si>
    <t>2-3</t>
  </si>
  <si>
    <t>XLOOKUP</t>
  </si>
  <si>
    <t>Map mã tài khoản sang category/nature.</t>
  </si>
  <si>
    <t>=XLOOKUP(Code,MapCode,Category,"Unmapped",0)</t>
  </si>
  <si>
    <t>AccountCode → P&amp;L Category</t>
  </si>
  <si>
    <t>01/02_Raw, 04_Mapping</t>
  </si>
  <si>
    <t>Không dùng exact match hoặc thiếu fallback.</t>
  </si>
  <si>
    <t>4</t>
  </si>
  <si>
    <t>IF</t>
  </si>
  <si>
    <t>Rẽ nhánh theo điều kiện.</t>
  </si>
  <si>
    <t>=IF(Variance&gt;=0,"F","U")</t>
  </si>
  <si>
    <t>Đánh dấu favorable/unfavorable</t>
  </si>
  <si>
    <t>Không xét bản chất income/expense.</t>
  </si>
  <si>
    <t>11-12</t>
  </si>
  <si>
    <t>IFERROR</t>
  </si>
  <si>
    <t>Thay lỗi bằng kết quả an toàn.</t>
  </si>
  <si>
    <t>=IFERROR(Numerator/Denominator,0)</t>
  </si>
  <si>
    <t>Margin và variance %</t>
  </si>
  <si>
    <t>05/06/07/08</t>
  </si>
  <si>
    <t>Dùng để che lỗi logic thay vì xử lý nguyên nhân.</t>
  </si>
  <si>
    <t>5, 8, 10</t>
  </si>
  <si>
    <t>ABS</t>
  </si>
  <si>
    <t>Lấy trị tuyệt đối để so sánh/tính %.</t>
  </si>
  <si>
    <t>=Variance/ABS(Budget)</t>
  </si>
  <si>
    <t>Variance % và tolerance check</t>
  </si>
  <si>
    <t>06/07A/10</t>
  </si>
  <si>
    <t>Mất ý nghĩa dấu nếu dùng ABS sai chỗ.</t>
  </si>
  <si>
    <t>10, 18</t>
  </si>
  <si>
    <t>COUNTIF / COUNTA</t>
  </si>
  <si>
    <t>Đếm trạng thái hoặc ô có dữ liệu.</t>
  </si>
  <si>
    <t>=COUNTIF(Status,"PASS")</t>
  </si>
  <si>
    <t>Model status và mapping completeness</t>
  </si>
  <si>
    <t>00_Read_Me, 10_Checks</t>
  </si>
  <si>
    <t>Đếm cả blank hoặc sai chính tả criteria.</t>
  </si>
  <si>
    <t>19</t>
  </si>
  <si>
    <t>Gross profit</t>
  </si>
  <si>
    <t>Doanh thu cộng COGS vì COGS đang mang dấu âm.</t>
  </si>
  <si>
    <t>=Revenue+COGS</t>
  </si>
  <si>
    <t>Dùng Revenue−COGS sẽ cộng chi phí hai lần.</t>
  </si>
  <si>
    <t>7</t>
  </si>
  <si>
    <t>Margin %</t>
  </si>
  <si>
    <t>Lợi nhuận chia doanh thu.</t>
  </si>
  <si>
    <t>=IFERROR(GrossProfit/Revenue,0)</t>
  </si>
  <si>
    <t>05/05A/07/07A</t>
  </si>
  <si>
    <t>Chia nhầm doanh thu âm hoặc sai kỳ.</t>
  </si>
  <si>
    <t>8</t>
  </si>
  <si>
    <t>Variance $ / %</t>
  </si>
  <si>
    <t>Đo khoảng cách Actual so với Budget.</t>
  </si>
  <si>
    <t>=Actual-Budget; =Var/ABS(Budget)</t>
  </si>
  <si>
    <t>Actual vs Budget</t>
  </si>
  <si>
    <t>06/07A</t>
  </si>
  <si>
    <t>Đảo chiều Actual và Budget.</t>
  </si>
  <si>
    <t>9-10</t>
  </si>
  <si>
    <t>F/U logic</t>
  </si>
  <si>
    <t>Đánh giá variance theo bản chất tài khoản.</t>
  </si>
  <si>
    <t>=IF(Variance*FavorableSign&gt;=0,"F","U")</t>
  </si>
  <si>
    <t>Income sign +1; Expense sign −1</t>
  </si>
  <si>
    <t>04_Mapping, 06/07A</t>
  </si>
  <si>
    <t>Cho rằng mọi variance dương đều tốt.</t>
  </si>
  <si>
    <t>Scenario selector</t>
  </si>
  <si>
    <t>Chọn Bear/Base/Bull từ một ô điều khiển.</t>
  </si>
  <si>
    <t>=XLOOKUP(SelectedCase,CaseList,GrowthList)</t>
  </si>
  <si>
    <t>Scenario điều khiển H2 forecast</t>
  </si>
  <si>
    <t>Hardcode case trong từng công thức.</t>
  </si>
  <si>
    <t>13-14</t>
  </si>
  <si>
    <t>Rolling forecast</t>
  </si>
  <si>
    <t>Ghép actual đã có với forecast còn lại.</t>
  </si>
  <si>
    <t>=ActualYTD+ForecastRemainder</t>
  </si>
  <si>
    <t>Forecast lại cả phần actual đã chốt.</t>
  </si>
  <si>
    <t>15</t>
  </si>
  <si>
    <t>Working-capital days</t>
  </si>
  <si>
    <t>Quy đổi số dư vốn lưu động thành số ngày.</t>
  </si>
  <si>
    <t>=AR/Revenue*365</t>
  </si>
  <si>
    <t>AR/Inventory/AP days</t>
  </si>
  <si>
    <t>Trộn annual revenue với số dư không cùng kỳ.</t>
  </si>
  <si>
    <t>16-17</t>
  </si>
  <si>
    <t>Tolerance check</t>
  </si>
  <si>
    <t>Cho phép sai số làm tròn nhỏ khi kiểm tra.</t>
  </si>
  <si>
    <t>=IF(ABS(Actual-Expected)&lt;=Tolerance,"PASS","FAIL")</t>
  </si>
  <si>
    <t>Các tie-out của model</t>
  </si>
  <si>
    <t>10_Checks</t>
  </si>
  <si>
    <t>Đặt tolerance quá lớn làm check mất ý nghĩa.</t>
  </si>
  <si>
    <t>18</t>
  </si>
  <si>
    <t>Data Validation</t>
  </si>
  <si>
    <t>Tạo dropdown cho input có lựa chọn hữu hạn.</t>
  </si>
  <si>
    <t>List: Bear, Base, Bull</t>
  </si>
  <si>
    <t>Cho nhập tự do gây sai chính tả.</t>
  </si>
  <si>
    <t>Manual 1</t>
  </si>
  <si>
    <t>Power Query</t>
  </si>
  <si>
    <t>Import, clean, merge và append dữ liệu có thể refresh.</t>
  </si>
  <si>
    <t>Source → Types → Filter → Merge/Append</t>
  </si>
  <si>
    <t>5 query objects</t>
  </si>
  <si>
    <t>13_Query_M_Code</t>
  </si>
  <si>
    <t>Sửa trực tiếp output query thay vì source.</t>
  </si>
  <si>
    <t>Manual 2</t>
  </si>
  <si>
    <t>PivotTable</t>
  </si>
  <si>
    <t>Cắt variance nhanh theo BU, account và version.</t>
  </si>
  <si>
    <t>Rows/Columns/Values/Filters</t>
  </si>
  <si>
    <t>Actual vs Budget by BU</t>
  </si>
  <si>
    <t>Gọi bảng công thức là PivotTable.</t>
  </si>
  <si>
    <t>Manual 3</t>
  </si>
  <si>
    <t>Chart linked to cells</t>
  </si>
  <si>
    <t>Biểu đồ tự đổi khi nguồn công thức đổi.</t>
  </si>
  <si>
    <t>Chart source = helper range</t>
  </si>
  <si>
    <t>4 dashboard charts</t>
  </si>
  <si>
    <t>Hardcode series hoặc phủ chart lên dữ liệu.</t>
  </si>
  <si>
    <t>Manual 4</t>
  </si>
  <si>
    <t>Practice Lab — Tự nhập công thức và chấm tự động</t>
  </si>
  <si>
    <t>Chỉ nhập công thức vào cột E của bảng bài tập. Vùng luyện tập độc lập với model core nên không thể làm hỏng báo cáo.</t>
  </si>
  <si>
    <t>Tiến độ</t>
  </si>
  <si>
    <t>Mini transaction dataset</t>
  </si>
  <si>
    <t>Account mapping</t>
  </si>
  <si>
    <t>Scenario table</t>
  </si>
  <si>
    <t>Amount (VND bn)</t>
  </si>
  <si>
    <t>Category</t>
  </si>
  <si>
    <t>Nature</t>
  </si>
  <si>
    <t>Growth</t>
  </si>
  <si>
    <t>Bear</t>
  </si>
  <si>
    <t>Bull</t>
  </si>
  <si>
    <t>Inputs for finance exercises</t>
  </si>
  <si>
    <t>Budget Revenue</t>
  </si>
  <si>
    <t>Actual Revenue</t>
  </si>
  <si>
    <t>Actual COGS</t>
  </si>
  <si>
    <t>Budget COGS</t>
  </si>
  <si>
    <t>Accounts Receivable</t>
  </si>
  <si>
    <t>Inventory</t>
  </si>
  <si>
    <t>YTD Actual</t>
  </si>
  <si>
    <t>H2 Forecast</t>
  </si>
  <si>
    <t>Accounts Payable</t>
  </si>
  <si>
    <t>Bài tập công thức</t>
  </si>
  <si>
    <t>#</t>
  </si>
  <si>
    <t>Level</t>
  </si>
  <si>
    <t>Skill</t>
  </si>
  <si>
    <t>Yêu cầu</t>
  </si>
  <si>
    <t>Nhập công thức tại đây</t>
  </si>
  <si>
    <t>Đơn vị</t>
  </si>
  <si>
    <t>Chấm tự động</t>
  </si>
  <si>
    <t>Gợi ý</t>
  </si>
  <si>
    <t>Basic</t>
  </si>
  <si>
    <t>Tính tổng toàn bộ Amount trong mini dataset.</t>
  </si>
  <si>
    <t>SUM một dải liên tục.</t>
  </si>
  <si>
    <t>Tính Revenue của TGDĐ.</t>
  </si>
  <si>
    <t>Dùng 2 điều kiện: BU và AccountCode.</t>
  </si>
  <si>
    <t>Tính tổng Revenue của tất cả BU.</t>
  </si>
  <si>
    <t>Điều kiện AccountCode = REV.</t>
  </si>
  <si>
    <t>Map mã REV sang Category từ bảng mapping.</t>
  </si>
  <si>
    <t>Text</t>
  </si>
  <si>
    <t>Exact match; fallback = Unmapped.</t>
  </si>
  <si>
    <t>IFERROR + XLOOKUP</t>
  </si>
  <si>
    <t>Map mã TAX; nếu không tìm thấy trả về Unmapped.</t>
  </si>
  <si>
    <t>Bọc XLOOKUP bằng IFERROR.</t>
  </si>
  <si>
    <t>Link FY2025 Revenue từ 05_Monthly_P&amp;L ô O7.</t>
  </si>
  <si>
    <t>Tên sheet luôn đặt trong dấu nháy đơn.</t>
  </si>
  <si>
    <t>FP&amp;A</t>
  </si>
  <si>
    <t>Tính Gross Profit từ Revenue và Actual COGS.</t>
  </si>
  <si>
    <t>COGS đã mang dấu âm.</t>
  </si>
  <si>
    <t>Tính Gross Margin từ kết quả Gross Profit.</t>
  </si>
  <si>
    <t>%</t>
  </si>
  <si>
    <t>Dùng IFERROR để tránh chia cho 0.</t>
  </si>
  <si>
    <t>Variance amount</t>
  </si>
  <si>
    <t>Tính Actual Revenue − Budget Revenue.</t>
  </si>
  <si>
    <t>Actual trừ Budget.</t>
  </si>
  <si>
    <t>Variance %</t>
  </si>
  <si>
    <t>Tính Revenue variance % trên Budget.</t>
  </si>
  <si>
    <t>Chia variance cho ABS(Budget).</t>
  </si>
  <si>
    <t>F/U — Income</t>
  </si>
  <si>
    <t>Đánh dấu F/U cho Revenue variance.</t>
  </si>
  <si>
    <t>Revenue cao hơn Budget là favorable.</t>
  </si>
  <si>
    <t>F/U — Expense</t>
  </si>
  <si>
    <t>Đánh dấu F/U cho COGS variance bằng favorable sign −1.</t>
  </si>
  <si>
    <t>Expense thấp hơn Budget mới favorable.</t>
  </si>
  <si>
    <t>Scenario lookup</t>
  </si>
  <si>
    <t>Lấy Growth theo Scenario đang chọn tại B3.</t>
  </si>
  <si>
    <t>XLOOKUP B3 trong bảng scenario.</t>
  </si>
  <si>
    <t>Scenario forecast</t>
  </si>
  <si>
    <t>Forecast Revenue = Revenue × (1 + scenario growth).</t>
  </si>
  <si>
    <t>Khóa vùng scenario bằng dấu $.</t>
  </si>
  <si>
    <t>Tính FY Forecast = YTD Actual + H2 Forecast.</t>
  </si>
  <si>
    <t>Không forecast lại phần YTD actual.</t>
  </si>
  <si>
    <t>Working capital</t>
  </si>
  <si>
    <t>AR days</t>
  </si>
  <si>
    <t>Tính AR days = AR / Revenue × 365.</t>
  </si>
  <si>
    <t>Ngày</t>
  </si>
  <si>
    <t>Dùng IFERROR.</t>
  </si>
  <si>
    <t>Net Working Capital</t>
  </si>
  <si>
    <t>Tính NWC = AR + Inventory − AP.</t>
  </si>
  <si>
    <t>Giữ đúng dấu AP.</t>
  </si>
  <si>
    <t>Controls</t>
  </si>
  <si>
    <t>So sánh tổng Revenue mini dataset với input Revenue; trả PASS/FAIL.</t>
  </si>
  <si>
    <t>ABS(delta) &lt;= Tolerance.</t>
  </si>
  <si>
    <t>COUNTIF</t>
  </si>
  <si>
    <t>Đếm số check PASS tại 10_Checks!F6:F21.</t>
  </si>
  <si>
    <t>Checks</t>
  </si>
  <si>
    <t>COUNTIF theo text PASS.</t>
  </si>
  <si>
    <t>Bài tập thao tác Excel — tự đánh dấu sau khi hoàn thành</t>
  </si>
  <si>
    <t>Bài tập thao tác</t>
  </si>
  <si>
    <t>Bằng chứng cần thấy</t>
  </si>
  <si>
    <t>Trạng thái</t>
  </si>
  <si>
    <t>Đổi Scenario tại B3 qua Bear/Base/Bull.</t>
  </si>
  <si>
    <t>Dropdown chỉ cho phép 3 lựa chọn.</t>
  </si>
  <si>
    <t>Chưa làm</t>
  </si>
  <si>
    <t>Mở Queries &amp; Connections và Refresh All.</t>
  </si>
  <si>
    <t>Thấy 5 query/connection và không báo lỗi.</t>
  </si>
  <si>
    <t>Tại 06_Variance_Analysis, đổi filter AccountCategory.</t>
  </si>
  <si>
    <t>Pivot cập nhật theo category đã chọn.</t>
  </si>
  <si>
    <t>Formula Auditing</t>
  </si>
  <si>
    <t>Sau khi làm bài 14, dùng Trace Precedents tại E38.</t>
  </si>
  <si>
    <t>Mũi tên đi tới Revenue và bảng scenario.</t>
  </si>
  <si>
    <t>Chart</t>
  </si>
  <si>
    <t>Đổi Scenario ở 07_Rolling_Forecast và xem dashboard.</t>
  </si>
  <si>
    <t>KPI/chart forecast thay đổi theo input.</t>
  </si>
  <si>
    <t>Đáp án và giải thích — mở sau khi đã tự làm</t>
  </si>
  <si>
    <t>Cột B là công thức gợi ý; cột C tính kết quả động từ dữ liệu trong Practice Lab.</t>
  </si>
  <si>
    <t>Đừng học thuộc công thức. Hãy tự trả lời bốn câu: đầu vào ở đâu, điều kiện nào cần lọc, tham chiếu nào phải khóa, và kết quả cần kiểm tra bằng cách nào.</t>
  </si>
  <si>
    <t>Công thức gợi ý</t>
  </si>
  <si>
    <t>Kết quả đúng</t>
  </si>
  <si>
    <t>Vì sao dùng công thức này</t>
  </si>
  <si>
    <t>Lỗi thường gặp</t>
  </si>
  <si>
    <t>Áp dụng trong model</t>
  </si>
  <si>
    <t>=SUM(D7:D14)</t>
  </si>
  <si>
    <t>Cộng toàn bộ Amount trong một dải liên tục.</t>
  </si>
  <si>
    <t>Bỏ sót hàng cuối.</t>
  </si>
  <si>
    <t>FY total trong 05_Monthly_P&amp;L</t>
  </si>
  <si>
    <t>=SUMIFS(D7:D14,B7:B14,"TGDĐ",C7:C14,"REV")</t>
  </si>
  <si>
    <t>SUMIFS lọc đồng thời BU và account.</t>
  </si>
  <si>
    <t>Criteria range không cùng kích thước.</t>
  </si>
  <si>
    <t>Variance by BU</t>
  </si>
  <si>
    <t>=SUMIFS(D7:D14,C7:C14,"REV")</t>
  </si>
  <si>
    <t>Chỉ cộng các dòng Revenue.</t>
  </si>
  <si>
    <t>Cộng cả expense làm revenue bị thấp.</t>
  </si>
  <si>
    <t>Monthly revenue roll-up</t>
  </si>
  <si>
    <t>=XLOOKUP("REV",H7:H10,I7:I10,"Unmapped",0)</t>
  </si>
  <si>
    <t>Exact-match mapping từ code sang category.</t>
  </si>
  <si>
    <t>Thiếu fallback Unmapped.</t>
  </si>
  <si>
    <t>01/02 Raw Mapping</t>
  </si>
  <si>
    <t>=IFERROR(XLOOKUP("TAX",H7:H10,I7:I10),"Unmapped")</t>
  </si>
  <si>
    <t>IFERROR xử lý code chưa tồn tại trong mapping.</t>
  </si>
  <si>
    <t>Dùng IFERROR để che lỗi range sai.</t>
  </si>
  <si>
    <t>Mapping completeness</t>
  </si>
  <si>
    <t>Link trực tiếp, không gõ lại output.</t>
  </si>
  <si>
    <t>Hardcode số 155,928.1.</t>
  </si>
  <si>
    <t>Dashboard links</t>
  </si>
  <si>
    <t>=I15+I16</t>
  </si>
  <si>
    <t>COGS đang âm nên Gross Profit = Revenue + COGS.</t>
  </si>
  <si>
    <t>Revenue − COGS làm lợi nhuận tăng sai.</t>
  </si>
  <si>
    <t>P&amp;L subtotal</t>
  </si>
  <si>
    <t>=IFERROR((I15+I16)/I15,0)</t>
  </si>
  <si>
    <t>Margin là profit chia revenue.</t>
  </si>
  <si>
    <t>Chia cho COGS.</t>
  </si>
  <si>
    <t>=I14-I13</t>
  </si>
  <si>
    <t>Quy ước variance = Actual − Budget.</t>
  </si>
  <si>
    <t>Đảo Budget − Actual.</t>
  </si>
  <si>
    <t>=(I14-I13)/ABS(I13)</t>
  </si>
  <si>
    <t>ABS giữ mẫu số dương để dấu đến từ variance.</t>
  </si>
  <si>
    <t>Chia cho Actual thay vì Budget.</t>
  </si>
  <si>
    <t>=IF(I14-I13&gt;=0,"F","U")</t>
  </si>
  <si>
    <t>Revenue cao hơn budget là favorable.</t>
  </si>
  <si>
    <t>Cho rằng logic này áp dụng cho expense.</t>
  </si>
  <si>
    <t>Revenue F/U</t>
  </si>
  <si>
    <t>=IF((I16-I17)*-1&gt;=0,"F","U")</t>
  </si>
  <si>
    <t>Expense dùng favorable sign −1.</t>
  </si>
  <si>
    <t>Nhìn variance dương là tốt cho mọi account.</t>
  </si>
  <si>
    <t>Cost-nature logic</t>
  </si>
  <si>
    <t>=XLOOKUP($B$3,$L$7:$L$9,$M$7:$M$9)</t>
  </si>
  <si>
    <t>Một selector điều khiển assumption scenario.</t>
  </si>
  <si>
    <t>Không khóa vùng lookup.</t>
  </si>
  <si>
    <t>Rolling Forecast</t>
  </si>
  <si>
    <t>=$I$15*(1+XLOOKUP($B$3,$L$7:$L$9,$M$7:$M$9))</t>
  </si>
  <si>
    <t>Forecast nối base revenue với growth của scenario.</t>
  </si>
  <si>
    <t>Hardcode 5% trong công thức.</t>
  </si>
  <si>
    <t>=$I$20+$I$21</t>
  </si>
  <si>
    <t>Rolling forecast giữ actual YTD và chỉ forecast phần còn lại.</t>
  </si>
  <si>
    <t>Forecast lại cả năm.</t>
  </si>
  <si>
    <t>=IFERROR($I$18/$I$15*365,0)</t>
  </si>
  <si>
    <t>Quy đổi AR thành số ngày doanh thu.</t>
  </si>
  <si>
    <t>Dùng doanh thu không cùng kỳ.</t>
  </si>
  <si>
    <t>Working Capital</t>
  </si>
  <si>
    <t>=$I$18+$I$19-$I$22</t>
  </si>
  <si>
    <t>NWC = AR + Inventory − AP.</t>
  </si>
  <si>
    <t>Cộng AP thay vì trừ.</t>
  </si>
  <si>
    <t>NWC schedule</t>
  </si>
  <si>
    <t>=IF(ABS(SUMIFS(D7:D14,C7:C14,"REV")-$I$15)&lt;=$I$23,"PASS","FAIL")</t>
  </si>
  <si>
    <t>Tolerance tránh fail vì sai số làm tròn nhỏ.</t>
  </si>
  <si>
    <t>Tolerance quá rộng.</t>
  </si>
  <si>
    <t>=COUNTIF('10_Checks'!F6:F21,"PASS")</t>
  </si>
  <si>
    <t>Đếm số kiểm soát đang PASS.</t>
  </si>
  <si>
    <t>Range thiếu dòng check.</t>
  </si>
  <si>
    <t>Read_Me model status</t>
  </si>
  <si>
    <t>Grand Total</t>
  </si>
  <si>
    <t>Sum of Amount (VND bn)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</si>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</sst>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[Red]\(#,##0.0\);\-"/>
    <numFmt numFmtId="165" formatCode="0.0%;[Red]\(0.0%\);\-"/>
    <numFmt numFmtId="166" formatCode="#,##0;[Red]\(#,##0\);\-"/>
    <numFmt numFmtId="167" formatCode="0.0"/>
    <numFmt numFmtId="168" formatCode="#.##00;[Red]\(#.##00\);\-"/>
  </numFmts>
  <fonts count="27">
    <font>
      <sz val="11"/>
      <name val="Carlito"/>
    </font>
    <font>
      <b/>
      <sz val="16"/>
      <color rgb="FFFFFFFF"/>
      <name val="Carlito"/>
    </font>
    <font>
      <i/>
      <sz val="10"/>
      <color rgb="FF1F4E78"/>
      <name val="Carlito"/>
    </font>
    <font>
      <b/>
      <sz val="10"/>
      <color rgb="FFFFFFFF"/>
      <name val="Carlito"/>
    </font>
    <font>
      <b/>
      <sz val="9"/>
      <name val="Carlito"/>
    </font>
    <font>
      <sz val="9"/>
      <name val="Carlito"/>
    </font>
    <font>
      <sz val="10"/>
      <name val="Carlito"/>
    </font>
    <font>
      <b/>
      <sz val="9"/>
      <color rgb="FF0000FF"/>
      <name val="Carlito"/>
    </font>
    <font>
      <b/>
      <sz val="9"/>
      <color rgb="FF008000"/>
      <name val="Carlito"/>
    </font>
    <font>
      <b/>
      <sz val="10"/>
      <name val="Carlito"/>
    </font>
    <font>
      <b/>
      <sz val="11"/>
      <color rgb="FF008000"/>
      <name val="Carlito"/>
    </font>
    <font>
      <b/>
      <sz val="9"/>
      <color rgb="FF000000"/>
      <name val="Carlito"/>
    </font>
    <font>
      <sz val="9"/>
      <color rgb="FF000000"/>
      <name val="Carlito"/>
    </font>
    <font>
      <sz val="9"/>
      <color rgb="FF008000"/>
      <name val="Carlito"/>
    </font>
    <font>
      <sz val="9"/>
      <color rgb="FF0000FF"/>
      <name val="Carlito"/>
    </font>
    <font>
      <b/>
      <sz val="16"/>
      <color rgb="FF008000"/>
      <name val="Carlito"/>
    </font>
    <font>
      <i/>
      <sz val="9"/>
      <color rgb="FF000000"/>
      <name val="Carlito"/>
    </font>
    <font>
      <b/>
      <sz val="11"/>
      <color rgb="FF0000FF"/>
      <name val="Carlito"/>
    </font>
    <font>
      <b/>
      <sz val="16"/>
      <color rgb="FF000000"/>
      <name val="Carlito"/>
    </font>
    <font>
      <b/>
      <sz val="18"/>
      <color rgb="FF008000"/>
      <name val="Carlito"/>
    </font>
    <font>
      <b/>
      <sz val="11"/>
      <name val="Carlito"/>
    </font>
    <font>
      <b/>
      <sz val="12"/>
      <name val="Carlito"/>
    </font>
    <font>
      <b/>
      <sz val="14"/>
      <color rgb="FF008000"/>
      <name val="Carlito"/>
    </font>
    <font>
      <b/>
      <sz val="10"/>
      <color rgb="FF0000FF"/>
      <name val="Carlito"/>
    </font>
    <font>
      <b/>
      <sz val="10"/>
      <color rgb="FF008000"/>
      <name val="Carlito"/>
    </font>
    <font>
      <b/>
      <sz val="9"/>
      <color rgb="FF00B050"/>
      <name val="Carlito"/>
      <charset val="163"/>
    </font>
    <font>
      <sz val="11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A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7C9D6"/>
      </bottom>
      <diagonal/>
    </border>
    <border>
      <left/>
      <right/>
      <top style="thin">
        <color rgb="FFD9E2F3"/>
      </top>
      <bottom style="thin">
        <color rgb="FF1F4E78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5" borderId="1" xfId="0" applyFont="1" applyFill="1" applyBorder="1"/>
    <xf numFmtId="0" fontId="5" fillId="0" borderId="1" xfId="0" applyFont="1" applyBorder="1" applyAlignment="1">
      <alignment wrapText="1"/>
    </xf>
    <xf numFmtId="0" fontId="7" fillId="5" borderId="1" xfId="0" applyFont="1" applyFill="1" applyBorder="1"/>
    <xf numFmtId="0" fontId="8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9" fillId="5" borderId="1" xfId="0" applyFont="1" applyFill="1" applyBorder="1"/>
    <xf numFmtId="0" fontId="10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17" fontId="12" fillId="0" borderId="10" xfId="0" applyNumberFormat="1" applyFont="1" applyBorder="1" applyAlignment="1">
      <alignment vertical="center"/>
    </xf>
    <xf numFmtId="17" fontId="12" fillId="0" borderId="11" xfId="0" applyNumberFormat="1" applyFont="1" applyBorder="1" applyAlignment="1">
      <alignment vertical="center"/>
    </xf>
    <xf numFmtId="17" fontId="12" fillId="0" borderId="12" xfId="0" applyNumberFormat="1" applyFont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164" fontId="12" fillId="0" borderId="11" xfId="0" applyNumberFormat="1" applyFont="1" applyBorder="1" applyAlignment="1">
      <alignment vertical="center"/>
    </xf>
    <xf numFmtId="164" fontId="12" fillId="0" borderId="12" xfId="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165" fontId="12" fillId="0" borderId="10" xfId="0" applyNumberFormat="1" applyFont="1" applyBorder="1" applyAlignment="1">
      <alignment vertical="center"/>
    </xf>
    <xf numFmtId="165" fontId="12" fillId="0" borderId="11" xfId="0" applyNumberFormat="1" applyFont="1" applyBorder="1" applyAlignment="1">
      <alignment vertical="center"/>
    </xf>
    <xf numFmtId="165" fontId="12" fillId="0" borderId="12" xfId="0" applyNumberFormat="1" applyFont="1" applyBorder="1" applyAlignment="1">
      <alignment vertical="center"/>
    </xf>
    <xf numFmtId="164" fontId="14" fillId="0" borderId="10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165" fontId="14" fillId="0" borderId="11" xfId="0" applyNumberFormat="1" applyFont="1" applyBorder="1" applyAlignment="1">
      <alignment vertical="center"/>
    </xf>
    <xf numFmtId="0" fontId="12" fillId="6" borderId="12" xfId="0" applyFont="1" applyFill="1" applyBorder="1" applyAlignment="1">
      <alignment vertical="center"/>
    </xf>
    <xf numFmtId="165" fontId="14" fillId="6" borderId="12" xfId="0" applyNumberFormat="1" applyFont="1" applyFill="1" applyBorder="1" applyAlignment="1">
      <alignment vertical="center"/>
    </xf>
    <xf numFmtId="166" fontId="14" fillId="0" borderId="11" xfId="0" applyNumberFormat="1" applyFont="1" applyBorder="1" applyAlignment="1">
      <alignment vertical="center"/>
    </xf>
    <xf numFmtId="0" fontId="14" fillId="6" borderId="12" xfId="0" applyFont="1" applyFill="1" applyBorder="1" applyAlignment="1">
      <alignment vertical="center"/>
    </xf>
    <xf numFmtId="1" fontId="12" fillId="0" borderId="10" xfId="0" applyNumberFormat="1" applyFont="1" applyBorder="1" applyAlignment="1">
      <alignment vertical="center"/>
    </xf>
    <xf numFmtId="1" fontId="12" fillId="0" borderId="11" xfId="0" applyNumberFormat="1" applyFont="1" applyBorder="1" applyAlignment="1">
      <alignment vertical="center"/>
    </xf>
    <xf numFmtId="1" fontId="12" fillId="0" borderId="12" xfId="0" applyNumberFormat="1" applyFont="1" applyBorder="1" applyAlignment="1">
      <alignment vertical="center"/>
    </xf>
    <xf numFmtId="17" fontId="11" fillId="8" borderId="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64" fontId="11" fillId="0" borderId="13" xfId="0" applyNumberFormat="1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164" fontId="11" fillId="0" borderId="12" xfId="0" applyNumberFormat="1" applyFont="1" applyBorder="1" applyAlignment="1">
      <alignment vertical="center"/>
    </xf>
    <xf numFmtId="164" fontId="13" fillId="0" borderId="10" xfId="0" applyNumberFormat="1" applyFont="1" applyBorder="1" applyAlignment="1">
      <alignment vertical="center"/>
    </xf>
    <xf numFmtId="164" fontId="13" fillId="0" borderId="11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vertical="center"/>
    </xf>
    <xf numFmtId="165" fontId="13" fillId="0" borderId="11" xfId="0" applyNumberFormat="1" applyFont="1" applyBorder="1" applyAlignment="1">
      <alignment vertical="center"/>
    </xf>
    <xf numFmtId="164" fontId="13" fillId="0" borderId="12" xfId="0" applyNumberFormat="1" applyFont="1" applyBorder="1" applyAlignment="1">
      <alignment vertical="center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165" fontId="11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165" fontId="11" fillId="0" borderId="12" xfId="0" applyNumberFormat="1" applyFont="1" applyBorder="1" applyAlignment="1">
      <alignment vertical="center"/>
    </xf>
    <xf numFmtId="0" fontId="11" fillId="0" borderId="12" xfId="0" applyFont="1" applyBorder="1" applyAlignment="1">
      <alignment vertical="center" wrapText="1"/>
    </xf>
    <xf numFmtId="164" fontId="12" fillId="9" borderId="10" xfId="0" applyNumberFormat="1" applyFont="1" applyFill="1" applyBorder="1" applyAlignment="1">
      <alignment vertical="center"/>
    </xf>
    <xf numFmtId="164" fontId="12" fillId="9" borderId="11" xfId="0" applyNumberFormat="1" applyFont="1" applyFill="1" applyBorder="1" applyAlignment="1">
      <alignment vertical="center"/>
    </xf>
    <xf numFmtId="165" fontId="12" fillId="9" borderId="11" xfId="0" applyNumberFormat="1" applyFont="1" applyFill="1" applyBorder="1" applyAlignment="1">
      <alignment vertical="center"/>
    </xf>
    <xf numFmtId="164" fontId="13" fillId="5" borderId="10" xfId="0" applyNumberFormat="1" applyFont="1" applyFill="1" applyBorder="1" applyAlignment="1">
      <alignment vertical="center"/>
    </xf>
    <xf numFmtId="164" fontId="13" fillId="5" borderId="11" xfId="0" applyNumberFormat="1" applyFont="1" applyFill="1" applyBorder="1" applyAlignment="1">
      <alignment vertical="center"/>
    </xf>
    <xf numFmtId="165" fontId="13" fillId="5" borderId="11" xfId="0" applyNumberFormat="1" applyFont="1" applyFill="1" applyBorder="1" applyAlignment="1">
      <alignment vertical="center"/>
    </xf>
    <xf numFmtId="164" fontId="11" fillId="5" borderId="13" xfId="0" applyNumberFormat="1" applyFont="1" applyFill="1" applyBorder="1" applyAlignment="1">
      <alignment vertical="center"/>
    </xf>
    <xf numFmtId="164" fontId="11" fillId="9" borderId="13" xfId="0" applyNumberFormat="1" applyFont="1" applyFill="1" applyBorder="1" applyAlignment="1">
      <alignment vertical="center"/>
    </xf>
    <xf numFmtId="167" fontId="14" fillId="6" borderId="1" xfId="0" applyNumberFormat="1" applyFont="1" applyFill="1" applyBorder="1" applyAlignment="1">
      <alignment vertical="center"/>
    </xf>
    <xf numFmtId="167" fontId="12" fillId="0" borderId="11" xfId="0" applyNumberFormat="1" applyFont="1" applyBorder="1" applyAlignment="1">
      <alignment vertical="center"/>
    </xf>
    <xf numFmtId="167" fontId="11" fillId="0" borderId="11" xfId="0" applyNumberFormat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23" fillId="6" borderId="1" xfId="0" applyNumberFormat="1" applyFont="1" applyFill="1" applyBorder="1" applyAlignment="1">
      <alignment vertical="center"/>
    </xf>
    <xf numFmtId="165" fontId="23" fillId="6" borderId="1" xfId="0" applyNumberFormat="1" applyFont="1" applyFill="1" applyBorder="1" applyAlignment="1">
      <alignment vertical="center"/>
    </xf>
    <xf numFmtId="167" fontId="23" fillId="6" borderId="1" xfId="0" applyNumberFormat="1" applyFont="1" applyFill="1" applyBorder="1" applyAlignment="1">
      <alignment vertical="center"/>
    </xf>
    <xf numFmtId="1" fontId="23" fillId="6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wrapText="1"/>
    </xf>
    <xf numFmtId="164" fontId="11" fillId="7" borderId="1" xfId="0" applyNumberFormat="1" applyFont="1" applyFill="1" applyBorder="1" applyAlignment="1">
      <alignment vertical="center" wrapText="1"/>
    </xf>
    <xf numFmtId="165" fontId="11" fillId="7" borderId="1" xfId="0" applyNumberFormat="1" applyFont="1" applyFill="1" applyBorder="1" applyAlignment="1">
      <alignment vertical="center" wrapText="1"/>
    </xf>
    <xf numFmtId="167" fontId="11" fillId="7" borderId="1" xfId="0" applyNumberFormat="1" applyFont="1" applyFill="1" applyBorder="1" applyAlignment="1">
      <alignment vertical="center" wrapText="1"/>
    </xf>
    <xf numFmtId="1" fontId="11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9" fillId="5" borderId="0" xfId="0" applyFont="1" applyFill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165" fontId="14" fillId="0" borderId="1" xfId="0" applyNumberFormat="1" applyFont="1" applyBorder="1" applyAlignment="1">
      <alignment vertical="center"/>
    </xf>
    <xf numFmtId="164" fontId="9" fillId="7" borderId="1" xfId="0" applyNumberFormat="1" applyFont="1" applyFill="1" applyBorder="1" applyAlignment="1">
      <alignment vertical="center"/>
    </xf>
    <xf numFmtId="165" fontId="9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0" fillId="0" borderId="0" xfId="0" pivotButton="1"/>
    <xf numFmtId="168" fontId="0" fillId="0" borderId="0" xfId="0" applyNumberFormat="1"/>
    <xf numFmtId="0" fontId="25" fillId="10" borderId="10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2" xfId="0" applyFont="1" applyFill="1" applyBorder="1" applyAlignment="1">
      <alignment horizontal="center" vertical="center"/>
    </xf>
    <xf numFmtId="0" fontId="26" fillId="11" borderId="0" xfId="0" applyFont="1" applyFill="1" applyAlignment="1">
      <alignment vertical="center"/>
    </xf>
    <xf numFmtId="17" fontId="26" fillId="11" borderId="0" xfId="0" applyNumberFormat="1" applyFont="1" applyFill="1" applyAlignment="1">
      <alignment vertical="center"/>
    </xf>
    <xf numFmtId="165" fontId="26" fillId="11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/>
    </xf>
    <xf numFmtId="0" fontId="16" fillId="6" borderId="2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vertical="center" wrapText="1"/>
    </xf>
    <xf numFmtId="0" fontId="16" fillId="6" borderId="4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0" fontId="16" fillId="6" borderId="7" xfId="0" applyFont="1" applyFill="1" applyBorder="1" applyAlignment="1">
      <alignment vertical="center" wrapText="1"/>
    </xf>
    <xf numFmtId="0" fontId="16" fillId="6" borderId="8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165" fontId="15" fillId="7" borderId="2" xfId="0" applyNumberFormat="1" applyFont="1" applyFill="1" applyBorder="1" applyAlignment="1">
      <alignment horizontal="center" vertical="center"/>
    </xf>
    <xf numFmtId="165" fontId="15" fillId="7" borderId="4" xfId="0" applyNumberFormat="1" applyFont="1" applyFill="1" applyBorder="1" applyAlignment="1">
      <alignment horizontal="center" vertical="center"/>
    </xf>
    <xf numFmtId="165" fontId="15" fillId="7" borderId="7" xfId="0" applyNumberFormat="1" applyFont="1" applyFill="1" applyBorder="1" applyAlignment="1">
      <alignment horizontal="center" vertical="center"/>
    </xf>
    <xf numFmtId="165" fontId="15" fillId="7" borderId="9" xfId="0" applyNumberFormat="1" applyFont="1" applyFill="1" applyBorder="1" applyAlignment="1">
      <alignment horizontal="center" vertical="center"/>
    </xf>
    <xf numFmtId="165" fontId="18" fillId="7" borderId="2" xfId="0" applyNumberFormat="1" applyFont="1" applyFill="1" applyBorder="1" applyAlignment="1">
      <alignment horizontal="center" vertical="center"/>
    </xf>
    <xf numFmtId="165" fontId="18" fillId="7" borderId="4" xfId="0" applyNumberFormat="1" applyFont="1" applyFill="1" applyBorder="1" applyAlignment="1">
      <alignment horizontal="center" vertical="center"/>
    </xf>
    <xf numFmtId="165" fontId="18" fillId="7" borderId="5" xfId="0" applyNumberFormat="1" applyFont="1" applyFill="1" applyBorder="1" applyAlignment="1">
      <alignment horizontal="center" vertical="center"/>
    </xf>
    <xf numFmtId="165" fontId="18" fillId="7" borderId="6" xfId="0" applyNumberFormat="1" applyFont="1" applyFill="1" applyBorder="1" applyAlignment="1">
      <alignment horizontal="center" vertical="center"/>
    </xf>
    <xf numFmtId="165" fontId="18" fillId="7" borderId="7" xfId="0" applyNumberFormat="1" applyFont="1" applyFill="1" applyBorder="1" applyAlignment="1">
      <alignment horizontal="center" vertical="center"/>
    </xf>
    <xf numFmtId="165" fontId="18" fillId="7" borderId="9" xfId="0" applyNumberFormat="1" applyFont="1" applyFill="1" applyBorder="1" applyAlignment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4" fontId="18" fillId="7" borderId="4" xfId="0" applyNumberFormat="1" applyFont="1" applyFill="1" applyBorder="1" applyAlignment="1">
      <alignment horizontal="center" vertical="center"/>
    </xf>
    <xf numFmtId="164" fontId="18" fillId="7" borderId="5" xfId="0" applyNumberFormat="1" applyFont="1" applyFill="1" applyBorder="1" applyAlignment="1">
      <alignment horizontal="center" vertical="center"/>
    </xf>
    <xf numFmtId="164" fontId="18" fillId="7" borderId="6" xfId="0" applyNumberFormat="1" applyFont="1" applyFill="1" applyBorder="1" applyAlignment="1">
      <alignment horizontal="center" vertical="center"/>
    </xf>
    <xf numFmtId="164" fontId="18" fillId="7" borderId="7" xfId="0" applyNumberFormat="1" applyFont="1" applyFill="1" applyBorder="1" applyAlignment="1">
      <alignment horizontal="center" vertical="center"/>
    </xf>
    <xf numFmtId="164" fontId="18" fillId="7" borderId="9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19" fillId="7" borderId="2" xfId="0" applyNumberFormat="1" applyFont="1" applyFill="1" applyBorder="1" applyAlignment="1">
      <alignment horizontal="center" vertical="center"/>
    </xf>
    <xf numFmtId="164" fontId="19" fillId="7" borderId="3" xfId="0" applyNumberFormat="1" applyFont="1" applyFill="1" applyBorder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164" fontId="19" fillId="7" borderId="5" xfId="0" applyNumberFormat="1" applyFont="1" applyFill="1" applyBorder="1" applyAlignment="1">
      <alignment horizontal="center" vertical="center"/>
    </xf>
    <xf numFmtId="164" fontId="19" fillId="7" borderId="0" xfId="0" applyNumberFormat="1" applyFont="1" applyFill="1" applyAlignment="1">
      <alignment horizontal="center" vertical="center"/>
    </xf>
    <xf numFmtId="164" fontId="19" fillId="7" borderId="6" xfId="0" applyNumberFormat="1" applyFont="1" applyFill="1" applyBorder="1" applyAlignment="1">
      <alignment horizontal="center" vertical="center"/>
    </xf>
    <xf numFmtId="164" fontId="19" fillId="7" borderId="7" xfId="0" applyNumberFormat="1" applyFont="1" applyFill="1" applyBorder="1" applyAlignment="1">
      <alignment horizontal="center" vertical="center"/>
    </xf>
    <xf numFmtId="164" fontId="19" fillId="7" borderId="8" xfId="0" applyNumberFormat="1" applyFont="1" applyFill="1" applyBorder="1" applyAlignment="1">
      <alignment horizontal="center" vertical="center"/>
    </xf>
    <xf numFmtId="164" fontId="19" fillId="7" borderId="9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5" fontId="19" fillId="7" borderId="3" xfId="0" applyNumberFormat="1" applyFont="1" applyFill="1" applyBorder="1" applyAlignment="1">
      <alignment horizontal="center" vertical="center"/>
    </xf>
    <xf numFmtId="165" fontId="19" fillId="7" borderId="4" xfId="0" applyNumberFormat="1" applyFont="1" applyFill="1" applyBorder="1" applyAlignment="1">
      <alignment horizontal="center" vertical="center"/>
    </xf>
    <xf numFmtId="165" fontId="19" fillId="7" borderId="5" xfId="0" applyNumberFormat="1" applyFont="1" applyFill="1" applyBorder="1" applyAlignment="1">
      <alignment horizontal="center" vertical="center"/>
    </xf>
    <xf numFmtId="165" fontId="19" fillId="7" borderId="0" xfId="0" applyNumberFormat="1" applyFont="1" applyFill="1" applyAlignment="1">
      <alignment horizontal="center" vertical="center"/>
    </xf>
    <xf numFmtId="165" fontId="19" fillId="7" borderId="6" xfId="0" applyNumberFormat="1" applyFont="1" applyFill="1" applyBorder="1" applyAlignment="1">
      <alignment horizontal="center" vertical="center"/>
    </xf>
    <xf numFmtId="165" fontId="19" fillId="7" borderId="7" xfId="0" applyNumberFormat="1" applyFont="1" applyFill="1" applyBorder="1" applyAlignment="1">
      <alignment horizontal="center" vertical="center"/>
    </xf>
    <xf numFmtId="165" fontId="19" fillId="7" borderId="8" xfId="0" applyNumberFormat="1" applyFont="1" applyFill="1" applyBorder="1" applyAlignment="1">
      <alignment horizontal="center" vertical="center"/>
    </xf>
    <xf numFmtId="165" fontId="19" fillId="7" borderId="9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16" fillId="6" borderId="14" xfId="0" applyFont="1" applyFill="1" applyBorder="1" applyAlignment="1">
      <alignment vertical="center" wrapText="1"/>
    </xf>
    <xf numFmtId="0" fontId="16" fillId="6" borderId="15" xfId="0" applyFont="1" applyFill="1" applyBorder="1" applyAlignment="1">
      <alignment vertical="center" wrapText="1"/>
    </xf>
    <xf numFmtId="0" fontId="16" fillId="6" borderId="16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color rgb="FF000000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000000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Revenue: FY2025A vs FY2024A (VND bn)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FY2024A</c:v>
          </c:tx>
          <c:marker>
            <c:symbol val="none"/>
          </c:marker>
          <c:cat>
            <c:strRef>
              <c:f>'05A_YoY_Analysis'!$I$24:$I$35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'05A_YoY_Analysis'!$J$24:$J$35</c:f>
              <c:numCache>
                <c:formatCode>#,##0.0;[Red]\(#,##0.0\);\-</c:formatCode>
                <c:ptCount val="12"/>
                <c:pt idx="0">
                  <c:v>10806.512295282742</c:v>
                </c:pt>
                <c:pt idx="1">
                  <c:v>10806.512295282742</c:v>
                </c:pt>
                <c:pt idx="2">
                  <c:v>9828.0111819774011</c:v>
                </c:pt>
                <c:pt idx="3">
                  <c:v>11598.01319582559</c:v>
                </c:pt>
                <c:pt idx="4">
                  <c:v>11201.012744131956</c:v>
                </c:pt>
                <c:pt idx="5">
                  <c:v>11381.012948930078</c:v>
                </c:pt>
                <c:pt idx="6">
                  <c:v>10920.012424419334</c:v>
                </c:pt>
                <c:pt idx="7">
                  <c:v>11426.013000129607</c:v>
                </c:pt>
                <c:pt idx="8">
                  <c:v>11800.013425654592</c:v>
                </c:pt>
                <c:pt idx="9">
                  <c:v>11586.013182172383</c:v>
                </c:pt>
                <c:pt idx="10">
                  <c:v>10945.012452863519</c:v>
                </c:pt>
                <c:pt idx="11">
                  <c:v>12043.013702132055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8B-4B9E-A367-7336031BB441}"/>
            </c:ext>
          </c:extLst>
        </c:ser>
        <c:ser>
          <c:idx val="1"/>
          <c:order val="1"/>
          <c:tx>
            <c:v>FY2025A</c:v>
          </c:tx>
          <c:marker>
            <c:symbol val="none"/>
          </c:marker>
          <c:cat>
            <c:strRef>
              <c:f>'05A_YoY_Analysis'!$I$24:$I$35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'05A_YoY_Analysis'!$K$24:$K$35</c:f>
              <c:numCache>
                <c:formatCode>#,##0.0;[Red]\(#,##0.0\);\-</c:formatCode>
                <c:ptCount val="12"/>
                <c:pt idx="0">
                  <c:v>12276.934973375044</c:v>
                </c:pt>
                <c:pt idx="1">
                  <c:v>12276.934973375044</c:v>
                </c:pt>
                <c:pt idx="2">
                  <c:v>11581.088471458908</c:v>
                </c:pt>
                <c:pt idx="3">
                  <c:v>12562.689992297517</c:v>
                </c:pt>
                <c:pt idx="4">
                  <c:v>12612.764490034671</c:v>
                </c:pt>
                <c:pt idx="5">
                  <c:v>12444.514177637824</c:v>
                </c:pt>
                <c:pt idx="6">
                  <c:v>12875.101730117554</c:v>
                </c:pt>
                <c:pt idx="7">
                  <c:v>13317.896234063397</c:v>
                </c:pt>
                <c:pt idx="8">
                  <c:v>13659.509188465054</c:v>
                </c:pt>
                <c:pt idx="9">
                  <c:v>14710.730780576034</c:v>
                </c:pt>
                <c:pt idx="10">
                  <c:v>13878.776706942166</c:v>
                </c:pt>
                <c:pt idx="11">
                  <c:v>13731.203901023777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8B-4B9E-A367-7336031B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vi-V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FY2026 Monthly Revenue: Forecast vs Budget (VND bn)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Forecast</c:v>
          </c:tx>
          <c:marker>
            <c:symbol val="none"/>
          </c:marker>
          <c:cat>
            <c:strRef>
              <c:f>'07A_Forecast_Variance'!$K$15:$K$26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'07A_Forecast_Variance'!$L$15:$L$26</c:f>
              <c:numCache>
                <c:formatCode>#,##0.0;[Red]\(#,##0.0\);\-</c:formatCode>
                <c:ptCount val="12"/>
                <c:pt idx="0">
                  <c:v>16102.000000000002</c:v>
                </c:pt>
                <c:pt idx="1">
                  <c:v>16102.000000000002</c:v>
                </c:pt>
                <c:pt idx="2">
                  <c:v>14304</c:v>
                </c:pt>
                <c:pt idx="3">
                  <c:v>15987.999999999998</c:v>
                </c:pt>
                <c:pt idx="4">
                  <c:v>16663</c:v>
                </c:pt>
                <c:pt idx="5">
                  <c:v>16146.000000000002</c:v>
                </c:pt>
                <c:pt idx="6">
                  <c:v>13970.987383500384</c:v>
                </c:pt>
                <c:pt idx="7">
                  <c:v>14451.47107658373</c:v>
                </c:pt>
                <c:pt idx="8">
                  <c:v>14822.160984595994</c:v>
                </c:pt>
                <c:pt idx="9">
                  <c:v>16146.208808522502</c:v>
                </c:pt>
                <c:pt idx="10">
                  <c:v>15233.072378228359</c:v>
                </c:pt>
                <c:pt idx="11">
                  <c:v>15071.099368569041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BF-42CF-8006-912ABF5742CF}"/>
            </c:ext>
          </c:extLst>
        </c:ser>
        <c:ser>
          <c:idx val="1"/>
          <c:order val="1"/>
          <c:tx>
            <c:v>Budget</c:v>
          </c:tx>
          <c:marker>
            <c:symbol val="none"/>
          </c:marker>
          <c:cat>
            <c:strRef>
              <c:f>'07A_Forecast_Variance'!$K$15:$K$26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'07A_Forecast_Variance'!$M$15:$M$26</c:f>
              <c:numCache>
                <c:formatCode>#,##0.0;[Red]\(#,##0.0\);\-</c:formatCode>
                <c:ptCount val="12"/>
                <c:pt idx="0">
                  <c:v>14526.017186839643</c:v>
                </c:pt>
                <c:pt idx="1">
                  <c:v>14526.017186839643</c:v>
                </c:pt>
                <c:pt idx="2">
                  <c:v>13702.69456860008</c:v>
                </c:pt>
                <c:pt idx="3">
                  <c:v>14860.084781578578</c:v>
                </c:pt>
                <c:pt idx="4">
                  <c:v>14919.316624617391</c:v>
                </c:pt>
                <c:pt idx="5">
                  <c:v>14720.297632006968</c:v>
                </c:pt>
                <c:pt idx="6">
                  <c:v>15224.952934697692</c:v>
                </c:pt>
                <c:pt idx="7">
                  <c:v>15748.562427160839</c:v>
                </c:pt>
                <c:pt idx="8">
                  <c:v>16152.523596685578</c:v>
                </c:pt>
                <c:pt idx="9">
                  <c:v>17595.411293111174</c:v>
                </c:pt>
                <c:pt idx="10">
                  <c:v>16600.316330059039</c:v>
                </c:pt>
                <c:pt idx="11">
                  <c:v>16423.805437803363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BF-42CF-8006-912ABF57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vi-V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Revenue: Actual vs Budget (VND bn)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2025</c:v>
          </c:tx>
          <c:marker>
            <c:symbol val="none"/>
          </c:marker>
          <c:cat>
            <c:numRef>
              <c:f>'09_Management_Dashboard'!$N$3:$N$14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'09_Management_Dashboard'!$O$3:$O$14</c:f>
              <c:numCache>
                <c:formatCode>General</c:formatCode>
                <c:ptCount val="12"/>
                <c:pt idx="0">
                  <c:v>12276.934973375044</c:v>
                </c:pt>
                <c:pt idx="1">
                  <c:v>12276.934973375044</c:v>
                </c:pt>
                <c:pt idx="2">
                  <c:v>11581.088471458908</c:v>
                </c:pt>
                <c:pt idx="3">
                  <c:v>12562.689992297517</c:v>
                </c:pt>
                <c:pt idx="4">
                  <c:v>12612.764490034671</c:v>
                </c:pt>
                <c:pt idx="5">
                  <c:v>12444.514177637824</c:v>
                </c:pt>
                <c:pt idx="6">
                  <c:v>12875.101730117554</c:v>
                </c:pt>
                <c:pt idx="7">
                  <c:v>13317.896234063397</c:v>
                </c:pt>
                <c:pt idx="8">
                  <c:v>13659.509188465054</c:v>
                </c:pt>
                <c:pt idx="9">
                  <c:v>14710.730780576034</c:v>
                </c:pt>
                <c:pt idx="10">
                  <c:v>13878.776706942166</c:v>
                </c:pt>
                <c:pt idx="11">
                  <c:v>13731.203901023777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5D-4311-8B1F-90DD050EF7D9}"/>
            </c:ext>
          </c:extLst>
        </c:ser>
        <c:ser>
          <c:idx val="1"/>
          <c:order val="1"/>
          <c:tx>
            <c:v>Budget 2025</c:v>
          </c:tx>
          <c:marker>
            <c:symbol val="none"/>
          </c:marker>
          <c:cat>
            <c:numRef>
              <c:f>'09_Management_Dashboard'!$N$3:$N$14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'09_Management_Dashboard'!$P$3:$P$14</c:f>
              <c:numCache>
                <c:formatCode>General</c:formatCode>
                <c:ptCount val="12"/>
                <c:pt idx="0">
                  <c:v>12066.122777111977</c:v>
                </c:pt>
                <c:pt idx="1">
                  <c:v>12066.122777111977</c:v>
                </c:pt>
                <c:pt idx="2">
                  <c:v>10973.567265391801</c:v>
                </c:pt>
                <c:pt idx="3">
                  <c:v>12949.881272284711</c:v>
                </c:pt>
                <c:pt idx="4">
                  <c:v>12506.606322716072</c:v>
                </c:pt>
                <c:pt idx="5">
                  <c:v>12707.587408162808</c:v>
                </c:pt>
                <c:pt idx="6">
                  <c:v>12192.852517102001</c:v>
                </c:pt>
                <c:pt idx="7">
                  <c:v>12757.832679524494</c:v>
                </c:pt>
                <c:pt idx="8">
                  <c:v>13175.426712619377</c:v>
                </c:pt>
                <c:pt idx="9">
                  <c:v>12936.482533254926</c:v>
                </c:pt>
                <c:pt idx="10">
                  <c:v>12220.76655674738</c:v>
                </c:pt>
                <c:pt idx="11">
                  <c:v>13446.75117797247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5D-4311-8B1F-90DD050EF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vi-VN"/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0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by Business Unit (VND bn)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invertIfNegative val="1"/>
          <c:cat>
            <c:strRef>
              <c:f>'09_Management_Dashboard'!$N$18:$N$21</c:f>
              <c:strCache>
                <c:ptCount val="4"/>
                <c:pt idx="0">
                  <c:v>TGDĐ</c:v>
                </c:pt>
                <c:pt idx="1">
                  <c:v>ĐMX</c:v>
                </c:pt>
                <c:pt idx="2">
                  <c:v>BHX</c:v>
                </c:pt>
                <c:pt idx="3">
                  <c:v>Other</c:v>
                </c:pt>
              </c:strCache>
            </c:strRef>
          </c:cat>
          <c:val>
            <c:numRef>
              <c:f>'09_Management_Dashboard'!$O$18:$O$21</c:f>
              <c:numCache>
                <c:formatCode>General</c:formatCode>
                <c:ptCount val="4"/>
                <c:pt idx="0">
                  <c:v>37255.618259670868</c:v>
                </c:pt>
                <c:pt idx="1">
                  <c:v>68304.049979580333</c:v>
                </c:pt>
                <c:pt idx="2">
                  <c:v>46782.107377133703</c:v>
                </c:pt>
                <c:pt idx="3">
                  <c:v>3586.3700029820743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9-4083-A081-AD1671FC3F25}"/>
            </c:ext>
          </c:extLst>
        </c:ser>
        <c:ser>
          <c:idx val="1"/>
          <c:order val="1"/>
          <c:tx>
            <c:v>Budget</c:v>
          </c:tx>
          <c:invertIfNegative val="1"/>
          <c:cat>
            <c:strRef>
              <c:f>'09_Management_Dashboard'!$N$18:$N$21</c:f>
              <c:strCache>
                <c:ptCount val="4"/>
                <c:pt idx="0">
                  <c:v>TGDĐ</c:v>
                </c:pt>
                <c:pt idx="1">
                  <c:v>ĐMX</c:v>
                </c:pt>
                <c:pt idx="2">
                  <c:v>BHX</c:v>
                </c:pt>
                <c:pt idx="3">
                  <c:v>Other</c:v>
                </c:pt>
              </c:strCache>
            </c:strRef>
          </c:cat>
          <c:val>
            <c:numRef>
              <c:f>'09_Management_Dashboard'!$P$18:$P$21</c:f>
              <c:numCache>
                <c:formatCode>General</c:formatCode>
                <c:ptCount val="4"/>
                <c:pt idx="0">
                  <c:v>33000</c:v>
                </c:pt>
                <c:pt idx="1">
                  <c:v>63000</c:v>
                </c:pt>
                <c:pt idx="2">
                  <c:v>46500</c:v>
                </c:pt>
                <c:pt idx="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9-4083-A081-AD1671FC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0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FY2026 Cumulative Revenue vs Plan Run-rate (VND bn)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FY2026 Cum.</c:v>
          </c:tx>
          <c:marker>
            <c:symbol val="none"/>
          </c:marker>
          <c:cat>
            <c:numRef>
              <c:f>'09_Management_Dashboard'!$N$25:$N$36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'09_Management_Dashboard'!$O$25:$O$36</c:f>
              <c:numCache>
                <c:formatCode>General</c:formatCode>
                <c:ptCount val="12"/>
                <c:pt idx="0">
                  <c:v>16102.000000000002</c:v>
                </c:pt>
                <c:pt idx="1">
                  <c:v>32204.000000000004</c:v>
                </c:pt>
                <c:pt idx="2">
                  <c:v>46508</c:v>
                </c:pt>
                <c:pt idx="3">
                  <c:v>62496</c:v>
                </c:pt>
                <c:pt idx="4">
                  <c:v>79159</c:v>
                </c:pt>
                <c:pt idx="5">
                  <c:v>95305</c:v>
                </c:pt>
                <c:pt idx="6">
                  <c:v>109275.98738350038</c:v>
                </c:pt>
                <c:pt idx="7">
                  <c:v>123727.4584600841</c:v>
                </c:pt>
                <c:pt idx="8">
                  <c:v>138549.61944468011</c:v>
                </c:pt>
                <c:pt idx="9">
                  <c:v>154695.82825320261</c:v>
                </c:pt>
                <c:pt idx="10">
                  <c:v>169928.90063143097</c:v>
                </c:pt>
                <c:pt idx="11">
                  <c:v>185000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BC-40AE-A2B0-A0B8BC63D5CD}"/>
            </c:ext>
          </c:extLst>
        </c:ser>
        <c:ser>
          <c:idx val="1"/>
          <c:order val="1"/>
          <c:tx>
            <c:v>Plan run-rate</c:v>
          </c:tx>
          <c:marker>
            <c:symbol val="none"/>
          </c:marker>
          <c:cat>
            <c:numRef>
              <c:f>'09_Management_Dashboard'!$N$25:$N$36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'09_Management_Dashboard'!$P$25:$P$36</c:f>
              <c:numCache>
                <c:formatCode>General</c:formatCode>
                <c:ptCount val="12"/>
                <c:pt idx="0">
                  <c:v>15416.666666666666</c:v>
                </c:pt>
                <c:pt idx="1">
                  <c:v>30833.333333333332</c:v>
                </c:pt>
                <c:pt idx="2">
                  <c:v>46250</c:v>
                </c:pt>
                <c:pt idx="3">
                  <c:v>61666.666666666664</c:v>
                </c:pt>
                <c:pt idx="4">
                  <c:v>77083.333333333328</c:v>
                </c:pt>
                <c:pt idx="5">
                  <c:v>92500</c:v>
                </c:pt>
                <c:pt idx="6">
                  <c:v>107916.66666666667</c:v>
                </c:pt>
                <c:pt idx="7">
                  <c:v>123333.33333333333</c:v>
                </c:pt>
                <c:pt idx="8">
                  <c:v>138750</c:v>
                </c:pt>
                <c:pt idx="9">
                  <c:v>154166.66666666666</c:v>
                </c:pt>
                <c:pt idx="10">
                  <c:v>169583.33333333334</c:v>
                </c:pt>
                <c:pt idx="11">
                  <c:v>185000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BC-40AE-A2B0-A0B8BC63D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vi-VN"/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0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Plan Achievement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Achievement</c:v>
          </c:tx>
          <c:invertIfNegative val="1"/>
          <c:cat>
            <c:strRef>
              <c:f>'09_Management_Dashboard'!$N$40:$N$43</c:f>
              <c:strCache>
                <c:ptCount val="4"/>
                <c:pt idx="0">
                  <c:v>FY2025 Revenue vs Plan</c:v>
                </c:pt>
                <c:pt idx="1">
                  <c:v>FY2025 PAT vs Plan</c:v>
                </c:pt>
                <c:pt idx="2">
                  <c:v>6M2026 Revenue vs FY Plan</c:v>
                </c:pt>
                <c:pt idx="3">
                  <c:v>FY2026F Revenue vs Plan</c:v>
                </c:pt>
              </c:strCache>
            </c:strRef>
          </c:cat>
          <c:val>
            <c:numRef>
              <c:f>'09_Management_Dashboard'!$O$40:$O$43</c:f>
              <c:numCache>
                <c:formatCode>0.0%;[Red]\(0.0%\);\-</c:formatCode>
                <c:ptCount val="4"/>
                <c:pt idx="0">
                  <c:v>1.03952097079578</c:v>
                </c:pt>
                <c:pt idx="1">
                  <c:v>1.4582727599742269</c:v>
                </c:pt>
                <c:pt idx="2">
                  <c:v>0.51516216216216215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7-47E8-BEE0-83864ECC6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HIA LE HOANG" refreshedDate="46231.604851620374" createdVersion="6" refreshedVersion="8" minRefreshableVersion="3" recordCount="864" xr:uid="{7C631C98-3188-4FC7-8E35-2378E96E412D}">
  <cacheSource type="worksheet">
    <worksheetSource ref="A1:F865" sheet="12_Pivot_Source"/>
  </cacheSource>
  <cacheFields count="6">
    <cacheField name="Version" numFmtId="0">
      <sharedItems count="2">
        <s v="Actual"/>
        <s v="Budget"/>
      </sharedItems>
    </cacheField>
    <cacheField name="Year" numFmtId="0">
      <sharedItems containsSemiMixedTypes="0" containsString="0" containsNumber="1" containsInteger="1" minValue="2025" maxValue="2025"/>
    </cacheField>
    <cacheField name="Period" numFmtId="17">
      <sharedItems containsSemiMixedTypes="0" containsNonDate="0" containsDate="1" containsString="0" minDate="2025-01-01T00:00:00" maxDate="2025-12-02T00:00:00"/>
    </cacheField>
    <cacheField name="BusinessUnit" numFmtId="0">
      <sharedItems count="4">
        <s v="TGDĐ"/>
        <s v="ĐMX"/>
        <s v="BHX"/>
        <s v="Other"/>
      </sharedItems>
    </cacheField>
    <cacheField name="AccountCategory" numFmtId="0">
      <sharedItems count="9">
        <s v="Revenue"/>
        <s v="COGS"/>
        <s v="Selling Expense"/>
        <s v="G&amp;A"/>
        <s v="Finance Income"/>
        <s v="Finance Expense"/>
        <s v="JV Profit/(Loss)"/>
        <s v="Other Net"/>
        <s v="Tax Expense"/>
      </sharedItems>
    </cacheField>
    <cacheField name="Amount_VNDm" numFmtId="164">
      <sharedItems containsSemiMixedTypes="0" containsString="0" containsNumber="1" minValue="-4895.602540124446" maxValue="6026.4442184756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x v="0"/>
    <n v="2025"/>
    <d v="2025-01-01T00:00:00"/>
    <x v="0"/>
    <x v="0"/>
    <n v="2823.6950438762606"/>
  </r>
  <r>
    <x v="0"/>
    <n v="2025"/>
    <d v="2025-01-01T00:00:00"/>
    <x v="0"/>
    <x v="1"/>
    <n v="-2261.0331602587926"/>
  </r>
  <r>
    <x v="0"/>
    <n v="2025"/>
    <d v="2025-01-01T00:00:00"/>
    <x v="0"/>
    <x v="2"/>
    <n v="-344.06424513104037"/>
  </r>
  <r>
    <x v="0"/>
    <n v="2025"/>
    <d v="2025-01-01T00:00:00"/>
    <x v="0"/>
    <x v="3"/>
    <n v="-94.912504341848134"/>
  </r>
  <r>
    <x v="0"/>
    <n v="2025"/>
    <d v="2025-01-01T00:00:00"/>
    <x v="0"/>
    <x v="4"/>
    <n v="54.176066053007183"/>
  </r>
  <r>
    <x v="0"/>
    <n v="2025"/>
    <d v="2025-01-01T00:00:00"/>
    <x v="0"/>
    <x v="5"/>
    <n v="-26.492296274705701"/>
  </r>
  <r>
    <x v="0"/>
    <n v="2025"/>
    <d v="2025-01-01T00:00:00"/>
    <x v="0"/>
    <x v="6"/>
    <n v="0.24457003871652216"/>
  </r>
  <r>
    <x v="0"/>
    <n v="2025"/>
    <d v="2025-01-01T00:00:00"/>
    <x v="0"/>
    <x v="7"/>
    <n v="-0.43317627183945312"/>
  </r>
  <r>
    <x v="0"/>
    <n v="2025"/>
    <d v="2025-01-01T00:00:00"/>
    <x v="0"/>
    <x v="8"/>
    <n v="-30.227881174666862"/>
  </r>
  <r>
    <x v="0"/>
    <n v="2025"/>
    <d v="2025-01-01T00:00:00"/>
    <x v="1"/>
    <x v="0"/>
    <n v="5635.1131527791449"/>
  </r>
  <r>
    <x v="0"/>
    <n v="2025"/>
    <d v="2025-01-01T00:00:00"/>
    <x v="1"/>
    <x v="1"/>
    <n v="-4512.2357415599372"/>
  </r>
  <r>
    <x v="0"/>
    <n v="2025"/>
    <d v="2025-01-01T00:00:00"/>
    <x v="1"/>
    <x v="2"/>
    <n v="-686.63255876151095"/>
  </r>
  <r>
    <x v="0"/>
    <n v="2025"/>
    <d v="2025-01-01T00:00:00"/>
    <x v="1"/>
    <x v="3"/>
    <n v="-189.41234562134036"/>
  </r>
  <r>
    <x v="0"/>
    <n v="2025"/>
    <d v="2025-01-01T00:00:00"/>
    <x v="1"/>
    <x v="4"/>
    <n v="108.1165839927404"/>
  </r>
  <r>
    <x v="0"/>
    <n v="2025"/>
    <d v="2025-01-01T00:00:00"/>
    <x v="1"/>
    <x v="5"/>
    <n v="-52.86940865256485"/>
  </r>
  <r>
    <x v="0"/>
    <n v="2025"/>
    <d v="2025-01-01T00:00:00"/>
    <x v="1"/>
    <x v="6"/>
    <n v="0.48807672943862457"/>
  </r>
  <r>
    <x v="0"/>
    <n v="2025"/>
    <d v="2025-01-01T00:00:00"/>
    <x v="1"/>
    <x v="7"/>
    <n v="-0.86446916858395195"/>
  </r>
  <r>
    <x v="0"/>
    <n v="2025"/>
    <d v="2025-01-01T00:00:00"/>
    <x v="1"/>
    <x v="8"/>
    <n v="-60.324336779009073"/>
  </r>
  <r>
    <x v="0"/>
    <n v="2025"/>
    <d v="2025-01-01T00:00:00"/>
    <x v="2"/>
    <x v="0"/>
    <n v="3548.0342073053876"/>
  </r>
  <r>
    <x v="0"/>
    <n v="2025"/>
    <d v="2025-01-01T00:00:00"/>
    <x v="2"/>
    <x v="1"/>
    <n v="-2841.0373187599603"/>
  </r>
  <r>
    <x v="0"/>
    <n v="2025"/>
    <d v="2025-01-01T00:00:00"/>
    <x v="2"/>
    <x v="2"/>
    <n v="-432.32420366465499"/>
  </r>
  <r>
    <x v="0"/>
    <n v="2025"/>
    <d v="2025-01-01T00:00:00"/>
    <x v="2"/>
    <x v="3"/>
    <n v="-119.25962502084393"/>
  </r>
  <r>
    <x v="0"/>
    <n v="2025"/>
    <d v="2025-01-01T00:00:00"/>
    <x v="2"/>
    <x v="4"/>
    <n v="68.073404736169877"/>
  </r>
  <r>
    <x v="0"/>
    <n v="2025"/>
    <d v="2025-01-01T00:00:00"/>
    <x v="2"/>
    <x v="5"/>
    <n v="-33.288146188651936"/>
  </r>
  <r>
    <x v="0"/>
    <n v="2025"/>
    <d v="2025-01-01T00:00:00"/>
    <x v="2"/>
    <x v="6"/>
    <n v="0.30730757038728213"/>
  </r>
  <r>
    <x v="0"/>
    <n v="2025"/>
    <d v="2025-01-01T00:00:00"/>
    <x v="2"/>
    <x v="7"/>
    <n v="-0.54429540244174746"/>
  </r>
  <r>
    <x v="0"/>
    <n v="2025"/>
    <d v="2025-01-01T00:00:00"/>
    <x v="2"/>
    <x v="8"/>
    <n v="-37.981989823820527"/>
  </r>
  <r>
    <x v="0"/>
    <n v="2025"/>
    <d v="2025-01-01T00:00:00"/>
    <x v="3"/>
    <x v="0"/>
    <n v="270.09256941425099"/>
  </r>
  <r>
    <x v="0"/>
    <n v="2025"/>
    <d v="2025-01-01T00:00:00"/>
    <x v="3"/>
    <x v="1"/>
    <n v="-216.27273706823229"/>
  </r>
  <r>
    <x v="0"/>
    <n v="2025"/>
    <d v="2025-01-01T00:00:00"/>
    <x v="3"/>
    <x v="2"/>
    <n v="-32.910493012534289"/>
  </r>
  <r>
    <x v="0"/>
    <n v="2025"/>
    <d v="2025-01-01T00:00:00"/>
    <x v="3"/>
    <x v="3"/>
    <n v="-9.0785873718289505"/>
  </r>
  <r>
    <x v="0"/>
    <n v="2025"/>
    <d v="2025-01-01T00:00:00"/>
    <x v="3"/>
    <x v="4"/>
    <n v="5.1820584920267736"/>
  </r>
  <r>
    <x v="0"/>
    <n v="2025"/>
    <d v="2025-01-01T00:00:00"/>
    <x v="3"/>
    <x v="5"/>
    <n v="-2.5340457306240234"/>
  </r>
  <r>
    <x v="0"/>
    <n v="2025"/>
    <d v="2025-01-01T00:00:00"/>
    <x v="3"/>
    <x v="6"/>
    <n v="2.339365587723255E-2"/>
  </r>
  <r>
    <x v="0"/>
    <n v="2025"/>
    <d v="2025-01-01T00:00:00"/>
    <x v="3"/>
    <x v="7"/>
    <n v="-4.1434252088991166E-2"/>
  </r>
  <r>
    <x v="0"/>
    <n v="2025"/>
    <d v="2025-01-01T00:00:00"/>
    <x v="3"/>
    <x v="8"/>
    <n v="-2.8913625471420472"/>
  </r>
  <r>
    <x v="0"/>
    <n v="2025"/>
    <d v="2025-02-01T00:00:00"/>
    <x v="0"/>
    <x v="0"/>
    <n v="2823.6950438762606"/>
  </r>
  <r>
    <x v="0"/>
    <n v="2025"/>
    <d v="2025-02-01T00:00:00"/>
    <x v="0"/>
    <x v="1"/>
    <n v="-2261.0331602587926"/>
  </r>
  <r>
    <x v="0"/>
    <n v="2025"/>
    <d v="2025-02-01T00:00:00"/>
    <x v="0"/>
    <x v="2"/>
    <n v="-344.06424513104037"/>
  </r>
  <r>
    <x v="0"/>
    <n v="2025"/>
    <d v="2025-02-01T00:00:00"/>
    <x v="0"/>
    <x v="3"/>
    <n v="-94.912504341848134"/>
  </r>
  <r>
    <x v="0"/>
    <n v="2025"/>
    <d v="2025-02-01T00:00:00"/>
    <x v="0"/>
    <x v="4"/>
    <n v="54.176066053007183"/>
  </r>
  <r>
    <x v="0"/>
    <n v="2025"/>
    <d v="2025-02-01T00:00:00"/>
    <x v="0"/>
    <x v="5"/>
    <n v="-26.492296274705701"/>
  </r>
  <r>
    <x v="0"/>
    <n v="2025"/>
    <d v="2025-02-01T00:00:00"/>
    <x v="0"/>
    <x v="6"/>
    <n v="0.24457003871652216"/>
  </r>
  <r>
    <x v="0"/>
    <n v="2025"/>
    <d v="2025-02-01T00:00:00"/>
    <x v="0"/>
    <x v="7"/>
    <n v="-0.43317627183945312"/>
  </r>
  <r>
    <x v="0"/>
    <n v="2025"/>
    <d v="2025-02-01T00:00:00"/>
    <x v="0"/>
    <x v="8"/>
    <n v="-30.227881174666862"/>
  </r>
  <r>
    <x v="0"/>
    <n v="2025"/>
    <d v="2025-02-01T00:00:00"/>
    <x v="1"/>
    <x v="0"/>
    <n v="5635.1131527791449"/>
  </r>
  <r>
    <x v="0"/>
    <n v="2025"/>
    <d v="2025-02-01T00:00:00"/>
    <x v="1"/>
    <x v="1"/>
    <n v="-4512.2357415599372"/>
  </r>
  <r>
    <x v="0"/>
    <n v="2025"/>
    <d v="2025-02-01T00:00:00"/>
    <x v="1"/>
    <x v="2"/>
    <n v="-686.63255876151095"/>
  </r>
  <r>
    <x v="0"/>
    <n v="2025"/>
    <d v="2025-02-01T00:00:00"/>
    <x v="1"/>
    <x v="3"/>
    <n v="-189.41234562134036"/>
  </r>
  <r>
    <x v="0"/>
    <n v="2025"/>
    <d v="2025-02-01T00:00:00"/>
    <x v="1"/>
    <x v="4"/>
    <n v="108.1165839927404"/>
  </r>
  <r>
    <x v="0"/>
    <n v="2025"/>
    <d v="2025-02-01T00:00:00"/>
    <x v="1"/>
    <x v="5"/>
    <n v="-52.86940865256485"/>
  </r>
  <r>
    <x v="0"/>
    <n v="2025"/>
    <d v="2025-02-01T00:00:00"/>
    <x v="1"/>
    <x v="6"/>
    <n v="0.48807672943862457"/>
  </r>
  <r>
    <x v="0"/>
    <n v="2025"/>
    <d v="2025-02-01T00:00:00"/>
    <x v="1"/>
    <x v="7"/>
    <n v="-0.86446916858395195"/>
  </r>
  <r>
    <x v="0"/>
    <n v="2025"/>
    <d v="2025-02-01T00:00:00"/>
    <x v="1"/>
    <x v="8"/>
    <n v="-60.324336779009073"/>
  </r>
  <r>
    <x v="0"/>
    <n v="2025"/>
    <d v="2025-02-01T00:00:00"/>
    <x v="2"/>
    <x v="0"/>
    <n v="3548.0342073053876"/>
  </r>
  <r>
    <x v="0"/>
    <n v="2025"/>
    <d v="2025-02-01T00:00:00"/>
    <x v="2"/>
    <x v="1"/>
    <n v="-2841.0373187599603"/>
  </r>
  <r>
    <x v="0"/>
    <n v="2025"/>
    <d v="2025-02-01T00:00:00"/>
    <x v="2"/>
    <x v="2"/>
    <n v="-432.32420366465499"/>
  </r>
  <r>
    <x v="0"/>
    <n v="2025"/>
    <d v="2025-02-01T00:00:00"/>
    <x v="2"/>
    <x v="3"/>
    <n v="-119.25962502084393"/>
  </r>
  <r>
    <x v="0"/>
    <n v="2025"/>
    <d v="2025-02-01T00:00:00"/>
    <x v="2"/>
    <x v="4"/>
    <n v="68.073404736169877"/>
  </r>
  <r>
    <x v="0"/>
    <n v="2025"/>
    <d v="2025-02-01T00:00:00"/>
    <x v="2"/>
    <x v="5"/>
    <n v="-33.288146188651936"/>
  </r>
  <r>
    <x v="0"/>
    <n v="2025"/>
    <d v="2025-02-01T00:00:00"/>
    <x v="2"/>
    <x v="6"/>
    <n v="0.30730757038728213"/>
  </r>
  <r>
    <x v="0"/>
    <n v="2025"/>
    <d v="2025-02-01T00:00:00"/>
    <x v="2"/>
    <x v="7"/>
    <n v="-0.54429540244174746"/>
  </r>
  <r>
    <x v="0"/>
    <n v="2025"/>
    <d v="2025-02-01T00:00:00"/>
    <x v="2"/>
    <x v="8"/>
    <n v="-37.981989823820527"/>
  </r>
  <r>
    <x v="0"/>
    <n v="2025"/>
    <d v="2025-02-01T00:00:00"/>
    <x v="3"/>
    <x v="0"/>
    <n v="270.09256941425099"/>
  </r>
  <r>
    <x v="0"/>
    <n v="2025"/>
    <d v="2025-02-01T00:00:00"/>
    <x v="3"/>
    <x v="1"/>
    <n v="-216.27273706823229"/>
  </r>
  <r>
    <x v="0"/>
    <n v="2025"/>
    <d v="2025-02-01T00:00:00"/>
    <x v="3"/>
    <x v="2"/>
    <n v="-32.910493012534289"/>
  </r>
  <r>
    <x v="0"/>
    <n v="2025"/>
    <d v="2025-02-01T00:00:00"/>
    <x v="3"/>
    <x v="3"/>
    <n v="-9.0785873718289505"/>
  </r>
  <r>
    <x v="0"/>
    <n v="2025"/>
    <d v="2025-02-01T00:00:00"/>
    <x v="3"/>
    <x v="4"/>
    <n v="5.1820584920267736"/>
  </r>
  <r>
    <x v="0"/>
    <n v="2025"/>
    <d v="2025-02-01T00:00:00"/>
    <x v="3"/>
    <x v="5"/>
    <n v="-2.5340457306240234"/>
  </r>
  <r>
    <x v="0"/>
    <n v="2025"/>
    <d v="2025-02-01T00:00:00"/>
    <x v="3"/>
    <x v="6"/>
    <n v="2.339365587723255E-2"/>
  </r>
  <r>
    <x v="0"/>
    <n v="2025"/>
    <d v="2025-02-01T00:00:00"/>
    <x v="3"/>
    <x v="7"/>
    <n v="-4.1434252088991166E-2"/>
  </r>
  <r>
    <x v="0"/>
    <n v="2025"/>
    <d v="2025-02-01T00:00:00"/>
    <x v="3"/>
    <x v="8"/>
    <n v="-2.8913625471420472"/>
  </r>
  <r>
    <x v="0"/>
    <n v="2025"/>
    <d v="2025-03-01T00:00:00"/>
    <x v="0"/>
    <x v="0"/>
    <n v="2663.6503484355489"/>
  </r>
  <r>
    <x v="0"/>
    <n v="2025"/>
    <d v="2025-03-01T00:00:00"/>
    <x v="0"/>
    <x v="1"/>
    <n v="-2132.8796741733358"/>
  </r>
  <r>
    <x v="0"/>
    <n v="2025"/>
    <d v="2025-03-01T00:00:00"/>
    <x v="0"/>
    <x v="2"/>
    <n v="-324.56296880041941"/>
  </r>
  <r>
    <x v="0"/>
    <n v="2025"/>
    <d v="2025-03-01T00:00:00"/>
    <x v="0"/>
    <x v="3"/>
    <n v="-89.532942237983775"/>
  </r>
  <r>
    <x v="0"/>
    <n v="2025"/>
    <d v="2025-03-01T00:00:00"/>
    <x v="0"/>
    <x v="4"/>
    <n v="51.105411518115638"/>
  </r>
  <r>
    <x v="0"/>
    <n v="2025"/>
    <d v="2025-03-01T00:00:00"/>
    <x v="0"/>
    <x v="5"/>
    <n v="-24.990734872738603"/>
  </r>
  <r>
    <x v="0"/>
    <n v="2025"/>
    <d v="2025-03-01T00:00:00"/>
    <x v="0"/>
    <x v="6"/>
    <n v="0.23070801156695572"/>
  </r>
  <r>
    <x v="0"/>
    <n v="2025"/>
    <d v="2025-03-01T00:00:00"/>
    <x v="0"/>
    <x v="7"/>
    <n v="-0.40862419967109387"/>
  </r>
  <r>
    <x v="0"/>
    <n v="2025"/>
    <d v="2025-03-01T00:00:00"/>
    <x v="0"/>
    <x v="8"/>
    <n v="-28.514589915786289"/>
  </r>
  <r>
    <x v="0"/>
    <n v="2025"/>
    <d v="2025-03-01T00:00:00"/>
    <x v="1"/>
    <x v="0"/>
    <n v="4701.4253152900865"/>
  </r>
  <r>
    <x v="0"/>
    <n v="2025"/>
    <d v="2025-03-01T00:00:00"/>
    <x v="1"/>
    <x v="1"/>
    <n v="-3764.5986458078946"/>
  </r>
  <r>
    <x v="0"/>
    <n v="2025"/>
    <d v="2025-03-01T00:00:00"/>
    <x v="1"/>
    <x v="2"/>
    <n v="-572.86368641447848"/>
  </r>
  <r>
    <x v="0"/>
    <n v="2025"/>
    <d v="2025-03-01T00:00:00"/>
    <x v="1"/>
    <x v="3"/>
    <n v="-158.02841444159131"/>
  </r>
  <r>
    <x v="0"/>
    <n v="2025"/>
    <d v="2025-03-01T00:00:00"/>
    <x v="1"/>
    <x v="4"/>
    <n v="90.202633240021186"/>
  </r>
  <r>
    <x v="0"/>
    <n v="2025"/>
    <d v="2025-03-01T00:00:00"/>
    <x v="1"/>
    <x v="5"/>
    <n v="-44.109420610480313"/>
  </r>
  <r>
    <x v="0"/>
    <n v="2025"/>
    <d v="2025-03-01T00:00:00"/>
    <x v="1"/>
    <x v="6"/>
    <n v="0.40720678172275088"/>
  </r>
  <r>
    <x v="0"/>
    <n v="2025"/>
    <d v="2025-03-01T00:00:00"/>
    <x v="1"/>
    <x v="7"/>
    <n v="-0.72123436092209625"/>
  </r>
  <r>
    <x v="0"/>
    <n v="2025"/>
    <d v="2025-03-01T00:00:00"/>
    <x v="1"/>
    <x v="8"/>
    <n v="-50.329133838429868"/>
  </r>
  <r>
    <x v="0"/>
    <n v="2025"/>
    <d v="2025-03-01T00:00:00"/>
    <x v="2"/>
    <x v="0"/>
    <n v="3925.0939029429683"/>
  </r>
  <r>
    <x v="0"/>
    <n v="2025"/>
    <d v="2025-03-01T00:00:00"/>
    <x v="2"/>
    <x v="1"/>
    <n v="-3142.9624423962991"/>
  </r>
  <r>
    <x v="0"/>
    <n v="2025"/>
    <d v="2025-03-01T00:00:00"/>
    <x v="2"/>
    <x v="2"/>
    <n v="-478.26852751444005"/>
  </r>
  <r>
    <x v="0"/>
    <n v="2025"/>
    <d v="2025-03-01T00:00:00"/>
    <x v="2"/>
    <x v="3"/>
    <n v="-131.93368487619213"/>
  </r>
  <r>
    <x v="0"/>
    <n v="2025"/>
    <d v="2025-03-01T00:00:00"/>
    <x v="2"/>
    <x v="4"/>
    <n v="75.30775924661522"/>
  </r>
  <r>
    <x v="0"/>
    <n v="2025"/>
    <d v="2025-03-01T00:00:00"/>
    <x v="2"/>
    <x v="5"/>
    <n v="-36.825772247721119"/>
  </r>
  <r>
    <x v="0"/>
    <n v="2025"/>
    <d v="2025-03-01T00:00:00"/>
    <x v="2"/>
    <x v="6"/>
    <n v="0.33996602072543569"/>
  </r>
  <r>
    <x v="0"/>
    <n v="2025"/>
    <d v="2025-03-01T00:00:00"/>
    <x v="2"/>
    <x v="7"/>
    <n v="-0.60213922434150491"/>
  </r>
  <r>
    <x v="0"/>
    <n v="2025"/>
    <d v="2025-03-01T00:00:00"/>
    <x v="2"/>
    <x v="8"/>
    <n v="-42.018444008278948"/>
  </r>
  <r>
    <x v="0"/>
    <n v="2025"/>
    <d v="2025-03-01T00:00:00"/>
    <x v="3"/>
    <x v="0"/>
    <n v="290.91890479030496"/>
  </r>
  <r>
    <x v="0"/>
    <n v="2025"/>
    <d v="2025-03-01T00:00:00"/>
    <x v="3"/>
    <x v="1"/>
    <n v="-232.9491253326274"/>
  </r>
  <r>
    <x v="0"/>
    <n v="2025"/>
    <d v="2025-03-01T00:00:00"/>
    <x v="3"/>
    <x v="2"/>
    <n v="-35.448159881181418"/>
  </r>
  <r>
    <x v="0"/>
    <n v="2025"/>
    <d v="2025-03-01T00:00:00"/>
    <x v="3"/>
    <x v="3"/>
    <n v="-9.7786203485100991"/>
  </r>
  <r>
    <x v="0"/>
    <n v="2025"/>
    <d v="2025-03-01T00:00:00"/>
    <x v="3"/>
    <x v="4"/>
    <n v="5.581637378359452"/>
  </r>
  <r>
    <x v="0"/>
    <n v="2025"/>
    <d v="2025-03-01T00:00:00"/>
    <x v="3"/>
    <x v="5"/>
    <n v="-2.7294412809669533"/>
  </r>
  <r>
    <x v="0"/>
    <n v="2025"/>
    <d v="2025-03-01T00:00:00"/>
    <x v="3"/>
    <x v="6"/>
    <n v="2.5197497145534892E-2"/>
  </r>
  <r>
    <x v="0"/>
    <n v="2025"/>
    <d v="2025-03-01T00:00:00"/>
    <x v="3"/>
    <x v="7"/>
    <n v="-4.4629170157017672E-2"/>
  </r>
  <r>
    <x v="0"/>
    <n v="2025"/>
    <d v="2025-03-01T00:00:00"/>
    <x v="3"/>
    <x v="8"/>
    <n v="-3.1143101322279061"/>
  </r>
  <r>
    <x v="0"/>
    <n v="2025"/>
    <d v="2025-04-01T00:00:00"/>
    <x v="0"/>
    <x v="0"/>
    <n v="2645.8813784837735"/>
  </r>
  <r>
    <x v="0"/>
    <n v="2025"/>
    <d v="2025-04-01T00:00:00"/>
    <x v="0"/>
    <x v="1"/>
    <n v="-2113.5607825516081"/>
  </r>
  <r>
    <x v="0"/>
    <n v="2025"/>
    <d v="2025-04-01T00:00:00"/>
    <x v="0"/>
    <x v="2"/>
    <n v="-330.79053209362041"/>
  </r>
  <r>
    <x v="0"/>
    <n v="2025"/>
    <d v="2025-04-01T00:00:00"/>
    <x v="0"/>
    <x v="3"/>
    <n v="-84.515379856356773"/>
  </r>
  <r>
    <x v="0"/>
    <n v="2025"/>
    <d v="2025-04-01T00:00:00"/>
    <x v="0"/>
    <x v="4"/>
    <n v="54.073381714086565"/>
  </r>
  <r>
    <x v="0"/>
    <n v="2025"/>
    <d v="2025-04-01T00:00:00"/>
    <x v="0"/>
    <x v="5"/>
    <n v="-28.305360748633611"/>
  </r>
  <r>
    <x v="0"/>
    <n v="2025"/>
    <d v="2025-04-01T00:00:00"/>
    <x v="0"/>
    <x v="6"/>
    <n v="0.78220468574207846"/>
  </r>
  <r>
    <x v="0"/>
    <n v="2025"/>
    <d v="2025-04-01T00:00:00"/>
    <x v="0"/>
    <x v="7"/>
    <n v="-0.91755012848858841"/>
  </r>
  <r>
    <x v="0"/>
    <n v="2025"/>
    <d v="2025-04-01T00:00:00"/>
    <x v="0"/>
    <x v="8"/>
    <n v="-26.070297068982978"/>
  </r>
  <r>
    <x v="0"/>
    <n v="2025"/>
    <d v="2025-04-01T00:00:00"/>
    <x v="1"/>
    <x v="0"/>
    <n v="5698.8313684422956"/>
  </r>
  <r>
    <x v="0"/>
    <n v="2025"/>
    <d v="2025-04-01T00:00:00"/>
    <x v="1"/>
    <x v="1"/>
    <n v="-4552.2927008983515"/>
  </r>
  <r>
    <x v="0"/>
    <n v="2025"/>
    <d v="2025-04-01T00:00:00"/>
    <x v="1"/>
    <x v="2"/>
    <n v="-712.47315771922945"/>
  </r>
  <r>
    <x v="0"/>
    <n v="2025"/>
    <d v="2025-04-01T00:00:00"/>
    <x v="1"/>
    <x v="3"/>
    <n v="-182.03344328203633"/>
  </r>
  <r>
    <x v="0"/>
    <n v="2025"/>
    <d v="2025-04-01T00:00:00"/>
    <x v="1"/>
    <x v="4"/>
    <n v="116.4659483285601"/>
  </r>
  <r>
    <x v="0"/>
    <n v="2025"/>
    <d v="2025-04-01T00:00:00"/>
    <x v="1"/>
    <x v="5"/>
    <n v="-60.965498695873521"/>
  </r>
  <r>
    <x v="0"/>
    <n v="2025"/>
    <d v="2025-04-01T00:00:00"/>
    <x v="1"/>
    <x v="6"/>
    <n v="1.6847514918465356"/>
  </r>
  <r>
    <x v="0"/>
    <n v="2025"/>
    <d v="2025-04-01T00:00:00"/>
    <x v="1"/>
    <x v="7"/>
    <n v="-1.9762652615006848"/>
  </r>
  <r>
    <x v="0"/>
    <n v="2025"/>
    <d v="2025-04-01T00:00:00"/>
    <x v="1"/>
    <x v="8"/>
    <n v="-56.151506991015538"/>
  </r>
  <r>
    <x v="0"/>
    <n v="2025"/>
    <d v="2025-04-01T00:00:00"/>
    <x v="2"/>
    <x v="0"/>
    <n v="3977.7428394975359"/>
  </r>
  <r>
    <x v="0"/>
    <n v="2025"/>
    <d v="2025-04-01T00:00:00"/>
    <x v="2"/>
    <x v="1"/>
    <n v="-3177.4671899521163"/>
  </r>
  <r>
    <x v="0"/>
    <n v="2025"/>
    <d v="2025-04-01T00:00:00"/>
    <x v="2"/>
    <x v="2"/>
    <n v="-497.30108126124662"/>
  </r>
  <r>
    <x v="0"/>
    <n v="2025"/>
    <d v="2025-04-01T00:00:00"/>
    <x v="2"/>
    <x v="3"/>
    <n v="-127.05801922370615"/>
  </r>
  <r>
    <x v="0"/>
    <n v="2025"/>
    <d v="2025-04-01T00:00:00"/>
    <x v="2"/>
    <x v="4"/>
    <n v="81.292384711472778"/>
  </r>
  <r>
    <x v="0"/>
    <n v="2025"/>
    <d v="2025-04-01T00:00:00"/>
    <x v="2"/>
    <x v="5"/>
    <n v="-42.553474601266011"/>
  </r>
  <r>
    <x v="0"/>
    <n v="2025"/>
    <d v="2025-04-01T00:00:00"/>
    <x v="2"/>
    <x v="6"/>
    <n v="1.175944285724166"/>
  </r>
  <r>
    <x v="0"/>
    <n v="2025"/>
    <d v="2025-04-01T00:00:00"/>
    <x v="2"/>
    <x v="7"/>
    <n v="-1.3794187763500712"/>
  </r>
  <r>
    <x v="0"/>
    <n v="2025"/>
    <d v="2025-04-01T00:00:00"/>
    <x v="2"/>
    <x v="8"/>
    <n v="-39.193343410257725"/>
  </r>
  <r>
    <x v="0"/>
    <n v="2025"/>
    <d v="2025-04-01T00:00:00"/>
    <x v="3"/>
    <x v="0"/>
    <n v="240.23440587391198"/>
  </r>
  <r>
    <x v="0"/>
    <n v="2025"/>
    <d v="2025-04-01T00:00:00"/>
    <x v="3"/>
    <x v="1"/>
    <n v="-191.90203423467648"/>
  </r>
  <r>
    <x v="0"/>
    <n v="2025"/>
    <d v="2025-04-01T00:00:00"/>
    <x v="3"/>
    <x v="2"/>
    <n v="-30.034327159354721"/>
  </r>
  <r>
    <x v="0"/>
    <n v="2025"/>
    <d v="2025-04-01T00:00:00"/>
    <x v="3"/>
    <x v="3"/>
    <n v="-7.6736252169531545"/>
  </r>
  <r>
    <x v="0"/>
    <n v="2025"/>
    <d v="2025-04-01T00:00:00"/>
    <x v="3"/>
    <x v="4"/>
    <n v="4.9096255165909763"/>
  </r>
  <r>
    <x v="0"/>
    <n v="2025"/>
    <d v="2025-04-01T00:00:00"/>
    <x v="3"/>
    <x v="5"/>
    <n v="-2.5700024112159743"/>
  </r>
  <r>
    <x v="0"/>
    <n v="2025"/>
    <d v="2025-04-01T00:00:00"/>
    <x v="3"/>
    <x v="6"/>
    <n v="7.1020749259258859E-2"/>
  </r>
  <r>
    <x v="0"/>
    <n v="2025"/>
    <d v="2025-04-01T00:00:00"/>
    <x v="3"/>
    <x v="7"/>
    <n v="-8.3309520891410388E-2"/>
  </r>
  <r>
    <x v="0"/>
    <n v="2025"/>
    <d v="2025-04-01T00:00:00"/>
    <x v="3"/>
    <x v="8"/>
    <n v="-2.3670684476839723"/>
  </r>
  <r>
    <x v="0"/>
    <n v="2025"/>
    <d v="2025-05-01T00:00:00"/>
    <x v="0"/>
    <x v="0"/>
    <n v="2715.2315533798705"/>
  </r>
  <r>
    <x v="0"/>
    <n v="2025"/>
    <d v="2025-05-01T00:00:00"/>
    <x v="0"/>
    <x v="1"/>
    <n v="-2168.9585079052226"/>
  </r>
  <r>
    <x v="0"/>
    <n v="2025"/>
    <d v="2025-05-01T00:00:00"/>
    <x v="0"/>
    <x v="2"/>
    <n v="-339.4607549695271"/>
  </r>
  <r>
    <x v="0"/>
    <n v="2025"/>
    <d v="2025-05-01T00:00:00"/>
    <x v="0"/>
    <x v="3"/>
    <n v="-86.730579835505949"/>
  </r>
  <r>
    <x v="0"/>
    <n v="2025"/>
    <d v="2025-05-01T00:00:00"/>
    <x v="0"/>
    <x v="4"/>
    <n v="55.490678237502244"/>
  </r>
  <r>
    <x v="0"/>
    <n v="2025"/>
    <d v="2025-05-01T00:00:00"/>
    <x v="0"/>
    <x v="5"/>
    <n v="-29.047261626873194"/>
  </r>
  <r>
    <x v="0"/>
    <n v="2025"/>
    <d v="2025-05-01T00:00:00"/>
    <x v="0"/>
    <x v="6"/>
    <n v="0.80270675065016062"/>
  </r>
  <r>
    <x v="0"/>
    <n v="2025"/>
    <d v="2025-05-01T00:00:00"/>
    <x v="0"/>
    <x v="7"/>
    <n v="-0.94159968052220411"/>
  </r>
  <r>
    <x v="0"/>
    <n v="2025"/>
    <d v="2025-05-01T00:00:00"/>
    <x v="0"/>
    <x v="8"/>
    <n v="-26.753615556360987"/>
  </r>
  <r>
    <x v="0"/>
    <n v="2025"/>
    <d v="2025-05-01T00:00:00"/>
    <x v="1"/>
    <x v="0"/>
    <n v="5674.0004265043954"/>
  </r>
  <r>
    <x v="0"/>
    <n v="2025"/>
    <d v="2025-05-01T00:00:00"/>
    <x v="1"/>
    <x v="1"/>
    <n v="-4532.4574560152878"/>
  </r>
  <r>
    <x v="0"/>
    <n v="2025"/>
    <d v="2025-05-01T00:00:00"/>
    <x v="1"/>
    <x v="2"/>
    <n v="-709.36877043912739"/>
  </r>
  <r>
    <x v="0"/>
    <n v="2025"/>
    <d v="2025-05-01T00:00:00"/>
    <x v="1"/>
    <x v="3"/>
    <n v="-181.2402873578371"/>
  </r>
  <r>
    <x v="0"/>
    <n v="2025"/>
    <d v="2025-05-01T00:00:00"/>
    <x v="1"/>
    <x v="4"/>
    <n v="115.95848302318127"/>
  </r>
  <r>
    <x v="0"/>
    <n v="2025"/>
    <d v="2025-05-01T00:00:00"/>
    <x v="1"/>
    <x v="5"/>
    <n v="-60.699859890220246"/>
  </r>
  <r>
    <x v="0"/>
    <n v="2025"/>
    <d v="2025-05-01T00:00:00"/>
    <x v="1"/>
    <x v="6"/>
    <n v="1.6774106944498111"/>
  </r>
  <r>
    <x v="0"/>
    <n v="2025"/>
    <d v="2025-05-01T00:00:00"/>
    <x v="1"/>
    <x v="7"/>
    <n v="-1.9676542806188926"/>
  </r>
  <r>
    <x v="0"/>
    <n v="2025"/>
    <d v="2025-05-01T00:00:00"/>
    <x v="1"/>
    <x v="8"/>
    <n v="-55.906843704865231"/>
  </r>
  <r>
    <x v="0"/>
    <n v="2025"/>
    <d v="2025-05-01T00:00:00"/>
    <x v="2"/>
    <x v="0"/>
    <n v="3884.7314629306779"/>
  </r>
  <r>
    <x v="0"/>
    <n v="2025"/>
    <d v="2025-05-01T00:00:00"/>
    <x v="2"/>
    <x v="1"/>
    <n v="-3103.1686218297978"/>
  </r>
  <r>
    <x v="0"/>
    <n v="2025"/>
    <d v="2025-05-01T00:00:00"/>
    <x v="2"/>
    <x v="2"/>
    <n v="-485.67271311310907"/>
  </r>
  <r>
    <x v="0"/>
    <n v="2025"/>
    <d v="2025-05-01T00:00:00"/>
    <x v="2"/>
    <x v="3"/>
    <n v="-124.08702744552774"/>
  </r>
  <r>
    <x v="0"/>
    <n v="2025"/>
    <d v="2025-05-01T00:00:00"/>
    <x v="2"/>
    <x v="4"/>
    <n v="79.391528645228988"/>
  </r>
  <r>
    <x v="0"/>
    <n v="2025"/>
    <d v="2025-05-01T00:00:00"/>
    <x v="2"/>
    <x v="5"/>
    <n v="-41.558448675742241"/>
  </r>
  <r>
    <x v="0"/>
    <n v="2025"/>
    <d v="2025-05-01T00:00:00"/>
    <x v="2"/>
    <x v="6"/>
    <n v="1.1484472349608363"/>
  </r>
  <r>
    <x v="0"/>
    <n v="2025"/>
    <d v="2025-05-01T00:00:00"/>
    <x v="2"/>
    <x v="7"/>
    <n v="-1.3471638909973775"/>
  </r>
  <r>
    <x v="0"/>
    <n v="2025"/>
    <d v="2025-05-01T00:00:00"/>
    <x v="2"/>
    <x v="8"/>
    <n v="-38.276887276731969"/>
  </r>
  <r>
    <x v="0"/>
    <n v="2025"/>
    <d v="2025-05-01T00:00:00"/>
    <x v="3"/>
    <x v="0"/>
    <n v="338.80104721972839"/>
  </r>
  <r>
    <x v="0"/>
    <n v="2025"/>
    <d v="2025-05-01T00:00:00"/>
    <x v="3"/>
    <x v="1"/>
    <n v="-270.63821239838887"/>
  </r>
  <r>
    <x v="0"/>
    <n v="2025"/>
    <d v="2025-05-01T00:00:00"/>
    <x v="3"/>
    <x v="2"/>
    <n v="-42.357219637681901"/>
  </r>
  <r>
    <x v="0"/>
    <n v="2025"/>
    <d v="2025-05-01T00:00:00"/>
    <x v="3"/>
    <x v="3"/>
    <n v="-10.822064599855763"/>
  </r>
  <r>
    <x v="0"/>
    <n v="2025"/>
    <d v="2025-05-01T00:00:00"/>
    <x v="3"/>
    <x v="4"/>
    <n v="6.9240134876881783"/>
  </r>
  <r>
    <x v="0"/>
    <n v="2025"/>
    <d v="2025-05-01T00:00:00"/>
    <x v="3"/>
    <x v="5"/>
    <n v="-3.624457975158645"/>
  </r>
  <r>
    <x v="0"/>
    <n v="2025"/>
    <d v="2025-05-01T00:00:00"/>
    <x v="3"/>
    <x v="6"/>
    <n v="0.10016010877307741"/>
  </r>
  <r>
    <x v="0"/>
    <n v="2025"/>
    <d v="2025-05-01T00:00:00"/>
    <x v="3"/>
    <x v="7"/>
    <n v="-0.11749088486599987"/>
  </r>
  <r>
    <x v="0"/>
    <n v="2025"/>
    <d v="2025-05-01T00:00:00"/>
    <x v="3"/>
    <x v="8"/>
    <n v="-3.3382615033794174"/>
  </r>
  <r>
    <x v="0"/>
    <n v="2025"/>
    <d v="2025-06-01T00:00:00"/>
    <x v="0"/>
    <x v="0"/>
    <n v="2922.656146846442"/>
  </r>
  <r>
    <x v="0"/>
    <n v="2025"/>
    <d v="2025-06-01T00:00:00"/>
    <x v="0"/>
    <x v="1"/>
    <n v="-2334.6516828346607"/>
  </r>
  <r>
    <x v="0"/>
    <n v="2025"/>
    <d v="2025-06-01T00:00:00"/>
    <x v="0"/>
    <x v="2"/>
    <n v="-365.39316909817165"/>
  </r>
  <r>
    <x v="0"/>
    <n v="2025"/>
    <d v="2025-06-01T00:00:00"/>
    <x v="0"/>
    <x v="3"/>
    <n v="-93.356186127207337"/>
  </r>
  <r>
    <x v="0"/>
    <n v="2025"/>
    <d v="2025-06-01T00:00:00"/>
    <x v="0"/>
    <x v="4"/>
    <n v="59.729775768713019"/>
  </r>
  <r>
    <x v="0"/>
    <n v="2025"/>
    <d v="2025-06-01T00:00:00"/>
    <x v="0"/>
    <x v="5"/>
    <n v="-31.266268115204308"/>
  </r>
  <r>
    <x v="0"/>
    <n v="2025"/>
    <d v="2025-06-01T00:00:00"/>
    <x v="0"/>
    <x v="6"/>
    <n v="0.86402790067113189"/>
  </r>
  <r>
    <x v="0"/>
    <n v="2025"/>
    <d v="2025-06-01T00:00:00"/>
    <x v="0"/>
    <x v="7"/>
    <n v="-1.0135312735008772"/>
  </r>
  <r>
    <x v="0"/>
    <n v="2025"/>
    <d v="2025-06-01T00:00:00"/>
    <x v="0"/>
    <x v="8"/>
    <n v="-28.797403616952497"/>
  </r>
  <r>
    <x v="0"/>
    <n v="2025"/>
    <d v="2025-06-01T00:00:00"/>
    <x v="1"/>
    <x v="0"/>
    <n v="5550.2533232264677"/>
  </r>
  <r>
    <x v="0"/>
    <n v="2025"/>
    <d v="2025-06-01T00:00:00"/>
    <x v="1"/>
    <x v="1"/>
    <n v="-4433.6068323367354"/>
  </r>
  <r>
    <x v="0"/>
    <n v="2025"/>
    <d v="2025-06-01T00:00:00"/>
    <x v="1"/>
    <x v="2"/>
    <n v="-693.89779336841411"/>
  </r>
  <r>
    <x v="0"/>
    <n v="2025"/>
    <d v="2025-06-01T00:00:00"/>
    <x v="1"/>
    <x v="3"/>
    <n v="-177.28752759895059"/>
  </r>
  <r>
    <x v="0"/>
    <n v="2025"/>
    <d v="2025-06-01T00:00:00"/>
    <x v="1"/>
    <x v="4"/>
    <n v="113.42948667210737"/>
  </r>
  <r>
    <x v="0"/>
    <n v="2025"/>
    <d v="2025-06-01T00:00:00"/>
    <x v="1"/>
    <x v="5"/>
    <n v="-59.376026392481442"/>
  </r>
  <r>
    <x v="0"/>
    <n v="2025"/>
    <d v="2025-06-01T00:00:00"/>
    <x v="1"/>
    <x v="6"/>
    <n v="1.6408272085769589"/>
  </r>
  <r>
    <x v="0"/>
    <n v="2025"/>
    <d v="2025-06-01T00:00:00"/>
    <x v="1"/>
    <x v="7"/>
    <n v="-1.9247407277150888"/>
  </r>
  <r>
    <x v="0"/>
    <n v="2025"/>
    <d v="2025-06-01T00:00:00"/>
    <x v="1"/>
    <x v="8"/>
    <n v="-54.68754348599812"/>
  </r>
  <r>
    <x v="0"/>
    <n v="2025"/>
    <d v="2025-06-01T00:00:00"/>
    <x v="2"/>
    <x v="0"/>
    <n v="3759.1456240958478"/>
  </r>
  <r>
    <x v="0"/>
    <n v="2025"/>
    <d v="2025-06-01T00:00:00"/>
    <x v="2"/>
    <x v="1"/>
    <n v="-3002.8491948276505"/>
  </r>
  <r>
    <x v="0"/>
    <n v="2025"/>
    <d v="2025-06-01T00:00:00"/>
    <x v="2"/>
    <x v="2"/>
    <n v="-469.97185562591392"/>
  </r>
  <r>
    <x v="0"/>
    <n v="2025"/>
    <d v="2025-06-01T00:00:00"/>
    <x v="2"/>
    <x v="3"/>
    <n v="-120.07553435289817"/>
  </r>
  <r>
    <x v="0"/>
    <n v="2025"/>
    <d v="2025-06-01T00:00:00"/>
    <x v="2"/>
    <x v="4"/>
    <n v="76.824954400282664"/>
  </r>
  <r>
    <x v="0"/>
    <n v="2025"/>
    <d v="2025-06-01T00:00:00"/>
    <x v="2"/>
    <x v="5"/>
    <n v="-40.214944578375381"/>
  </r>
  <r>
    <x v="0"/>
    <n v="2025"/>
    <d v="2025-06-01T00:00:00"/>
    <x v="2"/>
    <x v="6"/>
    <n v="1.1113201617676509"/>
  </r>
  <r>
    <x v="0"/>
    <n v="2025"/>
    <d v="2025-06-01T00:00:00"/>
    <x v="2"/>
    <x v="7"/>
    <n v="-1.3036126934658847"/>
  </r>
  <r>
    <x v="0"/>
    <n v="2025"/>
    <d v="2025-06-01T00:00:00"/>
    <x v="2"/>
    <x v="8"/>
    <n v="-37.039469699093758"/>
  </r>
  <r>
    <x v="0"/>
    <n v="2025"/>
    <d v="2025-06-01T00:00:00"/>
    <x v="3"/>
    <x v="0"/>
    <n v="212.45908346906643"/>
  </r>
  <r>
    <x v="0"/>
    <n v="2025"/>
    <d v="2025-06-01T00:00:00"/>
    <x v="3"/>
    <x v="1"/>
    <n v="-169.71478402951061"/>
  </r>
  <r>
    <x v="0"/>
    <n v="2025"/>
    <d v="2025-06-01T00:00:00"/>
    <x v="3"/>
    <x v="2"/>
    <n v="-26.561830715604167"/>
  </r>
  <r>
    <x v="0"/>
    <n v="2025"/>
    <d v="2025-06-01T00:00:00"/>
    <x v="3"/>
    <x v="3"/>
    <n v="-6.7864191831650844"/>
  </r>
  <r>
    <x v="0"/>
    <n v="2025"/>
    <d v="2025-06-01T00:00:00"/>
    <x v="3"/>
    <x v="4"/>
    <n v="4.341986459586197"/>
  </r>
  <r>
    <x v="0"/>
    <n v="2025"/>
    <d v="2025-06-01T00:00:00"/>
    <x v="3"/>
    <x v="5"/>
    <n v="-2.272864932955597"/>
  </r>
  <r>
    <x v="0"/>
    <n v="2025"/>
    <d v="2025-06-01T00:00:00"/>
    <x v="3"/>
    <x v="6"/>
    <n v="6.2809501578337784E-2"/>
  </r>
  <r>
    <x v="0"/>
    <n v="2025"/>
    <d v="2025-06-01T00:00:00"/>
    <x v="3"/>
    <x v="7"/>
    <n v="-7.3677475082923549E-2"/>
  </r>
  <r>
    <x v="0"/>
    <n v="2025"/>
    <d v="2025-06-01T00:00:00"/>
    <x v="3"/>
    <x v="8"/>
    <n v="-2.0933937046778985"/>
  </r>
  <r>
    <x v="0"/>
    <n v="2025"/>
    <d v="2025-07-01T00:00:00"/>
    <x v="0"/>
    <x v="0"/>
    <n v="3070.2228854431592"/>
  </r>
  <r>
    <x v="0"/>
    <n v="2025"/>
    <d v="2025-07-01T00:00:00"/>
    <x v="0"/>
    <x v="1"/>
    <n v="-2494.1060452602474"/>
  </r>
  <r>
    <x v="0"/>
    <n v="2025"/>
    <d v="2025-07-01T00:00:00"/>
    <x v="0"/>
    <x v="2"/>
    <n v="-352.13537601099637"/>
  </r>
  <r>
    <x v="0"/>
    <n v="2025"/>
    <d v="2025-07-01T00:00:00"/>
    <x v="0"/>
    <x v="3"/>
    <n v="-86.239274078354171"/>
  </r>
  <r>
    <x v="0"/>
    <n v="2025"/>
    <d v="2025-07-01T00:00:00"/>
    <x v="0"/>
    <x v="4"/>
    <n v="62.330378243919164"/>
  </r>
  <r>
    <x v="0"/>
    <n v="2025"/>
    <d v="2025-07-01T00:00:00"/>
    <x v="0"/>
    <x v="5"/>
    <n v="-31.643514925404279"/>
  </r>
  <r>
    <x v="0"/>
    <n v="2025"/>
    <d v="2025-07-01T00:00:00"/>
    <x v="0"/>
    <x v="6"/>
    <n v="0.32177157729789263"/>
  </r>
  <r>
    <x v="0"/>
    <n v="2025"/>
    <d v="2025-07-01T00:00:00"/>
    <x v="0"/>
    <x v="7"/>
    <n v="-1.3936687691022633"/>
  </r>
  <r>
    <x v="0"/>
    <n v="2025"/>
    <d v="2025-07-01T00:00:00"/>
    <x v="0"/>
    <x v="8"/>
    <n v="-29.944194258714738"/>
  </r>
  <r>
    <x v="0"/>
    <n v="2025"/>
    <d v="2025-07-01T00:00:00"/>
    <x v="1"/>
    <x v="0"/>
    <n v="5655.6328735490733"/>
  </r>
  <r>
    <x v="0"/>
    <n v="2025"/>
    <d v="2025-07-01T00:00:00"/>
    <x v="1"/>
    <x v="1"/>
    <n v="-4594.3726778179134"/>
  </r>
  <r>
    <x v="0"/>
    <n v="2025"/>
    <d v="2025-07-01T00:00:00"/>
    <x v="1"/>
    <x v="2"/>
    <n v="-648.66574278690939"/>
  </r>
  <r>
    <x v="0"/>
    <n v="2025"/>
    <d v="2025-07-01T00:00:00"/>
    <x v="1"/>
    <x v="3"/>
    <n v="-158.86067287852546"/>
  </r>
  <r>
    <x v="0"/>
    <n v="2025"/>
    <d v="2025-07-01T00:00:00"/>
    <x v="1"/>
    <x v="4"/>
    <n v="114.81828823843661"/>
  </r>
  <r>
    <x v="0"/>
    <n v="2025"/>
    <d v="2025-07-01T00:00:00"/>
    <x v="1"/>
    <x v="5"/>
    <n v="-58.290264233023379"/>
  </r>
  <r>
    <x v="0"/>
    <n v="2025"/>
    <d v="2025-07-01T00:00:00"/>
    <x v="1"/>
    <x v="6"/>
    <n v="0.59273283349167116"/>
  </r>
  <r>
    <x v="0"/>
    <n v="2025"/>
    <d v="2025-07-01T00:00:00"/>
    <x v="1"/>
    <x v="7"/>
    <n v="-2.5672660257809672"/>
  </r>
  <r>
    <x v="0"/>
    <n v="2025"/>
    <d v="2025-07-01T00:00:00"/>
    <x v="1"/>
    <x v="8"/>
    <n v="-55.159959306042971"/>
  </r>
  <r>
    <x v="0"/>
    <n v="2025"/>
    <d v="2025-07-01T00:00:00"/>
    <x v="2"/>
    <x v="0"/>
    <n v="3865.993733062734"/>
  </r>
  <r>
    <x v="0"/>
    <n v="2025"/>
    <d v="2025-07-01T00:00:00"/>
    <x v="2"/>
    <x v="1"/>
    <n v="-3140.553210741321"/>
  </r>
  <r>
    <x v="0"/>
    <n v="2025"/>
    <d v="2025-07-01T00:00:00"/>
    <x v="2"/>
    <x v="2"/>
    <n v="-443.40531865057164"/>
  </r>
  <r>
    <x v="0"/>
    <n v="2025"/>
    <d v="2025-07-01T00:00:00"/>
    <x v="2"/>
    <x v="3"/>
    <n v="-108.59162528933899"/>
  </r>
  <r>
    <x v="0"/>
    <n v="2025"/>
    <d v="2025-07-01T00:00:00"/>
    <x v="2"/>
    <x v="4"/>
    <n v="78.485784472823241"/>
  </r>
  <r>
    <x v="0"/>
    <n v="2025"/>
    <d v="2025-07-01T00:00:00"/>
    <x v="2"/>
    <x v="5"/>
    <n v="-39.845195270255523"/>
  </r>
  <r>
    <x v="0"/>
    <n v="2025"/>
    <d v="2025-07-01T00:00:00"/>
    <x v="2"/>
    <x v="6"/>
    <n v="0.40517152914512544"/>
  </r>
  <r>
    <x v="0"/>
    <n v="2025"/>
    <d v="2025-07-01T00:00:00"/>
    <x v="2"/>
    <x v="7"/>
    <n v="-1.754893676566712"/>
  </r>
  <r>
    <x v="0"/>
    <n v="2025"/>
    <d v="2025-07-01T00:00:00"/>
    <x v="2"/>
    <x v="8"/>
    <n v="-37.705427802872613"/>
  </r>
  <r>
    <x v="0"/>
    <n v="2025"/>
    <d v="2025-07-01T00:00:00"/>
    <x v="3"/>
    <x v="0"/>
    <n v="283.25223806258629"/>
  </r>
  <r>
    <x v="0"/>
    <n v="2025"/>
    <d v="2025-07-01T00:00:00"/>
    <x v="3"/>
    <x v="1"/>
    <n v="-230.10092284665512"/>
  </r>
  <r>
    <x v="0"/>
    <n v="2025"/>
    <d v="2025-07-01T00:00:00"/>
    <x v="3"/>
    <x v="2"/>
    <n v="-32.487261374096647"/>
  </r>
  <r>
    <x v="0"/>
    <n v="2025"/>
    <d v="2025-07-01T00:00:00"/>
    <x v="3"/>
    <x v="3"/>
    <n v="-7.9562521364180094"/>
  </r>
  <r>
    <x v="0"/>
    <n v="2025"/>
    <d v="2025-07-01T00:00:00"/>
    <x v="3"/>
    <x v="4"/>
    <n v="5.7504682218956455"/>
  </r>
  <r>
    <x v="0"/>
    <n v="2025"/>
    <d v="2025-07-01T00:00:00"/>
    <x v="3"/>
    <x v="5"/>
    <n v="-2.9193634329560649"/>
  </r>
  <r>
    <x v="0"/>
    <n v="2025"/>
    <d v="2025-07-01T00:00:00"/>
    <x v="3"/>
    <x v="6"/>
    <n v="2.9685961839021655E-2"/>
  </r>
  <r>
    <x v="0"/>
    <n v="2025"/>
    <d v="2025-07-01T00:00:00"/>
    <x v="3"/>
    <x v="7"/>
    <n v="-0.12857691858067363"/>
  </r>
  <r>
    <x v="0"/>
    <n v="2025"/>
    <d v="2025-07-01T00:00:00"/>
    <x v="3"/>
    <x v="8"/>
    <n v="-2.7625877199262461"/>
  </r>
  <r>
    <x v="0"/>
    <n v="2025"/>
    <d v="2025-08-01T00:00:00"/>
    <x v="0"/>
    <x v="0"/>
    <n v="2923.1820508149735"/>
  </r>
  <r>
    <x v="0"/>
    <n v="2025"/>
    <d v="2025-08-01T00:00:00"/>
    <x v="0"/>
    <x v="1"/>
    <n v="-2374.6569211314841"/>
  </r>
  <r>
    <x v="0"/>
    <n v="2025"/>
    <d v="2025-08-01T00:00:00"/>
    <x v="0"/>
    <x v="2"/>
    <n v="-335.27071128705626"/>
  </r>
  <r>
    <x v="0"/>
    <n v="2025"/>
    <d v="2025-08-01T00:00:00"/>
    <x v="0"/>
    <x v="3"/>
    <n v="-82.109054445658117"/>
  </r>
  <r>
    <x v="0"/>
    <n v="2025"/>
    <d v="2025-08-01T00:00:00"/>
    <x v="0"/>
    <x v="4"/>
    <n v="59.345216846311551"/>
  </r>
  <r>
    <x v="0"/>
    <n v="2025"/>
    <d v="2025-08-01T00:00:00"/>
    <x v="0"/>
    <x v="5"/>
    <n v="-30.128025979223327"/>
  </r>
  <r>
    <x v="0"/>
    <n v="2025"/>
    <d v="2025-08-01T00:00:00"/>
    <x v="0"/>
    <x v="6"/>
    <n v="0.30636111263428872"/>
  </r>
  <r>
    <x v="0"/>
    <n v="2025"/>
    <d v="2025-08-01T00:00:00"/>
    <x v="0"/>
    <x v="7"/>
    <n v="-1.3269224035612959"/>
  </r>
  <r>
    <x v="0"/>
    <n v="2025"/>
    <d v="2025-08-01T00:00:00"/>
    <x v="0"/>
    <x v="8"/>
    <n v="-28.510090130006049"/>
  </r>
  <r>
    <x v="0"/>
    <n v="2025"/>
    <d v="2025-08-01T00:00:00"/>
    <x v="1"/>
    <x v="0"/>
    <n v="6026.4442184756299"/>
  </r>
  <r>
    <x v="0"/>
    <n v="2025"/>
    <d v="2025-08-01T00:00:00"/>
    <x v="1"/>
    <x v="1"/>
    <n v="-4895.602540124446"/>
  </r>
  <r>
    <x v="0"/>
    <n v="2025"/>
    <d v="2025-08-01T00:00:00"/>
    <x v="1"/>
    <x v="2"/>
    <n v="-691.19548647227987"/>
  </r>
  <r>
    <x v="0"/>
    <n v="2025"/>
    <d v="2025-08-01T00:00:00"/>
    <x v="1"/>
    <x v="3"/>
    <n v="-169.27636659187246"/>
  </r>
  <r>
    <x v="0"/>
    <n v="2025"/>
    <d v="2025-08-01T00:00:00"/>
    <x v="1"/>
    <x v="4"/>
    <n v="122.34634475055283"/>
  </r>
  <r>
    <x v="0"/>
    <n v="2025"/>
    <d v="2025-08-01T00:00:00"/>
    <x v="1"/>
    <x v="5"/>
    <n v="-62.112063094378371"/>
  </r>
  <r>
    <x v="0"/>
    <n v="2025"/>
    <d v="2025-08-01T00:00:00"/>
    <x v="1"/>
    <x v="6"/>
    <n v="0.63159533819863767"/>
  </r>
  <r>
    <x v="0"/>
    <n v="2025"/>
    <d v="2025-08-01T00:00:00"/>
    <x v="1"/>
    <x v="7"/>
    <n v="-2.7355887208866534"/>
  </r>
  <r>
    <x v="0"/>
    <n v="2025"/>
    <d v="2025-08-01T00:00:00"/>
    <x v="1"/>
    <x v="8"/>
    <n v="-58.776519849077737"/>
  </r>
  <r>
    <x v="0"/>
    <n v="2025"/>
    <d v="2025-08-01T00:00:00"/>
    <x v="2"/>
    <x v="0"/>
    <n v="3975.2958533059805"/>
  </r>
  <r>
    <x v="0"/>
    <n v="2025"/>
    <d v="2025-08-01T00:00:00"/>
    <x v="2"/>
    <x v="1"/>
    <n v="-3229.3451613684151"/>
  </r>
  <r>
    <x v="0"/>
    <n v="2025"/>
    <d v="2025-08-01T00:00:00"/>
    <x v="2"/>
    <x v="2"/>
    <n v="-455.94158870221617"/>
  </r>
  <r>
    <x v="0"/>
    <n v="2025"/>
    <d v="2025-08-01T00:00:00"/>
    <x v="2"/>
    <x v="3"/>
    <n v="-111.66180483548682"/>
  </r>
  <r>
    <x v="0"/>
    <n v="2025"/>
    <d v="2025-08-01T00:00:00"/>
    <x v="2"/>
    <x v="4"/>
    <n v="80.704790307847659"/>
  </r>
  <r>
    <x v="0"/>
    <n v="2025"/>
    <d v="2025-08-01T00:00:00"/>
    <x v="2"/>
    <x v="5"/>
    <n v="-40.971726926863987"/>
  </r>
  <r>
    <x v="0"/>
    <n v="2025"/>
    <d v="2025-08-01T00:00:00"/>
    <x v="2"/>
    <x v="6"/>
    <n v="0.41662682634827841"/>
  </r>
  <r>
    <x v="0"/>
    <n v="2025"/>
    <d v="2025-08-01T00:00:00"/>
    <x v="2"/>
    <x v="7"/>
    <n v="-1.8045092768222892"/>
  </r>
  <r>
    <x v="0"/>
    <n v="2025"/>
    <d v="2025-08-01T00:00:00"/>
    <x v="2"/>
    <x v="8"/>
    <n v="-38.771462434094751"/>
  </r>
  <r>
    <x v="0"/>
    <n v="2025"/>
    <d v="2025-08-01T00:00:00"/>
    <x v="3"/>
    <x v="0"/>
    <n v="392.97411146681287"/>
  </r>
  <r>
    <x v="0"/>
    <n v="2025"/>
    <d v="2025-08-01T00:00:00"/>
    <x v="3"/>
    <x v="1"/>
    <n v="-319.23386138745462"/>
  </r>
  <r>
    <x v="0"/>
    <n v="2025"/>
    <d v="2025-08-01T00:00:00"/>
    <x v="3"/>
    <x v="2"/>
    <n v="-45.071674489840646"/>
  </r>
  <r>
    <x v="0"/>
    <n v="2025"/>
    <d v="2025-08-01T00:00:00"/>
    <x v="3"/>
    <x v="3"/>
    <n v="-11.03822209949832"/>
  </r>
  <r>
    <x v="0"/>
    <n v="2025"/>
    <d v="2025-08-01T00:00:00"/>
    <x v="3"/>
    <x v="4"/>
    <n v="7.9779957096694556"/>
  </r>
  <r>
    <x v="0"/>
    <n v="2025"/>
    <d v="2025-08-01T00:00:00"/>
    <x v="3"/>
    <x v="5"/>
    <n v="-4.0502213114415913"/>
  </r>
  <r>
    <x v="0"/>
    <n v="2025"/>
    <d v="2025-08-01T00:00:00"/>
    <x v="3"/>
    <x v="6"/>
    <n v="4.1185250843983154E-2"/>
  </r>
  <r>
    <x v="0"/>
    <n v="2025"/>
    <d v="2025-08-01T00:00:00"/>
    <x v="3"/>
    <x v="7"/>
    <n v="-0.17838305772968555"/>
  </r>
  <r>
    <x v="0"/>
    <n v="2025"/>
    <d v="2025-08-01T00:00:00"/>
    <x v="3"/>
    <x v="8"/>
    <n v="-3.8327162461723234"/>
  </r>
  <r>
    <x v="0"/>
    <n v="2025"/>
    <d v="2025-09-01T00:00:00"/>
    <x v="0"/>
    <x v="0"/>
    <n v="3541.6086906166361"/>
  </r>
  <r>
    <x v="0"/>
    <n v="2025"/>
    <d v="2025-09-01T00:00:00"/>
    <x v="0"/>
    <x v="1"/>
    <n v="-2877.0379137924365"/>
  </r>
  <r>
    <x v="0"/>
    <n v="2025"/>
    <d v="2025-09-01T00:00:00"/>
    <x v="0"/>
    <x v="2"/>
    <n v="-406.20038169446786"/>
  </r>
  <r>
    <x v="0"/>
    <n v="2025"/>
    <d v="2025-09-01T00:00:00"/>
    <x v="0"/>
    <x v="3"/>
    <n v="-99.479996711796915"/>
  </r>
  <r>
    <x v="0"/>
    <n v="2025"/>
    <d v="2025-09-01T00:00:00"/>
    <x v="0"/>
    <x v="4"/>
    <n v="71.900255295707282"/>
  </r>
  <r>
    <x v="0"/>
    <n v="2025"/>
    <d v="2025-09-01T00:00:00"/>
    <x v="0"/>
    <x v="5"/>
    <n v="-36.501893068682826"/>
  </r>
  <r>
    <x v="0"/>
    <n v="2025"/>
    <d v="2025-09-01T00:00:00"/>
    <x v="0"/>
    <x v="6"/>
    <n v="0.37117468570596945"/>
  </r>
  <r>
    <x v="0"/>
    <n v="2025"/>
    <d v="2025-09-01T00:00:00"/>
    <x v="0"/>
    <x v="7"/>
    <n v="-1.6076453106697244"/>
  </r>
  <r>
    <x v="0"/>
    <n v="2025"/>
    <d v="2025-09-01T00:00:00"/>
    <x v="0"/>
    <x v="8"/>
    <n v="-34.541667682497724"/>
  </r>
  <r>
    <x v="0"/>
    <n v="2025"/>
    <d v="2025-09-01T00:00:00"/>
    <x v="1"/>
    <x v="0"/>
    <n v="5864.8612910436486"/>
  </r>
  <r>
    <x v="0"/>
    <n v="2025"/>
    <d v="2025-09-01T00:00:00"/>
    <x v="1"/>
    <x v="1"/>
    <n v="-4764.340097247833"/>
  </r>
  <r>
    <x v="0"/>
    <n v="2025"/>
    <d v="2025-09-01T00:00:00"/>
    <x v="1"/>
    <x v="2"/>
    <n v="-672.66293459209112"/>
  </r>
  <r>
    <x v="0"/>
    <n v="2025"/>
    <d v="2025-09-01T00:00:00"/>
    <x v="1"/>
    <x v="3"/>
    <n v="-164.73767514010251"/>
  </r>
  <r>
    <x v="0"/>
    <n v="2025"/>
    <d v="2025-09-01T00:00:00"/>
    <x v="1"/>
    <x v="4"/>
    <n v="119.06595587965124"/>
  </r>
  <r>
    <x v="0"/>
    <n v="2025"/>
    <d v="2025-09-01T00:00:00"/>
    <x v="1"/>
    <x v="5"/>
    <n v="-60.446694824170073"/>
  </r>
  <r>
    <x v="0"/>
    <n v="2025"/>
    <d v="2025-09-01T00:00:00"/>
    <x v="1"/>
    <x v="6"/>
    <n v="0.61466080433443104"/>
  </r>
  <r>
    <x v="0"/>
    <n v="2025"/>
    <d v="2025-09-01T00:00:00"/>
    <x v="1"/>
    <x v="7"/>
    <n v="-2.6622412513430653"/>
  </r>
  <r>
    <x v="0"/>
    <n v="2025"/>
    <d v="2025-09-01T00:00:00"/>
    <x v="1"/>
    <x v="8"/>
    <n v="-57.200585218775927"/>
  </r>
  <r>
    <x v="0"/>
    <n v="2025"/>
    <d v="2025-09-01T00:00:00"/>
    <x v="2"/>
    <x v="0"/>
    <n v="3938.8704954700729"/>
  </r>
  <r>
    <x v="0"/>
    <n v="2025"/>
    <d v="2025-09-01T00:00:00"/>
    <x v="2"/>
    <x v="1"/>
    <n v="-3199.7548975442332"/>
  </r>
  <r>
    <x v="0"/>
    <n v="2025"/>
    <d v="2025-09-01T00:00:00"/>
    <x v="2"/>
    <x v="2"/>
    <n v="-451.76382781759202"/>
  </r>
  <r>
    <x v="0"/>
    <n v="2025"/>
    <d v="2025-09-01T00:00:00"/>
    <x v="2"/>
    <x v="3"/>
    <n v="-110.63865552840988"/>
  </r>
  <r>
    <x v="0"/>
    <n v="2025"/>
    <d v="2025-09-01T00:00:00"/>
    <x v="2"/>
    <x v="4"/>
    <n v="79.965297959475535"/>
  </r>
  <r>
    <x v="0"/>
    <n v="2025"/>
    <d v="2025-09-01T00:00:00"/>
    <x v="2"/>
    <x v="5"/>
    <n v="-40.596305858964108"/>
  </r>
  <r>
    <x v="0"/>
    <n v="2025"/>
    <d v="2025-09-01T00:00:00"/>
    <x v="2"/>
    <x v="6"/>
    <n v="0.4128093038810754"/>
  </r>
  <r>
    <x v="0"/>
    <n v="2025"/>
    <d v="2025-09-01T00:00:00"/>
    <x v="2"/>
    <x v="7"/>
    <n v="-1.7879746845423705"/>
  </r>
  <r>
    <x v="0"/>
    <n v="2025"/>
    <d v="2025-09-01T00:00:00"/>
    <x v="2"/>
    <x v="8"/>
    <n v="-38.416202235835833"/>
  </r>
  <r>
    <x v="0"/>
    <n v="2025"/>
    <d v="2025-09-01T00:00:00"/>
    <x v="3"/>
    <x v="0"/>
    <n v="314.16871133469613"/>
  </r>
  <r>
    <x v="0"/>
    <n v="2025"/>
    <d v="2025-09-01T00:00:00"/>
    <x v="3"/>
    <x v="1"/>
    <n v="-255.21602548356549"/>
  </r>
  <r>
    <x v="0"/>
    <n v="2025"/>
    <d v="2025-09-01T00:00:00"/>
    <x v="3"/>
    <x v="2"/>
    <n v="-36.033187629882761"/>
  </r>
  <r>
    <x v="0"/>
    <n v="2025"/>
    <d v="2025-09-01T00:00:00"/>
    <x v="3"/>
    <x v="3"/>
    <n v="-8.8246627735384955"/>
  </r>
  <r>
    <x v="0"/>
    <n v="2025"/>
    <d v="2025-09-01T00:00:00"/>
    <x v="3"/>
    <x v="4"/>
    <n v="6.3781215047095001"/>
  </r>
  <r>
    <x v="0"/>
    <n v="2025"/>
    <d v="2025-09-01T00:00:00"/>
    <x v="3"/>
    <x v="5"/>
    <n v="-3.2380067106364279"/>
  </r>
  <r>
    <x v="0"/>
    <n v="2025"/>
    <d v="2025-09-01T00:00:00"/>
    <x v="3"/>
    <x v="6"/>
    <n v="3.2926131279625313E-2"/>
  </r>
  <r>
    <x v="0"/>
    <n v="2025"/>
    <d v="2025-09-01T00:00:00"/>
    <x v="3"/>
    <x v="7"/>
    <n v="-0.14261085841429749"/>
  </r>
  <r>
    <x v="0"/>
    <n v="2025"/>
    <d v="2025-09-01T00:00:00"/>
    <x v="3"/>
    <x v="8"/>
    <n v="-3.0641192099831289"/>
  </r>
  <r>
    <x v="0"/>
    <n v="2025"/>
    <d v="2025-10-01T00:00:00"/>
    <x v="0"/>
    <x v="0"/>
    <n v="4272.8893808026151"/>
  </r>
  <r>
    <x v="0"/>
    <n v="2025"/>
    <d v="2025-10-01T00:00:00"/>
    <x v="0"/>
    <x v="1"/>
    <n v="-3388.9876818782218"/>
  </r>
  <r>
    <x v="0"/>
    <n v="2025"/>
    <d v="2025-10-01T00:00:00"/>
    <x v="0"/>
    <x v="2"/>
    <n v="-570.83110968197991"/>
  </r>
  <r>
    <x v="0"/>
    <n v="2025"/>
    <d v="2025-10-01T00:00:00"/>
    <x v="0"/>
    <x v="3"/>
    <n v="-107.06218525715973"/>
  </r>
  <r>
    <x v="0"/>
    <n v="2025"/>
    <d v="2025-10-01T00:00:00"/>
    <x v="0"/>
    <x v="4"/>
    <n v="84.421860955288281"/>
  </r>
  <r>
    <x v="0"/>
    <n v="2025"/>
    <d v="2025-10-01T00:00:00"/>
    <x v="0"/>
    <x v="5"/>
    <n v="-39.406218067174116"/>
  </r>
  <r>
    <x v="0"/>
    <n v="2025"/>
    <d v="2025-10-01T00:00:00"/>
    <x v="0"/>
    <x v="6"/>
    <n v="0.59800997124290745"/>
  </r>
  <r>
    <x v="0"/>
    <n v="2025"/>
    <d v="2025-10-01T00:00:00"/>
    <x v="0"/>
    <x v="7"/>
    <n v="0.57214225167586308"/>
  </r>
  <r>
    <x v="0"/>
    <n v="2025"/>
    <d v="2025-10-01T00:00:00"/>
    <x v="0"/>
    <x v="8"/>
    <n v="-41.825140248202842"/>
  </r>
  <r>
    <x v="0"/>
    <n v="2025"/>
    <d v="2025-10-01T00:00:00"/>
    <x v="1"/>
    <x v="0"/>
    <n v="6023.3237229928309"/>
  </r>
  <r>
    <x v="0"/>
    <n v="2025"/>
    <d v="2025-10-01T00:00:00"/>
    <x v="1"/>
    <x v="1"/>
    <n v="-4777.3223413879314"/>
  </r>
  <r>
    <x v="0"/>
    <n v="2025"/>
    <d v="2025-10-01T00:00:00"/>
    <x v="1"/>
    <x v="2"/>
    <n v="-804.67811317969233"/>
  </r>
  <r>
    <x v="0"/>
    <n v="2025"/>
    <d v="2025-10-01T00:00:00"/>
    <x v="1"/>
    <x v="3"/>
    <n v="-150.92134217005443"/>
  </r>
  <r>
    <x v="0"/>
    <n v="2025"/>
    <d v="2025-10-01T00:00:00"/>
    <x v="1"/>
    <x v="4"/>
    <n v="119.00616948236419"/>
  </r>
  <r>
    <x v="0"/>
    <n v="2025"/>
    <d v="2025-10-01T00:00:00"/>
    <x v="1"/>
    <x v="5"/>
    <n v="-55.549392217790988"/>
  </r>
  <r>
    <x v="0"/>
    <n v="2025"/>
    <d v="2025-10-01T00:00:00"/>
    <x v="1"/>
    <x v="6"/>
    <n v="0.8429910829325209"/>
  </r>
  <r>
    <x v="0"/>
    <n v="2025"/>
    <d v="2025-10-01T00:00:00"/>
    <x v="1"/>
    <x v="7"/>
    <n v="0.80652637836330565"/>
  </r>
  <r>
    <x v="0"/>
    <n v="2025"/>
    <d v="2025-10-01T00:00:00"/>
    <x v="1"/>
    <x v="8"/>
    <n v="-58.959251462573754"/>
  </r>
  <r>
    <x v="0"/>
    <n v="2025"/>
    <d v="2025-10-01T00:00:00"/>
    <x v="2"/>
    <x v="0"/>
    <n v="4076.1708688273384"/>
  </r>
  <r>
    <x v="0"/>
    <n v="2025"/>
    <d v="2025-10-01T00:00:00"/>
    <x v="2"/>
    <x v="1"/>
    <n v="-3232.9629046216673"/>
  </r>
  <r>
    <x v="0"/>
    <n v="2025"/>
    <d v="2025-10-01T00:00:00"/>
    <x v="2"/>
    <x v="2"/>
    <n v="-544.55075545836041"/>
  </r>
  <r>
    <x v="0"/>
    <n v="2025"/>
    <d v="2025-10-01T00:00:00"/>
    <x v="2"/>
    <x v="3"/>
    <n v="-102.13317542432063"/>
  </r>
  <r>
    <x v="0"/>
    <n v="2025"/>
    <d v="2025-10-01T00:00:00"/>
    <x v="2"/>
    <x v="4"/>
    <n v="80.535183490638246"/>
  </r>
  <r>
    <x v="0"/>
    <n v="2025"/>
    <d v="2025-10-01T00:00:00"/>
    <x v="2"/>
    <x v="5"/>
    <n v="-37.592004805399561"/>
  </r>
  <r>
    <x v="0"/>
    <n v="2025"/>
    <d v="2025-10-01T00:00:00"/>
    <x v="2"/>
    <x v="6"/>
    <n v="0.57047833604125253"/>
  </r>
  <r>
    <x v="0"/>
    <n v="2025"/>
    <d v="2025-10-01T00:00:00"/>
    <x v="2"/>
    <x v="7"/>
    <n v="0.54580153410579613"/>
  </r>
  <r>
    <x v="0"/>
    <n v="2025"/>
    <d v="2025-10-01T00:00:00"/>
    <x v="2"/>
    <x v="8"/>
    <n v="-39.899562818150528"/>
  </r>
  <r>
    <x v="0"/>
    <n v="2025"/>
    <d v="2025-10-01T00:00:00"/>
    <x v="3"/>
    <x v="0"/>
    <n v="338.34680795324903"/>
  </r>
  <r>
    <x v="0"/>
    <n v="2025"/>
    <d v="2025-10-01T00:00:00"/>
    <x v="3"/>
    <x v="1"/>
    <n v="-268.35545275478006"/>
  </r>
  <r>
    <x v="0"/>
    <n v="2025"/>
    <d v="2025-10-01T00:00:00"/>
    <x v="3"/>
    <x v="2"/>
    <n v="-45.201002560246458"/>
  </r>
  <r>
    <x v="0"/>
    <n v="2025"/>
    <d v="2025-10-01T00:00:00"/>
    <x v="3"/>
    <x v="3"/>
    <n v="-8.4776705891354229"/>
  </r>
  <r>
    <x v="0"/>
    <n v="2025"/>
    <d v="2025-10-01T00:00:00"/>
    <x v="3"/>
    <x v="4"/>
    <n v="6.6849067762033698"/>
  </r>
  <r>
    <x v="0"/>
    <n v="2025"/>
    <d v="2025-10-01T00:00:00"/>
    <x v="3"/>
    <x v="5"/>
    <n v="-3.1203635077567964"/>
  </r>
  <r>
    <x v="0"/>
    <n v="2025"/>
    <d v="2025-10-01T00:00:00"/>
    <x v="3"/>
    <x v="6"/>
    <n v="4.7353148387905532E-2"/>
  </r>
  <r>
    <x v="0"/>
    <n v="2025"/>
    <d v="2025-10-01T00:00:00"/>
    <x v="3"/>
    <x v="7"/>
    <n v="4.530482474445674E-2"/>
  </r>
  <r>
    <x v="0"/>
    <n v="2025"/>
    <d v="2025-10-01T00:00:00"/>
    <x v="3"/>
    <x v="8"/>
    <n v="-3.311904763731143"/>
  </r>
  <r>
    <x v="0"/>
    <n v="2025"/>
    <d v="2025-11-01T00:00:00"/>
    <x v="0"/>
    <x v="0"/>
    <n v="3571.1480047506452"/>
  </r>
  <r>
    <x v="0"/>
    <n v="2025"/>
    <d v="2025-11-01T00:00:00"/>
    <x v="0"/>
    <x v="1"/>
    <n v="-2832.4104650681575"/>
  </r>
  <r>
    <x v="0"/>
    <n v="2025"/>
    <d v="2025-11-01T00:00:00"/>
    <x v="0"/>
    <x v="2"/>
    <n v="-477.08288156233181"/>
  </r>
  <r>
    <x v="0"/>
    <n v="2025"/>
    <d v="2025-11-01T00:00:00"/>
    <x v="0"/>
    <x v="3"/>
    <n v="-89.479243479392977"/>
  </r>
  <r>
    <x v="0"/>
    <n v="2025"/>
    <d v="2025-11-01T00:00:00"/>
    <x v="0"/>
    <x v="4"/>
    <n v="70.557164822082044"/>
  </r>
  <r>
    <x v="0"/>
    <n v="2025"/>
    <d v="2025-11-01T00:00:00"/>
    <x v="0"/>
    <x v="5"/>
    <n v="-32.934491039626202"/>
  </r>
  <r>
    <x v="0"/>
    <n v="2025"/>
    <d v="2025-11-01T00:00:00"/>
    <x v="0"/>
    <x v="6"/>
    <n v="0.49979812845610205"/>
  </r>
  <r>
    <x v="0"/>
    <n v="2025"/>
    <d v="2025-11-01T00:00:00"/>
    <x v="0"/>
    <x v="7"/>
    <n v="0.47817869324808182"/>
  </r>
  <r>
    <x v="0"/>
    <n v="2025"/>
    <d v="2025-11-01T00:00:00"/>
    <x v="0"/>
    <x v="8"/>
    <n v="-34.956150940123131"/>
  </r>
  <r>
    <x v="0"/>
    <n v="2025"/>
    <d v="2025-11-01T00:00:00"/>
    <x v="1"/>
    <x v="0"/>
    <n v="5965.722788451877"/>
  </r>
  <r>
    <x v="0"/>
    <n v="2025"/>
    <d v="2025-11-01T00:00:00"/>
    <x v="1"/>
    <x v="1"/>
    <n v="-4731.6368952584317"/>
  </r>
  <r>
    <x v="0"/>
    <n v="2025"/>
    <d v="2025-11-01T00:00:00"/>
    <x v="1"/>
    <x v="2"/>
    <n v="-796.98299110832352"/>
  </r>
  <r>
    <x v="0"/>
    <n v="2025"/>
    <d v="2025-11-01T00:00:00"/>
    <x v="1"/>
    <x v="3"/>
    <n v="-149.47808413662256"/>
  </r>
  <r>
    <x v="0"/>
    <n v="2025"/>
    <d v="2025-11-01T00:00:00"/>
    <x v="1"/>
    <x v="4"/>
    <n v="117.86811566132245"/>
  </r>
  <r>
    <x v="0"/>
    <n v="2025"/>
    <d v="2025-11-01T00:00:00"/>
    <x v="1"/>
    <x v="5"/>
    <n v="-55.018174396521886"/>
  </r>
  <r>
    <x v="0"/>
    <n v="2025"/>
    <d v="2025-11-01T00:00:00"/>
    <x v="1"/>
    <x v="6"/>
    <n v="0.83492957463250261"/>
  </r>
  <r>
    <x v="0"/>
    <n v="2025"/>
    <d v="2025-11-01T00:00:00"/>
    <x v="1"/>
    <x v="7"/>
    <n v="0.79881358136580771"/>
  </r>
  <r>
    <x v="0"/>
    <n v="2025"/>
    <d v="2025-11-01T00:00:00"/>
    <x v="1"/>
    <x v="8"/>
    <n v="-58.395425219744503"/>
  </r>
  <r>
    <x v="0"/>
    <n v="2025"/>
    <d v="2025-11-01T00:00:00"/>
    <x v="2"/>
    <x v="0"/>
    <n v="4022.6940494799737"/>
  </r>
  <r>
    <x v="0"/>
    <n v="2025"/>
    <d v="2025-11-01T00:00:00"/>
    <x v="2"/>
    <x v="1"/>
    <n v="-3190.548447826111"/>
  </r>
  <r>
    <x v="0"/>
    <n v="2025"/>
    <d v="2025-11-01T00:00:00"/>
    <x v="2"/>
    <x v="2"/>
    <n v="-537.40658920227429"/>
  </r>
  <r>
    <x v="0"/>
    <n v="2025"/>
    <d v="2025-11-01T00:00:00"/>
    <x v="2"/>
    <x v="3"/>
    <n v="-100.79325186682011"/>
  </r>
  <r>
    <x v="0"/>
    <n v="2025"/>
    <d v="2025-11-01T00:00:00"/>
    <x v="2"/>
    <x v="4"/>
    <n v="79.478612115877723"/>
  </r>
  <r>
    <x v="0"/>
    <n v="2025"/>
    <d v="2025-11-01T00:00:00"/>
    <x v="2"/>
    <x v="5"/>
    <n v="-37.098821149813027"/>
  </r>
  <r>
    <x v="0"/>
    <n v="2025"/>
    <d v="2025-11-01T00:00:00"/>
    <x v="2"/>
    <x v="6"/>
    <n v="0.5629940160998661"/>
  </r>
  <r>
    <x v="0"/>
    <n v="2025"/>
    <d v="2025-11-01T00:00:00"/>
    <x v="2"/>
    <x v="7"/>
    <n v="0.5386409584140105"/>
  </r>
  <r>
    <x v="0"/>
    <n v="2025"/>
    <d v="2025-11-01T00:00:00"/>
    <x v="2"/>
    <x v="8"/>
    <n v="-39.376105440742087"/>
  </r>
  <r>
    <x v="0"/>
    <n v="2025"/>
    <d v="2025-11-01T00:00:00"/>
    <x v="3"/>
    <x v="0"/>
    <n v="319.21186425966988"/>
  </r>
  <r>
    <x v="0"/>
    <n v="2025"/>
    <d v="2025-11-01T00:00:00"/>
    <x v="3"/>
    <x v="1"/>
    <n v="-253.17881636388142"/>
  </r>
  <r>
    <x v="0"/>
    <n v="2025"/>
    <d v="2025-11-01T00:00:00"/>
    <x v="3"/>
    <x v="2"/>
    <n v="-42.644694598850961"/>
  </r>
  <r>
    <x v="0"/>
    <n v="2025"/>
    <d v="2025-11-01T00:00:00"/>
    <x v="3"/>
    <x v="3"/>
    <n v="-7.9982224443246892"/>
  </r>
  <r>
    <x v="0"/>
    <n v="2025"/>
    <d v="2025-11-01T00:00:00"/>
    <x v="3"/>
    <x v="4"/>
    <n v="6.3068470110373509"/>
  </r>
  <r>
    <x v="0"/>
    <n v="2025"/>
    <d v="2025-11-01T00:00:00"/>
    <x v="3"/>
    <x v="5"/>
    <n v="-2.9438937476735991"/>
  </r>
  <r>
    <x v="0"/>
    <n v="2025"/>
    <d v="2025-11-01T00:00:00"/>
    <x v="3"/>
    <x v="6"/>
    <n v="4.4675127473218869E-2"/>
  </r>
  <r>
    <x v="0"/>
    <n v="2025"/>
    <d v="2025-11-01T00:00:00"/>
    <x v="3"/>
    <x v="7"/>
    <n v="4.2742645199223855E-2"/>
  </r>
  <r>
    <x v="0"/>
    <n v="2025"/>
    <d v="2025-11-01T00:00:00"/>
    <x v="3"/>
    <x v="8"/>
    <n v="-3.1246025351218263"/>
  </r>
  <r>
    <x v="0"/>
    <n v="2025"/>
    <d v="2025-12-01T00:00:00"/>
    <x v="0"/>
    <x v="0"/>
    <n v="3281.7577323446826"/>
  </r>
  <r>
    <x v="0"/>
    <n v="2025"/>
    <d v="2025-12-01T00:00:00"/>
    <x v="0"/>
    <x v="1"/>
    <n v="-2602.8842637006492"/>
  </r>
  <r>
    <x v="0"/>
    <n v="2025"/>
    <d v="2025-12-01T00:00:00"/>
    <x v="0"/>
    <x v="2"/>
    <n v="-438.42216381221857"/>
  </r>
  <r>
    <x v="0"/>
    <n v="2025"/>
    <d v="2025-12-01T00:00:00"/>
    <x v="0"/>
    <x v="3"/>
    <n v="-82.228235509201326"/>
  </r>
  <r>
    <x v="0"/>
    <n v="2025"/>
    <d v="2025-12-01T00:00:00"/>
    <x v="0"/>
    <x v="4"/>
    <n v="64.839519650027498"/>
  </r>
  <r>
    <x v="0"/>
    <n v="2025"/>
    <d v="2025-12-01T00:00:00"/>
    <x v="0"/>
    <x v="5"/>
    <n v="-30.265623403552222"/>
  </r>
  <r>
    <x v="0"/>
    <n v="2025"/>
    <d v="2025-12-01T00:00:00"/>
    <x v="0"/>
    <x v="6"/>
    <n v="0.45929666608335989"/>
  </r>
  <r>
    <x v="0"/>
    <n v="2025"/>
    <d v="2025-12-01T00:00:00"/>
    <x v="0"/>
    <x v="7"/>
    <n v="0.43942917569414558"/>
  </r>
  <r>
    <x v="0"/>
    <n v="2025"/>
    <d v="2025-12-01T00:00:00"/>
    <x v="0"/>
    <x v="8"/>
    <n v="-32.123456795447794"/>
  </r>
  <r>
    <x v="0"/>
    <n v="2025"/>
    <d v="2025-12-01T00:00:00"/>
    <x v="1"/>
    <x v="0"/>
    <n v="5873.3283460457378"/>
  </r>
  <r>
    <x v="0"/>
    <n v="2025"/>
    <d v="2025-12-01T00:00:00"/>
    <x v="1"/>
    <x v="1"/>
    <n v="-4658.3554223995216"/>
  </r>
  <r>
    <x v="0"/>
    <n v="2025"/>
    <d v="2025-12-01T00:00:00"/>
    <x v="1"/>
    <x v="2"/>
    <n v="-784.6396755232995"/>
  </r>
  <r>
    <x v="0"/>
    <n v="2025"/>
    <d v="2025-12-01T00:00:00"/>
    <x v="1"/>
    <x v="3"/>
    <n v="-147.16303452310788"/>
  </r>
  <r>
    <x v="0"/>
    <n v="2025"/>
    <d v="2025-12-01T00:00:00"/>
    <x v="1"/>
    <x v="4"/>
    <n v="116.04262708094939"/>
  </r>
  <r>
    <x v="0"/>
    <n v="2025"/>
    <d v="2025-12-01T00:00:00"/>
    <x v="1"/>
    <x v="5"/>
    <n v="-54.166077554977306"/>
  </r>
  <r>
    <x v="0"/>
    <n v="2025"/>
    <d v="2025-12-01T00:00:00"/>
    <x v="1"/>
    <x v="6"/>
    <n v="0.82199855935872979"/>
  </r>
  <r>
    <x v="0"/>
    <n v="2025"/>
    <d v="2025-12-01T00:00:00"/>
    <x v="1"/>
    <x v="7"/>
    <n v="0.78644191441882616"/>
  </r>
  <r>
    <x v="0"/>
    <n v="2025"/>
    <d v="2025-12-01T00:00:00"/>
    <x v="1"/>
    <x v="8"/>
    <n v="-57.4910230301738"/>
  </r>
  <r>
    <x v="0"/>
    <n v="2025"/>
    <d v="2025-12-01T00:00:00"/>
    <x v="2"/>
    <x v="0"/>
    <n v="4260.3001329098097"/>
  </r>
  <r>
    <x v="0"/>
    <n v="2025"/>
    <d v="2025-12-01T00:00:00"/>
    <x v="2"/>
    <x v="1"/>
    <n v="-3379.0026805757043"/>
  </r>
  <r>
    <x v="0"/>
    <n v="2025"/>
    <d v="2025-12-01T00:00:00"/>
    <x v="2"/>
    <x v="2"/>
    <n v="-569.14926545334185"/>
  </r>
  <r>
    <x v="0"/>
    <n v="2025"/>
    <d v="2025-12-01T00:00:00"/>
    <x v="2"/>
    <x v="3"/>
    <n v="-106.74674709107862"/>
  </r>
  <r>
    <x v="0"/>
    <n v="2025"/>
    <d v="2025-12-01T00:00:00"/>
    <x v="2"/>
    <x v="4"/>
    <n v="84.17312815637402"/>
  </r>
  <r>
    <x v="0"/>
    <n v="2025"/>
    <d v="2025-12-01T00:00:00"/>
    <x v="2"/>
    <x v="5"/>
    <n v="-39.290115214150475"/>
  </r>
  <r>
    <x v="0"/>
    <n v="2025"/>
    <d v="2025-12-01T00:00:00"/>
    <x v="2"/>
    <x v="6"/>
    <n v="0.59624804971875789"/>
  </r>
  <r>
    <x v="0"/>
    <n v="2025"/>
    <d v="2025-12-01T00:00:00"/>
    <x v="2"/>
    <x v="7"/>
    <n v="0.57045654441916316"/>
  </r>
  <r>
    <x v="0"/>
    <n v="2025"/>
    <d v="2025-12-01T00:00:00"/>
    <x v="2"/>
    <x v="8"/>
    <n v="-41.701910505560392"/>
  </r>
  <r>
    <x v="0"/>
    <n v="2025"/>
    <d v="2025-12-01T00:00:00"/>
    <x v="3"/>
    <x v="0"/>
    <n v="315.81768972354678"/>
  </r>
  <r>
    <x v="0"/>
    <n v="2025"/>
    <d v="2025-12-01T00:00:00"/>
    <x v="3"/>
    <x v="1"/>
    <n v="-250.4867701469243"/>
  </r>
  <r>
    <x v="0"/>
    <n v="2025"/>
    <d v="2025-12-01T00:00:00"/>
    <x v="3"/>
    <x v="2"/>
    <n v="-42.191254258079596"/>
  </r>
  <r>
    <x v="0"/>
    <n v="2025"/>
    <d v="2025-12-01T00:00:00"/>
    <x v="3"/>
    <x v="3"/>
    <n v="-7.9131774757808779"/>
  </r>
  <r>
    <x v="0"/>
    <n v="2025"/>
    <d v="2025-12-01T00:00:00"/>
    <x v="3"/>
    <x v="4"/>
    <n v="6.2397864098352809"/>
  </r>
  <r>
    <x v="0"/>
    <n v="2025"/>
    <d v="2025-12-01T00:00:00"/>
    <x v="3"/>
    <x v="5"/>
    <n v="-2.9125913735636022"/>
  </r>
  <r>
    <x v="0"/>
    <n v="2025"/>
    <d v="2025-12-01T00:00:00"/>
    <x v="3"/>
    <x v="6"/>
    <n v="4.4200097572875623E-2"/>
  </r>
  <r>
    <x v="0"/>
    <n v="2025"/>
    <d v="2025-12-01T00:00:00"/>
    <x v="3"/>
    <x v="7"/>
    <n v="4.2288163351319435E-2"/>
  </r>
  <r>
    <x v="0"/>
    <n v="2025"/>
    <d v="2025-12-01T00:00:00"/>
    <x v="3"/>
    <x v="8"/>
    <n v="-3.0913786874280293"/>
  </r>
  <r>
    <x v="1"/>
    <n v="2025"/>
    <d v="2025-01-01T00:00:00"/>
    <x v="0"/>
    <x v="0"/>
    <n v="2654.5470109646349"/>
  </r>
  <r>
    <x v="1"/>
    <n v="2025"/>
    <d v="2025-01-01T00:00:00"/>
    <x v="0"/>
    <x v="1"/>
    <n v="-2112.9751782776666"/>
  </r>
  <r>
    <x v="1"/>
    <n v="2025"/>
    <d v="2025-01-01T00:00:00"/>
    <x v="0"/>
    <x v="2"/>
    <n v="-376.94567555697813"/>
  </r>
  <r>
    <x v="1"/>
    <n v="2025"/>
    <d v="2025-01-01T00:00:00"/>
    <x v="0"/>
    <x v="3"/>
    <n v="-71.672769296045146"/>
  </r>
  <r>
    <x v="1"/>
    <n v="2025"/>
    <d v="2025-01-01T00:00:00"/>
    <x v="0"/>
    <x v="4"/>
    <n v="39.818205164469525"/>
  </r>
  <r>
    <x v="1"/>
    <n v="2025"/>
    <d v="2025-01-01T00:00:00"/>
    <x v="0"/>
    <x v="5"/>
    <n v="-21.23637608771708"/>
  </r>
  <r>
    <x v="1"/>
    <n v="2025"/>
    <d v="2025-01-01T00:00:00"/>
    <x v="0"/>
    <x v="6"/>
    <n v="0"/>
  </r>
  <r>
    <x v="1"/>
    <n v="2025"/>
    <d v="2025-01-01T00:00:00"/>
    <x v="0"/>
    <x v="7"/>
    <n v="-4.2472752175434163"/>
  </r>
  <r>
    <x v="1"/>
    <n v="2025"/>
    <d v="2025-01-01T00:00:00"/>
    <x v="0"/>
    <x v="8"/>
    <n v="-21.457588338630863"/>
  </r>
  <r>
    <x v="1"/>
    <n v="2025"/>
    <d v="2025-01-01T00:00:00"/>
    <x v="1"/>
    <x v="0"/>
    <n v="5067.7715663870295"/>
  </r>
  <r>
    <x v="1"/>
    <n v="2025"/>
    <d v="2025-01-01T00:00:00"/>
    <x v="1"/>
    <x v="1"/>
    <n v="-4033.8617039846358"/>
  </r>
  <r>
    <x v="1"/>
    <n v="2025"/>
    <d v="2025-01-01T00:00:00"/>
    <x v="1"/>
    <x v="2"/>
    <n v="-719.62356242695807"/>
  </r>
  <r>
    <x v="1"/>
    <n v="2025"/>
    <d v="2025-01-01T00:00:00"/>
    <x v="1"/>
    <x v="3"/>
    <n v="-136.82983229244979"/>
  </r>
  <r>
    <x v="1"/>
    <n v="2025"/>
    <d v="2025-01-01T00:00:00"/>
    <x v="1"/>
    <x v="4"/>
    <n v="76.016573495805446"/>
  </r>
  <r>
    <x v="1"/>
    <n v="2025"/>
    <d v="2025-01-01T00:00:00"/>
    <x v="1"/>
    <x v="5"/>
    <n v="-40.542172531096234"/>
  </r>
  <r>
    <x v="1"/>
    <n v="2025"/>
    <d v="2025-01-01T00:00:00"/>
    <x v="1"/>
    <x v="6"/>
    <n v="0"/>
  </r>
  <r>
    <x v="1"/>
    <n v="2025"/>
    <d v="2025-01-01T00:00:00"/>
    <x v="1"/>
    <x v="7"/>
    <n v="-8.1084345062192469"/>
  </r>
  <r>
    <x v="1"/>
    <n v="2025"/>
    <d v="2025-01-01T00:00:00"/>
    <x v="1"/>
    <x v="8"/>
    <n v="-40.964486828295279"/>
  </r>
  <r>
    <x v="1"/>
    <n v="2025"/>
    <d v="2025-01-01T00:00:00"/>
    <x v="2"/>
    <x v="0"/>
    <n v="3740.4980609047129"/>
  </r>
  <r>
    <x v="1"/>
    <n v="2025"/>
    <d v="2025-01-01T00:00:00"/>
    <x v="2"/>
    <x v="1"/>
    <n v="-2977.374114845803"/>
  </r>
  <r>
    <x v="1"/>
    <n v="2025"/>
    <d v="2025-01-01T00:00:00"/>
    <x v="2"/>
    <x v="2"/>
    <n v="-531.15072464846912"/>
  </r>
  <r>
    <x v="1"/>
    <n v="2025"/>
    <d v="2025-01-01T00:00:00"/>
    <x v="2"/>
    <x v="3"/>
    <n v="-100.99344764442725"/>
  </r>
  <r>
    <x v="1"/>
    <n v="2025"/>
    <d v="2025-01-01T00:00:00"/>
    <x v="2"/>
    <x v="4"/>
    <n v="56.107470913570694"/>
  </r>
  <r>
    <x v="1"/>
    <n v="2025"/>
    <d v="2025-01-01T00:00:00"/>
    <x v="2"/>
    <x v="5"/>
    <n v="-29.923984487237703"/>
  </r>
  <r>
    <x v="1"/>
    <n v="2025"/>
    <d v="2025-01-01T00:00:00"/>
    <x v="2"/>
    <x v="6"/>
    <n v="0"/>
  </r>
  <r>
    <x v="1"/>
    <n v="2025"/>
    <d v="2025-01-01T00:00:00"/>
    <x v="2"/>
    <x v="7"/>
    <n v="-5.9847968974475405"/>
  </r>
  <r>
    <x v="1"/>
    <n v="2025"/>
    <d v="2025-01-01T00:00:00"/>
    <x v="2"/>
    <x v="8"/>
    <n v="-30.235692658979854"/>
  </r>
  <r>
    <x v="1"/>
    <n v="2025"/>
    <d v="2025-01-01T00:00:00"/>
    <x v="3"/>
    <x v="0"/>
    <n v="603.30613885559887"/>
  </r>
  <r>
    <x v="1"/>
    <n v="2025"/>
    <d v="2025-01-01T00:00:00"/>
    <x v="3"/>
    <x v="1"/>
    <n v="-480.22163142674248"/>
  </r>
  <r>
    <x v="1"/>
    <n v="2025"/>
    <d v="2025-01-01T00:00:00"/>
    <x v="3"/>
    <x v="2"/>
    <n v="-85.669471717495028"/>
  </r>
  <r>
    <x v="1"/>
    <n v="2025"/>
    <d v="2025-01-01T00:00:00"/>
    <x v="3"/>
    <x v="3"/>
    <n v="-16.289265749101173"/>
  </r>
  <r>
    <x v="1"/>
    <n v="2025"/>
    <d v="2025-01-01T00:00:00"/>
    <x v="3"/>
    <x v="4"/>
    <n v="9.0495920828339838"/>
  </r>
  <r>
    <x v="1"/>
    <n v="2025"/>
    <d v="2025-01-01T00:00:00"/>
    <x v="3"/>
    <x v="5"/>
    <n v="-4.8264491108447913"/>
  </r>
  <r>
    <x v="1"/>
    <n v="2025"/>
    <d v="2025-01-01T00:00:00"/>
    <x v="3"/>
    <x v="6"/>
    <n v="0"/>
  </r>
  <r>
    <x v="1"/>
    <n v="2025"/>
    <d v="2025-01-01T00:00:00"/>
    <x v="3"/>
    <x v="7"/>
    <n v="-0.96528982216895831"/>
  </r>
  <r>
    <x v="1"/>
    <n v="2025"/>
    <d v="2025-01-01T00:00:00"/>
    <x v="3"/>
    <x v="8"/>
    <n v="-4.8767246224161056"/>
  </r>
  <r>
    <x v="1"/>
    <n v="2025"/>
    <d v="2025-02-01T00:00:00"/>
    <x v="0"/>
    <x v="0"/>
    <n v="2654.5470109646349"/>
  </r>
  <r>
    <x v="1"/>
    <n v="2025"/>
    <d v="2025-02-01T00:00:00"/>
    <x v="0"/>
    <x v="1"/>
    <n v="-2112.9751782776666"/>
  </r>
  <r>
    <x v="1"/>
    <n v="2025"/>
    <d v="2025-02-01T00:00:00"/>
    <x v="0"/>
    <x v="2"/>
    <n v="-376.94567555697813"/>
  </r>
  <r>
    <x v="1"/>
    <n v="2025"/>
    <d v="2025-02-01T00:00:00"/>
    <x v="0"/>
    <x v="3"/>
    <n v="-71.672769296045146"/>
  </r>
  <r>
    <x v="1"/>
    <n v="2025"/>
    <d v="2025-02-01T00:00:00"/>
    <x v="0"/>
    <x v="4"/>
    <n v="39.818205164469525"/>
  </r>
  <r>
    <x v="1"/>
    <n v="2025"/>
    <d v="2025-02-01T00:00:00"/>
    <x v="0"/>
    <x v="5"/>
    <n v="-21.23637608771708"/>
  </r>
  <r>
    <x v="1"/>
    <n v="2025"/>
    <d v="2025-02-01T00:00:00"/>
    <x v="0"/>
    <x v="6"/>
    <n v="0"/>
  </r>
  <r>
    <x v="1"/>
    <n v="2025"/>
    <d v="2025-02-01T00:00:00"/>
    <x v="0"/>
    <x v="7"/>
    <n v="-4.2472752175434163"/>
  </r>
  <r>
    <x v="1"/>
    <n v="2025"/>
    <d v="2025-02-01T00:00:00"/>
    <x v="0"/>
    <x v="8"/>
    <n v="-21.457588338630863"/>
  </r>
  <r>
    <x v="1"/>
    <n v="2025"/>
    <d v="2025-02-01T00:00:00"/>
    <x v="1"/>
    <x v="0"/>
    <n v="5067.7715663870295"/>
  </r>
  <r>
    <x v="1"/>
    <n v="2025"/>
    <d v="2025-02-01T00:00:00"/>
    <x v="1"/>
    <x v="1"/>
    <n v="-4033.8617039846358"/>
  </r>
  <r>
    <x v="1"/>
    <n v="2025"/>
    <d v="2025-02-01T00:00:00"/>
    <x v="1"/>
    <x v="2"/>
    <n v="-719.62356242695807"/>
  </r>
  <r>
    <x v="1"/>
    <n v="2025"/>
    <d v="2025-02-01T00:00:00"/>
    <x v="1"/>
    <x v="3"/>
    <n v="-136.82983229244979"/>
  </r>
  <r>
    <x v="1"/>
    <n v="2025"/>
    <d v="2025-02-01T00:00:00"/>
    <x v="1"/>
    <x v="4"/>
    <n v="76.016573495805446"/>
  </r>
  <r>
    <x v="1"/>
    <n v="2025"/>
    <d v="2025-02-01T00:00:00"/>
    <x v="1"/>
    <x v="5"/>
    <n v="-40.542172531096234"/>
  </r>
  <r>
    <x v="1"/>
    <n v="2025"/>
    <d v="2025-02-01T00:00:00"/>
    <x v="1"/>
    <x v="6"/>
    <n v="0"/>
  </r>
  <r>
    <x v="1"/>
    <n v="2025"/>
    <d v="2025-02-01T00:00:00"/>
    <x v="1"/>
    <x v="7"/>
    <n v="-8.1084345062192469"/>
  </r>
  <r>
    <x v="1"/>
    <n v="2025"/>
    <d v="2025-02-01T00:00:00"/>
    <x v="1"/>
    <x v="8"/>
    <n v="-40.964486828295279"/>
  </r>
  <r>
    <x v="1"/>
    <n v="2025"/>
    <d v="2025-02-01T00:00:00"/>
    <x v="2"/>
    <x v="0"/>
    <n v="3740.4980609047129"/>
  </r>
  <r>
    <x v="1"/>
    <n v="2025"/>
    <d v="2025-02-01T00:00:00"/>
    <x v="2"/>
    <x v="1"/>
    <n v="-2977.374114845803"/>
  </r>
  <r>
    <x v="1"/>
    <n v="2025"/>
    <d v="2025-02-01T00:00:00"/>
    <x v="2"/>
    <x v="2"/>
    <n v="-531.15072464846912"/>
  </r>
  <r>
    <x v="1"/>
    <n v="2025"/>
    <d v="2025-02-01T00:00:00"/>
    <x v="2"/>
    <x v="3"/>
    <n v="-100.99344764442725"/>
  </r>
  <r>
    <x v="1"/>
    <n v="2025"/>
    <d v="2025-02-01T00:00:00"/>
    <x v="2"/>
    <x v="4"/>
    <n v="56.107470913570694"/>
  </r>
  <r>
    <x v="1"/>
    <n v="2025"/>
    <d v="2025-02-01T00:00:00"/>
    <x v="2"/>
    <x v="5"/>
    <n v="-29.923984487237703"/>
  </r>
  <r>
    <x v="1"/>
    <n v="2025"/>
    <d v="2025-02-01T00:00:00"/>
    <x v="2"/>
    <x v="6"/>
    <n v="0"/>
  </r>
  <r>
    <x v="1"/>
    <n v="2025"/>
    <d v="2025-02-01T00:00:00"/>
    <x v="2"/>
    <x v="7"/>
    <n v="-5.9847968974475405"/>
  </r>
  <r>
    <x v="1"/>
    <n v="2025"/>
    <d v="2025-02-01T00:00:00"/>
    <x v="2"/>
    <x v="8"/>
    <n v="-30.235692658979854"/>
  </r>
  <r>
    <x v="1"/>
    <n v="2025"/>
    <d v="2025-02-01T00:00:00"/>
    <x v="3"/>
    <x v="0"/>
    <n v="603.30613885559887"/>
  </r>
  <r>
    <x v="1"/>
    <n v="2025"/>
    <d v="2025-02-01T00:00:00"/>
    <x v="3"/>
    <x v="1"/>
    <n v="-480.22163142674248"/>
  </r>
  <r>
    <x v="1"/>
    <n v="2025"/>
    <d v="2025-02-01T00:00:00"/>
    <x v="3"/>
    <x v="2"/>
    <n v="-85.669471717495028"/>
  </r>
  <r>
    <x v="1"/>
    <n v="2025"/>
    <d v="2025-02-01T00:00:00"/>
    <x v="3"/>
    <x v="3"/>
    <n v="-16.289265749101173"/>
  </r>
  <r>
    <x v="1"/>
    <n v="2025"/>
    <d v="2025-02-01T00:00:00"/>
    <x v="3"/>
    <x v="4"/>
    <n v="9.0495920828339838"/>
  </r>
  <r>
    <x v="1"/>
    <n v="2025"/>
    <d v="2025-02-01T00:00:00"/>
    <x v="3"/>
    <x v="5"/>
    <n v="-4.8264491108447913"/>
  </r>
  <r>
    <x v="1"/>
    <n v="2025"/>
    <d v="2025-02-01T00:00:00"/>
    <x v="3"/>
    <x v="6"/>
    <n v="0"/>
  </r>
  <r>
    <x v="1"/>
    <n v="2025"/>
    <d v="2025-02-01T00:00:00"/>
    <x v="3"/>
    <x v="7"/>
    <n v="-0.96528982216895831"/>
  </r>
  <r>
    <x v="1"/>
    <n v="2025"/>
    <d v="2025-02-01T00:00:00"/>
    <x v="3"/>
    <x v="8"/>
    <n v="-4.8767246224161056"/>
  </r>
  <r>
    <x v="1"/>
    <n v="2025"/>
    <d v="2025-03-01T00:00:00"/>
    <x v="0"/>
    <x v="0"/>
    <n v="2414.1847983861962"/>
  </r>
  <r>
    <x v="1"/>
    <n v="2025"/>
    <d v="2025-03-01T00:00:00"/>
    <x v="0"/>
    <x v="1"/>
    <n v="-1921.6508631021059"/>
  </r>
  <r>
    <x v="1"/>
    <n v="2025"/>
    <d v="2025-03-01T00:00:00"/>
    <x v="0"/>
    <x v="2"/>
    <n v="-342.8142413708398"/>
  </r>
  <r>
    <x v="1"/>
    <n v="2025"/>
    <d v="2025-03-01T00:00:00"/>
    <x v="0"/>
    <x v="3"/>
    <n v="-65.182989556427302"/>
  </r>
  <r>
    <x v="1"/>
    <n v="2025"/>
    <d v="2025-03-01T00:00:00"/>
    <x v="0"/>
    <x v="4"/>
    <n v="36.212771975792947"/>
  </r>
  <r>
    <x v="1"/>
    <n v="2025"/>
    <d v="2025-03-01T00:00:00"/>
    <x v="0"/>
    <x v="5"/>
    <n v="-19.313478387089571"/>
  </r>
  <r>
    <x v="1"/>
    <n v="2025"/>
    <d v="2025-03-01T00:00:00"/>
    <x v="0"/>
    <x v="6"/>
    <n v="0"/>
  </r>
  <r>
    <x v="1"/>
    <n v="2025"/>
    <d v="2025-03-01T00:00:00"/>
    <x v="0"/>
    <x v="7"/>
    <n v="-3.8626956774179142"/>
  </r>
  <r>
    <x v="1"/>
    <n v="2025"/>
    <d v="2025-03-01T00:00:00"/>
    <x v="0"/>
    <x v="8"/>
    <n v="-19.514660453621811"/>
  </r>
  <r>
    <x v="1"/>
    <n v="2025"/>
    <d v="2025-03-01T00:00:00"/>
    <x v="1"/>
    <x v="0"/>
    <n v="4608.8982514645568"/>
  </r>
  <r>
    <x v="1"/>
    <n v="2025"/>
    <d v="2025-03-01T00:00:00"/>
    <x v="1"/>
    <x v="1"/>
    <n v="-3668.6061931949293"/>
  </r>
  <r>
    <x v="1"/>
    <n v="2025"/>
    <d v="2025-03-01T00:00:00"/>
    <x v="1"/>
    <x v="2"/>
    <n v="-654.46355170796687"/>
  </r>
  <r>
    <x v="1"/>
    <n v="2025"/>
    <d v="2025-03-01T00:00:00"/>
    <x v="1"/>
    <x v="3"/>
    <n v="-124.44025278954302"/>
  </r>
  <r>
    <x v="1"/>
    <n v="2025"/>
    <d v="2025-03-01T00:00:00"/>
    <x v="1"/>
    <x v="4"/>
    <n v="69.13347377196834"/>
  </r>
  <r>
    <x v="1"/>
    <n v="2025"/>
    <d v="2025-03-01T00:00:00"/>
    <x v="1"/>
    <x v="5"/>
    <n v="-36.871186011716453"/>
  </r>
  <r>
    <x v="1"/>
    <n v="2025"/>
    <d v="2025-03-01T00:00:00"/>
    <x v="1"/>
    <x v="6"/>
    <n v="0"/>
  </r>
  <r>
    <x v="1"/>
    <n v="2025"/>
    <d v="2025-03-01T00:00:00"/>
    <x v="1"/>
    <x v="7"/>
    <n v="-7.3742372023432905"/>
  </r>
  <r>
    <x v="1"/>
    <n v="2025"/>
    <d v="2025-03-01T00:00:00"/>
    <x v="1"/>
    <x v="8"/>
    <n v="-37.25526086600528"/>
  </r>
  <r>
    <x v="1"/>
    <n v="2025"/>
    <d v="2025-03-01T00:00:00"/>
    <x v="2"/>
    <x v="0"/>
    <n v="3401.8058522714587"/>
  </r>
  <r>
    <x v="1"/>
    <n v="2025"/>
    <d v="2025-03-01T00:00:00"/>
    <x v="2"/>
    <x v="1"/>
    <n v="-2707.7807616438763"/>
  </r>
  <r>
    <x v="1"/>
    <n v="2025"/>
    <d v="2025-03-01T00:00:00"/>
    <x v="2"/>
    <x v="2"/>
    <n v="-483.05643102254703"/>
  </r>
  <r>
    <x v="1"/>
    <n v="2025"/>
    <d v="2025-03-01T00:00:00"/>
    <x v="2"/>
    <x v="3"/>
    <n v="-91.84875801132938"/>
  </r>
  <r>
    <x v="1"/>
    <n v="2025"/>
    <d v="2025-03-01T00:00:00"/>
    <x v="2"/>
    <x v="4"/>
    <n v="51.027087784071881"/>
  </r>
  <r>
    <x v="1"/>
    <n v="2025"/>
    <d v="2025-03-01T00:00:00"/>
    <x v="2"/>
    <x v="5"/>
    <n v="-27.21444681817167"/>
  </r>
  <r>
    <x v="1"/>
    <n v="2025"/>
    <d v="2025-03-01T00:00:00"/>
    <x v="2"/>
    <x v="6"/>
    <n v="0"/>
  </r>
  <r>
    <x v="1"/>
    <n v="2025"/>
    <d v="2025-03-01T00:00:00"/>
    <x v="2"/>
    <x v="7"/>
    <n v="-5.4428893636343334"/>
  </r>
  <r>
    <x v="1"/>
    <n v="2025"/>
    <d v="2025-03-01T00:00:00"/>
    <x v="2"/>
    <x v="8"/>
    <n v="-27.497930639194372"/>
  </r>
  <r>
    <x v="1"/>
    <n v="2025"/>
    <d v="2025-03-01T00:00:00"/>
    <x v="3"/>
    <x v="0"/>
    <n v="548.67836326959014"/>
  </r>
  <r>
    <x v="1"/>
    <n v="2025"/>
    <d v="2025-03-01T00:00:00"/>
    <x v="3"/>
    <x v="1"/>
    <n v="-436.73883252320587"/>
  </r>
  <r>
    <x v="1"/>
    <n v="2025"/>
    <d v="2025-03-01T00:00:00"/>
    <x v="3"/>
    <x v="2"/>
    <n v="-77.912327584281783"/>
  </r>
  <r>
    <x v="1"/>
    <n v="2025"/>
    <d v="2025-03-01T00:00:00"/>
    <x v="3"/>
    <x v="3"/>
    <n v="-14.814315808278932"/>
  </r>
  <r>
    <x v="1"/>
    <n v="2025"/>
    <d v="2025-03-01T00:00:00"/>
    <x v="3"/>
    <x v="4"/>
    <n v="8.2301754490438519"/>
  </r>
  <r>
    <x v="1"/>
    <n v="2025"/>
    <d v="2025-03-01T00:00:00"/>
    <x v="3"/>
    <x v="5"/>
    <n v="-4.3894269061567206"/>
  </r>
  <r>
    <x v="1"/>
    <n v="2025"/>
    <d v="2025-03-01T00:00:00"/>
    <x v="3"/>
    <x v="6"/>
    <n v="0"/>
  </r>
  <r>
    <x v="1"/>
    <n v="2025"/>
    <d v="2025-03-01T00:00:00"/>
    <x v="3"/>
    <x v="7"/>
    <n v="-0.87788538123134419"/>
  </r>
  <r>
    <x v="1"/>
    <n v="2025"/>
    <d v="2025-03-01T00:00:00"/>
    <x v="3"/>
    <x v="8"/>
    <n v="-4.4351501030958662"/>
  </r>
  <r>
    <x v="1"/>
    <n v="2025"/>
    <d v="2025-04-01T00:00:00"/>
    <x v="0"/>
    <x v="0"/>
    <n v="2848.9738799026359"/>
  </r>
  <r>
    <x v="1"/>
    <n v="2025"/>
    <d v="2025-04-01T00:00:00"/>
    <x v="0"/>
    <x v="1"/>
    <n v="-2267.7357255044999"/>
  </r>
  <r>
    <x v="1"/>
    <n v="2025"/>
    <d v="2025-04-01T00:00:00"/>
    <x v="0"/>
    <x v="2"/>
    <n v="-404.55429094617426"/>
  </r>
  <r>
    <x v="1"/>
    <n v="2025"/>
    <d v="2025-04-01T00:00:00"/>
    <x v="0"/>
    <x v="3"/>
    <n v="-76.922294757371176"/>
  </r>
  <r>
    <x v="1"/>
    <n v="2025"/>
    <d v="2025-04-01T00:00:00"/>
    <x v="0"/>
    <x v="4"/>
    <n v="42.73460819853954"/>
  </r>
  <r>
    <x v="1"/>
    <n v="2025"/>
    <d v="2025-04-01T00:00:00"/>
    <x v="0"/>
    <x v="5"/>
    <n v="-22.791791039221089"/>
  </r>
  <r>
    <x v="1"/>
    <n v="2025"/>
    <d v="2025-04-01T00:00:00"/>
    <x v="0"/>
    <x v="6"/>
    <n v="0"/>
  </r>
  <r>
    <x v="1"/>
    <n v="2025"/>
    <d v="2025-04-01T00:00:00"/>
    <x v="0"/>
    <x v="7"/>
    <n v="-4.5583582078442175"/>
  </r>
  <r>
    <x v="1"/>
    <n v="2025"/>
    <d v="2025-04-01T00:00:00"/>
    <x v="0"/>
    <x v="8"/>
    <n v="-23.029205529213044"/>
  </r>
  <r>
    <x v="1"/>
    <n v="2025"/>
    <d v="2025-04-01T00:00:00"/>
    <x v="1"/>
    <x v="0"/>
    <n v="5438.9501343595784"/>
  </r>
  <r>
    <x v="1"/>
    <n v="2025"/>
    <d v="2025-04-01T00:00:00"/>
    <x v="1"/>
    <x v="1"/>
    <n v="-4329.3136577813184"/>
  </r>
  <r>
    <x v="1"/>
    <n v="2025"/>
    <d v="2025-04-01T00:00:00"/>
    <x v="1"/>
    <x v="2"/>
    <n v="-772.33091907905998"/>
  </r>
  <r>
    <x v="1"/>
    <n v="2025"/>
    <d v="2025-04-01T00:00:00"/>
    <x v="1"/>
    <x v="3"/>
    <n v="-146.8516536277086"/>
  </r>
  <r>
    <x v="1"/>
    <n v="2025"/>
    <d v="2025-04-01T00:00:00"/>
    <x v="1"/>
    <x v="4"/>
    <n v="81.584252015393673"/>
  </r>
  <r>
    <x v="1"/>
    <n v="2025"/>
    <d v="2025-04-01T00:00:00"/>
    <x v="1"/>
    <x v="5"/>
    <n v="-43.511601074876623"/>
  </r>
  <r>
    <x v="1"/>
    <n v="2025"/>
    <d v="2025-04-01T00:00:00"/>
    <x v="1"/>
    <x v="6"/>
    <n v="0"/>
  </r>
  <r>
    <x v="1"/>
    <n v="2025"/>
    <d v="2025-04-01T00:00:00"/>
    <x v="1"/>
    <x v="7"/>
    <n v="-8.7023202149753249"/>
  </r>
  <r>
    <x v="1"/>
    <n v="2025"/>
    <d v="2025-04-01T00:00:00"/>
    <x v="1"/>
    <x v="8"/>
    <n v="-43.964846919406718"/>
  </r>
  <r>
    <x v="1"/>
    <n v="2025"/>
    <d v="2025-04-01T00:00:00"/>
    <x v="2"/>
    <x v="0"/>
    <n v="4014.4631944082598"/>
  </r>
  <r>
    <x v="1"/>
    <n v="2025"/>
    <d v="2025-04-01T00:00:00"/>
    <x v="2"/>
    <x v="1"/>
    <n v="-3195.445795029068"/>
  </r>
  <r>
    <x v="1"/>
    <n v="2025"/>
    <d v="2025-04-01T00:00:00"/>
    <x v="2"/>
    <x v="2"/>
    <n v="-570.05377360597288"/>
  </r>
  <r>
    <x v="1"/>
    <n v="2025"/>
    <d v="2025-04-01T00:00:00"/>
    <x v="2"/>
    <x v="3"/>
    <n v="-108.39050624902302"/>
  </r>
  <r>
    <x v="1"/>
    <n v="2025"/>
    <d v="2025-04-01T00:00:00"/>
    <x v="2"/>
    <x v="4"/>
    <n v="60.2169479161239"/>
  </r>
  <r>
    <x v="1"/>
    <n v="2025"/>
    <d v="2025-04-01T00:00:00"/>
    <x v="2"/>
    <x v="5"/>
    <n v="-32.115705555266082"/>
  </r>
  <r>
    <x v="1"/>
    <n v="2025"/>
    <d v="2025-04-01T00:00:00"/>
    <x v="2"/>
    <x v="6"/>
    <n v="0"/>
  </r>
  <r>
    <x v="1"/>
    <n v="2025"/>
    <d v="2025-04-01T00:00:00"/>
    <x v="2"/>
    <x v="7"/>
    <n v="-6.4231411110532157"/>
  </r>
  <r>
    <x v="1"/>
    <n v="2025"/>
    <d v="2025-04-01T00:00:00"/>
    <x v="2"/>
    <x v="8"/>
    <n v="-32.450244154800203"/>
  </r>
  <r>
    <x v="1"/>
    <n v="2025"/>
    <d v="2025-04-01T00:00:00"/>
    <x v="3"/>
    <x v="0"/>
    <n v="647.49406361423553"/>
  </r>
  <r>
    <x v="1"/>
    <n v="2025"/>
    <d v="2025-04-01T00:00:00"/>
    <x v="3"/>
    <x v="1"/>
    <n v="-515.39448306920451"/>
  </r>
  <r>
    <x v="1"/>
    <n v="2025"/>
    <d v="2025-04-01T00:00:00"/>
    <x v="3"/>
    <x v="2"/>
    <n v="-91.94415703322143"/>
  </r>
  <r>
    <x v="1"/>
    <n v="2025"/>
    <d v="2025-04-01T00:00:00"/>
    <x v="3"/>
    <x v="3"/>
    <n v="-17.48233971758436"/>
  </r>
  <r>
    <x v="1"/>
    <n v="2025"/>
    <d v="2025-04-01T00:00:00"/>
    <x v="3"/>
    <x v="4"/>
    <n v="9.7124109542135333"/>
  </r>
  <r>
    <x v="1"/>
    <n v="2025"/>
    <d v="2025-04-01T00:00:00"/>
    <x v="3"/>
    <x v="5"/>
    <n v="-5.1799525089138845"/>
  </r>
  <r>
    <x v="1"/>
    <n v="2025"/>
    <d v="2025-04-01T00:00:00"/>
    <x v="3"/>
    <x v="6"/>
    <n v="0"/>
  </r>
  <r>
    <x v="1"/>
    <n v="2025"/>
    <d v="2025-04-01T00:00:00"/>
    <x v="3"/>
    <x v="7"/>
    <n v="-1.0359905017827769"/>
  </r>
  <r>
    <x v="1"/>
    <n v="2025"/>
    <d v="2025-04-01T00:00:00"/>
    <x v="3"/>
    <x v="8"/>
    <n v="-5.2339103475484192"/>
  </r>
  <r>
    <x v="1"/>
    <n v="2025"/>
    <d v="2025-05-01T00:00:00"/>
    <x v="0"/>
    <x v="0"/>
    <n v="2751.4533909975362"/>
  </r>
  <r>
    <x v="1"/>
    <n v="2025"/>
    <d v="2025-05-01T00:00:00"/>
    <x v="0"/>
    <x v="1"/>
    <n v="-2190.1110416775223"/>
  </r>
  <r>
    <x v="1"/>
    <n v="2025"/>
    <d v="2025-05-01T00:00:00"/>
    <x v="0"/>
    <x v="2"/>
    <n v="-390.70638152165009"/>
  </r>
  <r>
    <x v="1"/>
    <n v="2025"/>
    <d v="2025-05-01T00:00:00"/>
    <x v="0"/>
    <x v="3"/>
    <n v="-74.289241556933476"/>
  </r>
  <r>
    <x v="1"/>
    <n v="2025"/>
    <d v="2025-05-01T00:00:00"/>
    <x v="0"/>
    <x v="4"/>
    <n v="41.271800864963041"/>
  </r>
  <r>
    <x v="1"/>
    <n v="2025"/>
    <d v="2025-05-01T00:00:00"/>
    <x v="0"/>
    <x v="5"/>
    <n v="-22.01162712798029"/>
  </r>
  <r>
    <x v="1"/>
    <n v="2025"/>
    <d v="2025-05-01T00:00:00"/>
    <x v="0"/>
    <x v="6"/>
    <n v="0"/>
  </r>
  <r>
    <x v="1"/>
    <n v="2025"/>
    <d v="2025-05-01T00:00:00"/>
    <x v="0"/>
    <x v="7"/>
    <n v="-4.4023254255960582"/>
  </r>
  <r>
    <x v="1"/>
    <n v="2025"/>
    <d v="2025-05-01T00:00:00"/>
    <x v="0"/>
    <x v="8"/>
    <n v="-22.240914910563482"/>
  </r>
  <r>
    <x v="1"/>
    <n v="2025"/>
    <d v="2025-05-01T00:00:00"/>
    <x v="1"/>
    <x v="0"/>
    <n v="5252.7746555407502"/>
  </r>
  <r>
    <x v="1"/>
    <n v="2025"/>
    <d v="2025-05-01T00:00:00"/>
    <x v="1"/>
    <x v="1"/>
    <n v="-4181.1210795661782"/>
  </r>
  <r>
    <x v="1"/>
    <n v="2025"/>
    <d v="2025-05-01T00:00:00"/>
    <x v="1"/>
    <x v="2"/>
    <n v="-745.89400108678649"/>
  </r>
  <r>
    <x v="1"/>
    <n v="2025"/>
    <d v="2025-05-01T00:00:00"/>
    <x v="1"/>
    <x v="3"/>
    <n v="-141.82491569960027"/>
  </r>
  <r>
    <x v="1"/>
    <n v="2025"/>
    <d v="2025-05-01T00:00:00"/>
    <x v="1"/>
    <x v="4"/>
    <n v="78.791619833111255"/>
  </r>
  <r>
    <x v="1"/>
    <n v="2025"/>
    <d v="2025-05-01T00:00:00"/>
    <x v="1"/>
    <x v="5"/>
    <n v="-42.022197244326001"/>
  </r>
  <r>
    <x v="1"/>
    <n v="2025"/>
    <d v="2025-05-01T00:00:00"/>
    <x v="1"/>
    <x v="6"/>
    <n v="0"/>
  </r>
  <r>
    <x v="1"/>
    <n v="2025"/>
    <d v="2025-05-01T00:00:00"/>
    <x v="1"/>
    <x v="7"/>
    <n v="-8.404439448865201"/>
  </r>
  <r>
    <x v="1"/>
    <n v="2025"/>
    <d v="2025-05-01T00:00:00"/>
    <x v="1"/>
    <x v="8"/>
    <n v="-42.459928465621196"/>
  </r>
  <r>
    <x v="1"/>
    <n v="2025"/>
    <d v="2025-05-01T00:00:00"/>
    <x v="2"/>
    <x v="0"/>
    <n v="3877.0479600419826"/>
  </r>
  <r>
    <x v="1"/>
    <n v="2025"/>
    <d v="2025-05-01T00:00:00"/>
    <x v="2"/>
    <x v="1"/>
    <n v="-3086.0655587274173"/>
  </r>
  <r>
    <x v="1"/>
    <n v="2025"/>
    <d v="2025-05-01T00:00:00"/>
    <x v="2"/>
    <x v="2"/>
    <n v="-550.5408103259615"/>
  </r>
  <r>
    <x v="1"/>
    <n v="2025"/>
    <d v="2025-05-01T00:00:00"/>
    <x v="2"/>
    <x v="3"/>
    <n v="-104.68029492113354"/>
  </r>
  <r>
    <x v="1"/>
    <n v="2025"/>
    <d v="2025-05-01T00:00:00"/>
    <x v="2"/>
    <x v="4"/>
    <n v="58.155719400629742"/>
  </r>
  <r>
    <x v="1"/>
    <n v="2025"/>
    <d v="2025-05-01T00:00:00"/>
    <x v="2"/>
    <x v="5"/>
    <n v="-31.01638368033586"/>
  </r>
  <r>
    <x v="1"/>
    <n v="2025"/>
    <d v="2025-05-01T00:00:00"/>
    <x v="2"/>
    <x v="6"/>
    <n v="0"/>
  </r>
  <r>
    <x v="1"/>
    <n v="2025"/>
    <d v="2025-05-01T00:00:00"/>
    <x v="2"/>
    <x v="7"/>
    <n v="-6.2032767360671723"/>
  </r>
  <r>
    <x v="1"/>
    <n v="2025"/>
    <d v="2025-05-01T00:00:00"/>
    <x v="2"/>
    <x v="8"/>
    <n v="-31.339471010339455"/>
  </r>
  <r>
    <x v="1"/>
    <n v="2025"/>
    <d v="2025-05-01T00:00:00"/>
    <x v="3"/>
    <x v="0"/>
    <n v="625.33031613580374"/>
  </r>
  <r>
    <x v="1"/>
    <n v="2025"/>
    <d v="2025-05-01T00:00:00"/>
    <x v="3"/>
    <x v="1"/>
    <n v="-497.75250947216415"/>
  </r>
  <r>
    <x v="1"/>
    <n v="2025"/>
    <d v="2025-05-01T00:00:00"/>
    <x v="3"/>
    <x v="2"/>
    <n v="-88.796904891284115"/>
  </r>
  <r>
    <x v="1"/>
    <n v="2025"/>
    <d v="2025-05-01T00:00:00"/>
    <x v="3"/>
    <x v="3"/>
    <n v="-16.883918535666702"/>
  </r>
  <r>
    <x v="1"/>
    <n v="2025"/>
    <d v="2025-05-01T00:00:00"/>
    <x v="3"/>
    <x v="4"/>
    <n v="9.3799547420370555"/>
  </r>
  <r>
    <x v="1"/>
    <n v="2025"/>
    <d v="2025-05-01T00:00:00"/>
    <x v="3"/>
    <x v="5"/>
    <n v="-5.0026425290864296"/>
  </r>
  <r>
    <x v="1"/>
    <n v="2025"/>
    <d v="2025-05-01T00:00:00"/>
    <x v="3"/>
    <x v="6"/>
    <n v="0"/>
  </r>
  <r>
    <x v="1"/>
    <n v="2025"/>
    <d v="2025-05-01T00:00:00"/>
    <x v="3"/>
    <x v="7"/>
    <n v="-1.0005285058172859"/>
  </r>
  <r>
    <x v="1"/>
    <n v="2025"/>
    <d v="2025-05-01T00:00:00"/>
    <x v="3"/>
    <x v="8"/>
    <n v="-5.0547533887644285"/>
  </r>
  <r>
    <x v="1"/>
    <n v="2025"/>
    <d v="2025-06-01T00:00:00"/>
    <x v="0"/>
    <x v="0"/>
    <n v="2795.6692297958184"/>
  </r>
  <r>
    <x v="1"/>
    <n v="2025"/>
    <d v="2025-06-01T00:00:00"/>
    <x v="0"/>
    <x v="1"/>
    <n v="-2225.3061124303081"/>
  </r>
  <r>
    <x v="1"/>
    <n v="2025"/>
    <d v="2025-06-01T00:00:00"/>
    <x v="0"/>
    <x v="2"/>
    <n v="-396.98503063100611"/>
  </r>
  <r>
    <x v="1"/>
    <n v="2025"/>
    <d v="2025-06-01T00:00:00"/>
    <x v="0"/>
    <x v="3"/>
    <n v="-75.483069204487094"/>
  </r>
  <r>
    <x v="1"/>
    <n v="2025"/>
    <d v="2025-06-01T00:00:00"/>
    <x v="0"/>
    <x v="4"/>
    <n v="41.935038446937277"/>
  </r>
  <r>
    <x v="1"/>
    <n v="2025"/>
    <d v="2025-06-01T00:00:00"/>
    <x v="0"/>
    <x v="5"/>
    <n v="-22.365353838366545"/>
  </r>
  <r>
    <x v="1"/>
    <n v="2025"/>
    <d v="2025-06-01T00:00:00"/>
    <x v="0"/>
    <x v="6"/>
    <n v="0"/>
  </r>
  <r>
    <x v="1"/>
    <n v="2025"/>
    <d v="2025-06-01T00:00:00"/>
    <x v="0"/>
    <x v="7"/>
    <n v="-4.4730707676733088"/>
  </r>
  <r>
    <x v="1"/>
    <n v="2025"/>
    <d v="2025-06-01T00:00:00"/>
    <x v="0"/>
    <x v="8"/>
    <n v="-22.598326274182931"/>
  </r>
  <r>
    <x v="1"/>
    <n v="2025"/>
    <d v="2025-06-01T00:00:00"/>
    <x v="1"/>
    <x v="0"/>
    <n v="5337.1867114283796"/>
  </r>
  <r>
    <x v="1"/>
    <n v="2025"/>
    <d v="2025-06-01T00:00:00"/>
    <x v="1"/>
    <x v="1"/>
    <n v="-4248.3116691851328"/>
  </r>
  <r>
    <x v="1"/>
    <n v="2025"/>
    <d v="2025-06-01T00:00:00"/>
    <x v="1"/>
    <x v="2"/>
    <n v="-757.88051302282975"/>
  </r>
  <r>
    <x v="1"/>
    <n v="2025"/>
    <d v="2025-06-01T00:00:00"/>
    <x v="1"/>
    <x v="3"/>
    <n v="-144.10404120856626"/>
  </r>
  <r>
    <x v="1"/>
    <n v="2025"/>
    <d v="2025-06-01T00:00:00"/>
    <x v="1"/>
    <x v="4"/>
    <n v="80.057800671425696"/>
  </r>
  <r>
    <x v="1"/>
    <n v="2025"/>
    <d v="2025-06-01T00:00:00"/>
    <x v="1"/>
    <x v="5"/>
    <n v="-42.697493691427042"/>
  </r>
  <r>
    <x v="1"/>
    <n v="2025"/>
    <d v="2025-06-01T00:00:00"/>
    <x v="1"/>
    <x v="6"/>
    <n v="0"/>
  </r>
  <r>
    <x v="1"/>
    <n v="2025"/>
    <d v="2025-06-01T00:00:00"/>
    <x v="1"/>
    <x v="7"/>
    <n v="-8.539498738285408"/>
  </r>
  <r>
    <x v="1"/>
    <n v="2025"/>
    <d v="2025-06-01T00:00:00"/>
    <x v="1"/>
    <x v="8"/>
    <n v="-43.142259250712868"/>
  </r>
  <r>
    <x v="1"/>
    <n v="2025"/>
    <d v="2025-06-01T00:00:00"/>
    <x v="2"/>
    <x v="0"/>
    <n v="3939.352096530471"/>
  </r>
  <r>
    <x v="1"/>
    <n v="2025"/>
    <d v="2025-06-01T00:00:00"/>
    <x v="2"/>
    <x v="1"/>
    <n v="-3135.6586129699795"/>
  </r>
  <r>
    <x v="1"/>
    <n v="2025"/>
    <d v="2025-06-01T00:00:00"/>
    <x v="2"/>
    <x v="2"/>
    <n v="-559.3879977073268"/>
  </r>
  <r>
    <x v="1"/>
    <n v="2025"/>
    <d v="2025-06-01T00:00:00"/>
    <x v="2"/>
    <x v="3"/>
    <n v="-106.36250660632271"/>
  </r>
  <r>
    <x v="1"/>
    <n v="2025"/>
    <d v="2025-06-01T00:00:00"/>
    <x v="2"/>
    <x v="4"/>
    <n v="59.090281447957061"/>
  </r>
  <r>
    <x v="1"/>
    <n v="2025"/>
    <d v="2025-06-01T00:00:00"/>
    <x v="2"/>
    <x v="5"/>
    <n v="-31.514816772243766"/>
  </r>
  <r>
    <x v="1"/>
    <n v="2025"/>
    <d v="2025-06-01T00:00:00"/>
    <x v="2"/>
    <x v="6"/>
    <n v="0"/>
  </r>
  <r>
    <x v="1"/>
    <n v="2025"/>
    <d v="2025-06-01T00:00:00"/>
    <x v="2"/>
    <x v="7"/>
    <n v="-6.3029633544487531"/>
  </r>
  <r>
    <x v="1"/>
    <n v="2025"/>
    <d v="2025-06-01T00:00:00"/>
    <x v="2"/>
    <x v="8"/>
    <n v="-31.843096113621403"/>
  </r>
  <r>
    <x v="1"/>
    <n v="2025"/>
    <d v="2025-06-01T00:00:00"/>
    <x v="3"/>
    <x v="0"/>
    <n v="635.37937040814052"/>
  </r>
  <r>
    <x v="1"/>
    <n v="2025"/>
    <d v="2025-06-01T00:00:00"/>
    <x v="3"/>
    <x v="1"/>
    <n v="-505.75138918870636"/>
  </r>
  <r>
    <x v="1"/>
    <n v="2025"/>
    <d v="2025-06-01T00:00:00"/>
    <x v="3"/>
    <x v="2"/>
    <n v="-90.223870597955937"/>
  </r>
  <r>
    <x v="1"/>
    <n v="2025"/>
    <d v="2025-06-01T00:00:00"/>
    <x v="3"/>
    <x v="3"/>
    <n v="-17.155243001019794"/>
  </r>
  <r>
    <x v="1"/>
    <n v="2025"/>
    <d v="2025-06-01T00:00:00"/>
    <x v="3"/>
    <x v="4"/>
    <n v="9.5306905561221082"/>
  </r>
  <r>
    <x v="1"/>
    <n v="2025"/>
    <d v="2025-06-01T00:00:00"/>
    <x v="3"/>
    <x v="5"/>
    <n v="-5.0830349632651242"/>
  </r>
  <r>
    <x v="1"/>
    <n v="2025"/>
    <d v="2025-06-01T00:00:00"/>
    <x v="3"/>
    <x v="6"/>
    <n v="0"/>
  </r>
  <r>
    <x v="1"/>
    <n v="2025"/>
    <d v="2025-06-01T00:00:00"/>
    <x v="3"/>
    <x v="7"/>
    <n v="-1.0166069926530248"/>
  </r>
  <r>
    <x v="1"/>
    <n v="2025"/>
    <d v="2025-06-01T00:00:00"/>
    <x v="3"/>
    <x v="8"/>
    <n v="-5.1359832441324844"/>
  </r>
  <r>
    <x v="1"/>
    <n v="2025"/>
    <d v="2025-07-01T00:00:00"/>
    <x v="0"/>
    <x v="0"/>
    <n v="2682.4275537624403"/>
  </r>
  <r>
    <x v="1"/>
    <n v="2025"/>
    <d v="2025-07-01T00:00:00"/>
    <x v="0"/>
    <x v="1"/>
    <n v="-2135.1676256690062"/>
  </r>
  <r>
    <x v="1"/>
    <n v="2025"/>
    <d v="2025-07-01T00:00:00"/>
    <x v="0"/>
    <x v="2"/>
    <n v="-380.90471263426645"/>
  </r>
  <r>
    <x v="1"/>
    <n v="2025"/>
    <d v="2025-07-01T00:00:00"/>
    <x v="0"/>
    <x v="3"/>
    <n v="-72.42554395158588"/>
  </r>
  <r>
    <x v="1"/>
    <n v="2025"/>
    <d v="2025-07-01T00:00:00"/>
    <x v="0"/>
    <x v="4"/>
    <n v="40.236413306436603"/>
  </r>
  <r>
    <x v="1"/>
    <n v="2025"/>
    <d v="2025-07-01T00:00:00"/>
    <x v="0"/>
    <x v="5"/>
    <n v="-21.45942043009952"/>
  </r>
  <r>
    <x v="1"/>
    <n v="2025"/>
    <d v="2025-07-01T00:00:00"/>
    <x v="0"/>
    <x v="6"/>
    <n v="0"/>
  </r>
  <r>
    <x v="1"/>
    <n v="2025"/>
    <d v="2025-07-01T00:00:00"/>
    <x v="0"/>
    <x v="7"/>
    <n v="-4.2918840860199046"/>
  </r>
  <r>
    <x v="1"/>
    <n v="2025"/>
    <d v="2025-07-01T00:00:00"/>
    <x v="0"/>
    <x v="8"/>
    <n v="-21.682956059579791"/>
  </r>
  <r>
    <x v="1"/>
    <n v="2025"/>
    <d v="2025-07-01T00:00:00"/>
    <x v="1"/>
    <x v="0"/>
    <n v="5120.9980571828401"/>
  </r>
  <r>
    <x v="1"/>
    <n v="2025"/>
    <d v="2025-07-01T00:00:00"/>
    <x v="1"/>
    <x v="1"/>
    <n v="-4076.2291035499211"/>
  </r>
  <r>
    <x v="1"/>
    <n v="2025"/>
    <d v="2025-07-01T00:00:00"/>
    <x v="1"/>
    <x v="2"/>
    <n v="-727.18172411996318"/>
  </r>
  <r>
    <x v="1"/>
    <n v="2025"/>
    <d v="2025-07-01T00:00:00"/>
    <x v="1"/>
    <x v="3"/>
    <n v="-138.26694754393668"/>
  </r>
  <r>
    <x v="1"/>
    <n v="2025"/>
    <d v="2025-07-01T00:00:00"/>
    <x v="1"/>
    <x v="4"/>
    <n v="76.814970857742608"/>
  </r>
  <r>
    <x v="1"/>
    <n v="2025"/>
    <d v="2025-07-01T00:00:00"/>
    <x v="1"/>
    <x v="5"/>
    <n v="-40.96798445746272"/>
  </r>
  <r>
    <x v="1"/>
    <n v="2025"/>
    <d v="2025-07-01T00:00:00"/>
    <x v="1"/>
    <x v="6"/>
    <n v="0"/>
  </r>
  <r>
    <x v="1"/>
    <n v="2025"/>
    <d v="2025-07-01T00:00:00"/>
    <x v="1"/>
    <x v="7"/>
    <n v="-8.193596891492545"/>
  </r>
  <r>
    <x v="1"/>
    <n v="2025"/>
    <d v="2025-07-01T00:00:00"/>
    <x v="1"/>
    <x v="8"/>
    <n v="-41.394734295561413"/>
  </r>
  <r>
    <x v="1"/>
    <n v="2025"/>
    <d v="2025-07-01T00:00:00"/>
    <x v="2"/>
    <x v="0"/>
    <n v="3779.7842803016201"/>
  </r>
  <r>
    <x v="1"/>
    <n v="2025"/>
    <d v="2025-07-01T00:00:00"/>
    <x v="2"/>
    <x v="1"/>
    <n v="-3008.645290715418"/>
  </r>
  <r>
    <x v="1"/>
    <n v="2025"/>
    <d v="2025-07-01T00:00:00"/>
    <x v="2"/>
    <x v="2"/>
    <n v="-536.72936780282998"/>
  </r>
  <r>
    <x v="1"/>
    <n v="2025"/>
    <d v="2025-07-01T00:00:00"/>
    <x v="2"/>
    <x v="3"/>
    <n v="-102.05417556814375"/>
  </r>
  <r>
    <x v="1"/>
    <n v="2025"/>
    <d v="2025-07-01T00:00:00"/>
    <x v="2"/>
    <x v="4"/>
    <n v="56.6967642045243"/>
  </r>
  <r>
    <x v="1"/>
    <n v="2025"/>
    <d v="2025-07-01T00:00:00"/>
    <x v="2"/>
    <x v="5"/>
    <n v="-30.238274242412963"/>
  </r>
  <r>
    <x v="1"/>
    <n v="2025"/>
    <d v="2025-07-01T00:00:00"/>
    <x v="2"/>
    <x v="6"/>
    <n v="0"/>
  </r>
  <r>
    <x v="1"/>
    <n v="2025"/>
    <d v="2025-07-01T00:00:00"/>
    <x v="2"/>
    <x v="7"/>
    <n v="-6.0476548484825923"/>
  </r>
  <r>
    <x v="1"/>
    <n v="2025"/>
    <d v="2025-07-01T00:00:00"/>
    <x v="2"/>
    <x v="8"/>
    <n v="-30.553256265771523"/>
  </r>
  <r>
    <x v="1"/>
    <n v="2025"/>
    <d v="2025-07-01T00:00:00"/>
    <x v="3"/>
    <x v="0"/>
    <n v="609.64262585510005"/>
  </r>
  <r>
    <x v="1"/>
    <n v="2025"/>
    <d v="2025-07-01T00:00:00"/>
    <x v="3"/>
    <x v="1"/>
    <n v="-485.26536947022873"/>
  </r>
  <r>
    <x v="1"/>
    <n v="2025"/>
    <d v="2025-07-01T00:00:00"/>
    <x v="3"/>
    <x v="2"/>
    <n v="-86.569252871424183"/>
  </r>
  <r>
    <x v="1"/>
    <n v="2025"/>
    <d v="2025-07-01T00:00:00"/>
    <x v="3"/>
    <x v="3"/>
    <n v="-16.4603508980877"/>
  </r>
  <r>
    <x v="1"/>
    <n v="2025"/>
    <d v="2025-07-01T00:00:00"/>
    <x v="3"/>
    <x v="4"/>
    <n v="9.1446393878265013"/>
  </r>
  <r>
    <x v="1"/>
    <n v="2025"/>
    <d v="2025-07-01T00:00:00"/>
    <x v="3"/>
    <x v="5"/>
    <n v="-4.8771410068407999"/>
  </r>
  <r>
    <x v="1"/>
    <n v="2025"/>
    <d v="2025-07-01T00:00:00"/>
    <x v="3"/>
    <x v="6"/>
    <n v="0"/>
  </r>
  <r>
    <x v="1"/>
    <n v="2025"/>
    <d v="2025-07-01T00:00:00"/>
    <x v="3"/>
    <x v="7"/>
    <n v="-0.97542820136816011"/>
  </r>
  <r>
    <x v="1"/>
    <n v="2025"/>
    <d v="2025-07-01T00:00:00"/>
    <x v="3"/>
    <x v="8"/>
    <n v="-4.9279445589954065"/>
  </r>
  <r>
    <x v="1"/>
    <n v="2025"/>
    <d v="2025-08-01T00:00:00"/>
    <x v="0"/>
    <x v="0"/>
    <n v="2806.7231894953884"/>
  </r>
  <r>
    <x v="1"/>
    <n v="2025"/>
    <d v="2025-08-01T00:00:00"/>
    <x v="0"/>
    <x v="1"/>
    <n v="-2234.1048801185043"/>
  </r>
  <r>
    <x v="1"/>
    <n v="2025"/>
    <d v="2025-08-01T00:00:00"/>
    <x v="0"/>
    <x v="2"/>
    <n v="-398.55469290834509"/>
  </r>
  <r>
    <x v="1"/>
    <n v="2025"/>
    <d v="2025-08-01T00:00:00"/>
    <x v="0"/>
    <x v="3"/>
    <n v="-75.781526116375488"/>
  </r>
  <r>
    <x v="1"/>
    <n v="2025"/>
    <d v="2025-08-01T00:00:00"/>
    <x v="0"/>
    <x v="4"/>
    <n v="42.100847842430831"/>
  </r>
  <r>
    <x v="1"/>
    <n v="2025"/>
    <d v="2025-08-01T00:00:00"/>
    <x v="0"/>
    <x v="5"/>
    <n v="-22.453785515963109"/>
  </r>
  <r>
    <x v="1"/>
    <n v="2025"/>
    <d v="2025-08-01T00:00:00"/>
    <x v="0"/>
    <x v="6"/>
    <n v="0"/>
  </r>
  <r>
    <x v="1"/>
    <n v="2025"/>
    <d v="2025-08-01T00:00:00"/>
    <x v="0"/>
    <x v="7"/>
    <n v="-4.4907571031926219"/>
  </r>
  <r>
    <x v="1"/>
    <n v="2025"/>
    <d v="2025-08-01T00:00:00"/>
    <x v="0"/>
    <x v="8"/>
    <n v="-22.687679115087793"/>
  </r>
  <r>
    <x v="1"/>
    <n v="2025"/>
    <d v="2025-08-01T00:00:00"/>
    <x v="1"/>
    <x v="0"/>
    <n v="5358.2897254002864"/>
  </r>
  <r>
    <x v="1"/>
    <n v="2025"/>
    <d v="2025-08-01T00:00:00"/>
    <x v="1"/>
    <x v="1"/>
    <n v="-4265.1093165898719"/>
  </r>
  <r>
    <x v="1"/>
    <n v="2025"/>
    <d v="2025-08-01T00:00:00"/>
    <x v="1"/>
    <x v="2"/>
    <n v="-760.87714100684059"/>
  </r>
  <r>
    <x v="1"/>
    <n v="2025"/>
    <d v="2025-08-01T00:00:00"/>
    <x v="1"/>
    <x v="3"/>
    <n v="-144.67382258580776"/>
  </r>
  <r>
    <x v="1"/>
    <n v="2025"/>
    <d v="2025-08-01T00:00:00"/>
    <x v="1"/>
    <x v="4"/>
    <n v="80.374345881004302"/>
  </r>
  <r>
    <x v="1"/>
    <n v="2025"/>
    <d v="2025-08-01T00:00:00"/>
    <x v="1"/>
    <x v="5"/>
    <n v="-42.866317803202293"/>
  </r>
  <r>
    <x v="1"/>
    <n v="2025"/>
    <d v="2025-08-01T00:00:00"/>
    <x v="1"/>
    <x v="6"/>
    <n v="0"/>
  </r>
  <r>
    <x v="1"/>
    <n v="2025"/>
    <d v="2025-08-01T00:00:00"/>
    <x v="1"/>
    <x v="7"/>
    <n v="-8.5732635606404592"/>
  </r>
  <r>
    <x v="1"/>
    <n v="2025"/>
    <d v="2025-08-01T00:00:00"/>
    <x v="1"/>
    <x v="8"/>
    <n v="-43.312841946985785"/>
  </r>
  <r>
    <x v="1"/>
    <n v="2025"/>
    <d v="2025-08-01T00:00:00"/>
    <x v="2"/>
    <x v="0"/>
    <n v="3954.9281306525927"/>
  </r>
  <r>
    <x v="1"/>
    <n v="2025"/>
    <d v="2025-08-01T00:00:00"/>
    <x v="2"/>
    <x v="1"/>
    <n v="-3148.0568765306198"/>
  </r>
  <r>
    <x v="1"/>
    <n v="2025"/>
    <d v="2025-08-01T00:00:00"/>
    <x v="2"/>
    <x v="2"/>
    <n v="-561.59979455266807"/>
  </r>
  <r>
    <x v="1"/>
    <n v="2025"/>
    <d v="2025-08-01T00:00:00"/>
    <x v="2"/>
    <x v="3"/>
    <n v="-106.78305952762001"/>
  </r>
  <r>
    <x v="1"/>
    <n v="2025"/>
    <d v="2025-08-01T00:00:00"/>
    <x v="2"/>
    <x v="4"/>
    <n v="59.32392195978889"/>
  </r>
  <r>
    <x v="1"/>
    <n v="2025"/>
    <d v="2025-08-01T00:00:00"/>
    <x v="2"/>
    <x v="5"/>
    <n v="-31.639425045220744"/>
  </r>
  <r>
    <x v="1"/>
    <n v="2025"/>
    <d v="2025-08-01T00:00:00"/>
    <x v="2"/>
    <x v="6"/>
    <n v="0"/>
  </r>
  <r>
    <x v="1"/>
    <n v="2025"/>
    <d v="2025-08-01T00:00:00"/>
    <x v="2"/>
    <x v="7"/>
    <n v="-6.3278850090441487"/>
  </r>
  <r>
    <x v="1"/>
    <n v="2025"/>
    <d v="2025-08-01T00:00:00"/>
    <x v="2"/>
    <x v="8"/>
    <n v="-31.969002389441886"/>
  </r>
  <r>
    <x v="1"/>
    <n v="2025"/>
    <d v="2025-08-01T00:00:00"/>
    <x v="3"/>
    <x v="0"/>
    <n v="637.89163397622474"/>
  </r>
  <r>
    <x v="1"/>
    <n v="2025"/>
    <d v="2025-08-01T00:00:00"/>
    <x v="3"/>
    <x v="1"/>
    <n v="-507.75110911784191"/>
  </r>
  <r>
    <x v="1"/>
    <n v="2025"/>
    <d v="2025-08-01T00:00:00"/>
    <x v="3"/>
    <x v="2"/>
    <n v="-90.580612024623889"/>
  </r>
  <r>
    <x v="1"/>
    <n v="2025"/>
    <d v="2025-08-01T00:00:00"/>
    <x v="3"/>
    <x v="3"/>
    <n v="-17.223074117358067"/>
  </r>
  <r>
    <x v="1"/>
    <n v="2025"/>
    <d v="2025-08-01T00:00:00"/>
    <x v="3"/>
    <x v="4"/>
    <n v="9.5683745096433714"/>
  </r>
  <r>
    <x v="1"/>
    <n v="2025"/>
    <d v="2025-08-01T00:00:00"/>
    <x v="3"/>
    <x v="5"/>
    <n v="-5.1031330718097978"/>
  </r>
  <r>
    <x v="1"/>
    <n v="2025"/>
    <d v="2025-08-01T00:00:00"/>
    <x v="3"/>
    <x v="6"/>
    <n v="0"/>
  </r>
  <r>
    <x v="1"/>
    <n v="2025"/>
    <d v="2025-08-01T00:00:00"/>
    <x v="3"/>
    <x v="7"/>
    <n v="-1.0206266143619596"/>
  </r>
  <r>
    <x v="1"/>
    <n v="2025"/>
    <d v="2025-08-01T00:00:00"/>
    <x v="3"/>
    <x v="8"/>
    <n v="-5.1562907079744988"/>
  </r>
  <r>
    <x v="1"/>
    <n v="2025"/>
    <d v="2025-09-01T00:00:00"/>
    <x v="0"/>
    <x v="0"/>
    <n v="2898.5938767762632"/>
  </r>
  <r>
    <x v="1"/>
    <n v="2025"/>
    <d v="2025-09-01T00:00:00"/>
    <x v="0"/>
    <x v="1"/>
    <n v="-2307.2324160159592"/>
  </r>
  <r>
    <x v="1"/>
    <n v="2025"/>
    <d v="2025-09-01T00:00:00"/>
    <x v="0"/>
    <x v="2"/>
    <n v="-411.60033050222933"/>
  </r>
  <r>
    <x v="1"/>
    <n v="2025"/>
    <d v="2025-09-01T00:00:00"/>
    <x v="0"/>
    <x v="3"/>
    <n v="-78.262034672959103"/>
  </r>
  <r>
    <x v="1"/>
    <n v="2025"/>
    <d v="2025-09-01T00:00:00"/>
    <x v="0"/>
    <x v="4"/>
    <n v="43.47890815164395"/>
  </r>
  <r>
    <x v="1"/>
    <n v="2025"/>
    <d v="2025-09-01T00:00:00"/>
    <x v="0"/>
    <x v="5"/>
    <n v="-23.188751014210105"/>
  </r>
  <r>
    <x v="1"/>
    <n v="2025"/>
    <d v="2025-09-01T00:00:00"/>
    <x v="0"/>
    <x v="6"/>
    <n v="0"/>
  </r>
  <r>
    <x v="1"/>
    <n v="2025"/>
    <d v="2025-09-01T00:00:00"/>
    <x v="0"/>
    <x v="7"/>
    <n v="-4.637750202842021"/>
  </r>
  <r>
    <x v="1"/>
    <n v="2025"/>
    <d v="2025-09-01T00:00:00"/>
    <x v="0"/>
    <x v="8"/>
    <n v="-23.430300503941531"/>
  </r>
  <r>
    <x v="1"/>
    <n v="2025"/>
    <d v="2025-09-01T00:00:00"/>
    <x v="1"/>
    <x v="0"/>
    <n v="5533.6792193001393"/>
  </r>
  <r>
    <x v="1"/>
    <n v="2025"/>
    <d v="2025-09-01T00:00:00"/>
    <x v="1"/>
    <x v="1"/>
    <n v="-4404.7164305759225"/>
  </r>
  <r>
    <x v="1"/>
    <n v="2025"/>
    <d v="2025-09-01T00:00:00"/>
    <x v="1"/>
    <x v="2"/>
    <n v="-785.78244914061963"/>
  </r>
  <r>
    <x v="1"/>
    <n v="2025"/>
    <d v="2025-09-01T00:00:00"/>
    <x v="1"/>
    <x v="3"/>
    <n v="-149.40933892110374"/>
  </r>
  <r>
    <x v="1"/>
    <n v="2025"/>
    <d v="2025-09-01T00:00:00"/>
    <x v="1"/>
    <x v="4"/>
    <n v="83.005188289502087"/>
  </r>
  <r>
    <x v="1"/>
    <n v="2025"/>
    <d v="2025-09-01T00:00:00"/>
    <x v="1"/>
    <x v="5"/>
    <n v="-44.269433754401113"/>
  </r>
  <r>
    <x v="1"/>
    <n v="2025"/>
    <d v="2025-09-01T00:00:00"/>
    <x v="1"/>
    <x v="6"/>
    <n v="0"/>
  </r>
  <r>
    <x v="1"/>
    <n v="2025"/>
    <d v="2025-09-01T00:00:00"/>
    <x v="1"/>
    <x v="7"/>
    <n v="-8.8538867508802213"/>
  </r>
  <r>
    <x v="1"/>
    <n v="2025"/>
    <d v="2025-09-01T00:00:00"/>
    <x v="1"/>
    <x v="8"/>
    <n v="-44.730573689342926"/>
  </r>
  <r>
    <x v="1"/>
    <n v="2025"/>
    <d v="2025-09-01T00:00:00"/>
    <x v="2"/>
    <x v="0"/>
    <n v="4084.3822809120074"/>
  </r>
  <r>
    <x v="1"/>
    <n v="2025"/>
    <d v="2025-09-01T00:00:00"/>
    <x v="2"/>
    <x v="1"/>
    <n v="-3251.1002225679426"/>
  </r>
  <r>
    <x v="1"/>
    <n v="2025"/>
    <d v="2025-09-01T00:00:00"/>
    <x v="2"/>
    <x v="2"/>
    <n v="-579.98228388950497"/>
  </r>
  <r>
    <x v="1"/>
    <n v="2025"/>
    <d v="2025-09-01T00:00:00"/>
    <x v="2"/>
    <x v="3"/>
    <n v="-110.27832158462421"/>
  </r>
  <r>
    <x v="1"/>
    <n v="2025"/>
    <d v="2025-09-01T00:00:00"/>
    <x v="2"/>
    <x v="4"/>
    <n v="61.265734213680112"/>
  </r>
  <r>
    <x v="1"/>
    <n v="2025"/>
    <d v="2025-09-01T00:00:00"/>
    <x v="2"/>
    <x v="5"/>
    <n v="-32.675058247296057"/>
  </r>
  <r>
    <x v="1"/>
    <n v="2025"/>
    <d v="2025-09-01T00:00:00"/>
    <x v="2"/>
    <x v="6"/>
    <n v="0"/>
  </r>
  <r>
    <x v="1"/>
    <n v="2025"/>
    <d v="2025-09-01T00:00:00"/>
    <x v="2"/>
    <x v="7"/>
    <n v="-6.5350116494592116"/>
  </r>
  <r>
    <x v="1"/>
    <n v="2025"/>
    <d v="2025-09-01T00:00:00"/>
    <x v="2"/>
    <x v="8"/>
    <n v="-33.015423437372156"/>
  </r>
  <r>
    <x v="1"/>
    <n v="2025"/>
    <d v="2025-09-01T00:00:00"/>
    <x v="3"/>
    <x v="0"/>
    <n v="658.77133563096891"/>
  </r>
  <r>
    <x v="1"/>
    <n v="2025"/>
    <d v="2025-09-01T00:00:00"/>
    <x v="3"/>
    <x v="1"/>
    <n v="-524.3710036399907"/>
  </r>
  <r>
    <x v="1"/>
    <n v="2025"/>
    <d v="2025-09-01T00:00:00"/>
    <x v="3"/>
    <x v="2"/>
    <n v="-93.545529659597562"/>
  </r>
  <r>
    <x v="1"/>
    <n v="2025"/>
    <d v="2025-09-01T00:00:00"/>
    <x v="3"/>
    <x v="3"/>
    <n v="-17.786826062036159"/>
  </r>
  <r>
    <x v="1"/>
    <n v="2025"/>
    <d v="2025-09-01T00:00:00"/>
    <x v="3"/>
    <x v="4"/>
    <n v="9.8815700344645343"/>
  </r>
  <r>
    <x v="1"/>
    <n v="2025"/>
    <d v="2025-09-01T00:00:00"/>
    <x v="3"/>
    <x v="5"/>
    <n v="-5.2701706850477512"/>
  </r>
  <r>
    <x v="1"/>
    <n v="2025"/>
    <d v="2025-09-01T00:00:00"/>
    <x v="3"/>
    <x v="6"/>
    <n v="0"/>
  </r>
  <r>
    <x v="1"/>
    <n v="2025"/>
    <d v="2025-09-01T00:00:00"/>
    <x v="3"/>
    <x v="7"/>
    <n v="-1.0540341370095503"/>
  </r>
  <r>
    <x v="1"/>
    <n v="2025"/>
    <d v="2025-09-01T00:00:00"/>
    <x v="3"/>
    <x v="8"/>
    <n v="-5.3250682963503477"/>
  </r>
  <r>
    <x v="1"/>
    <n v="2025"/>
    <d v="2025-10-01T00:00:00"/>
    <x v="0"/>
    <x v="0"/>
    <n v="2846.0261573160838"/>
  </r>
  <r>
    <x v="1"/>
    <n v="2025"/>
    <d v="2025-10-01T00:00:00"/>
    <x v="0"/>
    <x v="1"/>
    <n v="-2265.3893874543141"/>
  </r>
  <r>
    <x v="1"/>
    <n v="2025"/>
    <d v="2025-10-01T00:00:00"/>
    <x v="0"/>
    <x v="2"/>
    <n v="-404.13571433888382"/>
  </r>
  <r>
    <x v="1"/>
    <n v="2025"/>
    <d v="2025-10-01T00:00:00"/>
    <x v="0"/>
    <x v="3"/>
    <n v="-76.842706247534267"/>
  </r>
  <r>
    <x v="1"/>
    <n v="2025"/>
    <d v="2025-10-01T00:00:00"/>
    <x v="0"/>
    <x v="4"/>
    <n v="42.690392359741253"/>
  </r>
  <r>
    <x v="1"/>
    <n v="2025"/>
    <d v="2025-10-01T00:00:00"/>
    <x v="0"/>
    <x v="5"/>
    <n v="-22.768209258528671"/>
  </r>
  <r>
    <x v="1"/>
    <n v="2025"/>
    <d v="2025-10-01T00:00:00"/>
    <x v="0"/>
    <x v="6"/>
    <n v="0"/>
  </r>
  <r>
    <x v="1"/>
    <n v="2025"/>
    <d v="2025-10-01T00:00:00"/>
    <x v="0"/>
    <x v="7"/>
    <n v="-4.5536418517057342"/>
  </r>
  <r>
    <x v="1"/>
    <n v="2025"/>
    <d v="2025-10-01T00:00:00"/>
    <x v="0"/>
    <x v="8"/>
    <n v="-23.005378104971747"/>
  </r>
  <r>
    <x v="1"/>
    <n v="2025"/>
    <d v="2025-10-01T00:00:00"/>
    <x v="1"/>
    <x v="0"/>
    <n v="5433.3226639670684"/>
  </r>
  <r>
    <x v="1"/>
    <n v="2025"/>
    <d v="2025-10-01T00:00:00"/>
    <x v="1"/>
    <x v="1"/>
    <n v="-4324.8342851400539"/>
  </r>
  <r>
    <x v="1"/>
    <n v="2025"/>
    <d v="2025-10-01T00:00:00"/>
    <x v="1"/>
    <x v="2"/>
    <n v="-771.53181828332356"/>
  </r>
  <r>
    <x v="1"/>
    <n v="2025"/>
    <d v="2025-10-01T00:00:00"/>
    <x v="1"/>
    <x v="3"/>
    <n v="-146.69971192711085"/>
  </r>
  <r>
    <x v="1"/>
    <n v="2025"/>
    <d v="2025-10-01T00:00:00"/>
    <x v="1"/>
    <x v="4"/>
    <n v="81.499839959506019"/>
  </r>
  <r>
    <x v="1"/>
    <n v="2025"/>
    <d v="2025-10-01T00:00:00"/>
    <x v="1"/>
    <x v="5"/>
    <n v="-43.466581311736547"/>
  </r>
  <r>
    <x v="1"/>
    <n v="2025"/>
    <d v="2025-10-01T00:00:00"/>
    <x v="1"/>
    <x v="6"/>
    <n v="0"/>
  </r>
  <r>
    <x v="1"/>
    <n v="2025"/>
    <d v="2025-10-01T00:00:00"/>
    <x v="1"/>
    <x v="7"/>
    <n v="-8.6933162623473095"/>
  </r>
  <r>
    <x v="1"/>
    <n v="2025"/>
    <d v="2025-10-01T00:00:00"/>
    <x v="1"/>
    <x v="8"/>
    <n v="-43.919358200400602"/>
  </r>
  <r>
    <x v="1"/>
    <n v="2025"/>
    <d v="2025-10-01T00:00:00"/>
    <x v="2"/>
    <x v="0"/>
    <n v="4010.3095853090267"/>
  </r>
  <r>
    <x v="1"/>
    <n v="2025"/>
    <d v="2025-10-01T00:00:00"/>
    <x v="2"/>
    <x v="1"/>
    <n v="-3192.1395914128966"/>
  </r>
  <r>
    <x v="1"/>
    <n v="2025"/>
    <d v="2025-10-01T00:00:00"/>
    <x v="2"/>
    <x v="2"/>
    <n v="-569.46396111388174"/>
  </r>
  <r>
    <x v="1"/>
    <n v="2025"/>
    <d v="2025-10-01T00:00:00"/>
    <x v="2"/>
    <x v="3"/>
    <n v="-108.27835880334372"/>
  </r>
  <r>
    <x v="1"/>
    <n v="2025"/>
    <d v="2025-10-01T00:00:00"/>
    <x v="2"/>
    <x v="4"/>
    <n v="60.1546437796354"/>
  </r>
  <r>
    <x v="1"/>
    <n v="2025"/>
    <d v="2025-10-01T00:00:00"/>
    <x v="2"/>
    <x v="5"/>
    <n v="-32.082476682472212"/>
  </r>
  <r>
    <x v="1"/>
    <n v="2025"/>
    <d v="2025-10-01T00:00:00"/>
    <x v="2"/>
    <x v="6"/>
    <n v="0"/>
  </r>
  <r>
    <x v="1"/>
    <n v="2025"/>
    <d v="2025-10-01T00:00:00"/>
    <x v="2"/>
    <x v="7"/>
    <n v="-6.4164953364944424"/>
  </r>
  <r>
    <x v="1"/>
    <n v="2025"/>
    <d v="2025-10-01T00:00:00"/>
    <x v="2"/>
    <x v="8"/>
    <n v="-32.416669147914732"/>
  </r>
  <r>
    <x v="1"/>
    <n v="2025"/>
    <d v="2025-10-01T00:00:00"/>
    <x v="3"/>
    <x v="0"/>
    <n v="646.82412666274627"/>
  </r>
  <r>
    <x v="1"/>
    <n v="2025"/>
    <d v="2025-10-01T00:00:00"/>
    <x v="3"/>
    <x v="1"/>
    <n v="-514.86122442143494"/>
  </r>
  <r>
    <x v="1"/>
    <n v="2025"/>
    <d v="2025-10-01T00:00:00"/>
    <x v="3"/>
    <x v="2"/>
    <n v="-91.84902598610995"/>
  </r>
  <r>
    <x v="1"/>
    <n v="2025"/>
    <d v="2025-10-01T00:00:00"/>
    <x v="3"/>
    <x v="3"/>
    <n v="-17.464251419894151"/>
  </r>
  <r>
    <x v="1"/>
    <n v="2025"/>
    <d v="2025-10-01T00:00:00"/>
    <x v="3"/>
    <x v="4"/>
    <n v="9.7023618999411934"/>
  </r>
  <r>
    <x v="1"/>
    <n v="2025"/>
    <d v="2025-10-01T00:00:00"/>
    <x v="3"/>
    <x v="5"/>
    <n v="-5.17459301330197"/>
  </r>
  <r>
    <x v="1"/>
    <n v="2025"/>
    <d v="2025-10-01T00:00:00"/>
    <x v="3"/>
    <x v="6"/>
    <n v="0"/>
  </r>
  <r>
    <x v="1"/>
    <n v="2025"/>
    <d v="2025-10-01T00:00:00"/>
    <x v="3"/>
    <x v="7"/>
    <n v="-1.034918602660394"/>
  </r>
  <r>
    <x v="1"/>
    <n v="2025"/>
    <d v="2025-10-01T00:00:00"/>
    <x v="3"/>
    <x v="8"/>
    <n v="-5.2284950238572145"/>
  </r>
  <r>
    <x v="1"/>
    <n v="2025"/>
    <d v="2025-11-01T00:00:00"/>
    <x v="0"/>
    <x v="0"/>
    <n v="2688.5686424844239"/>
  </r>
  <r>
    <x v="1"/>
    <n v="2025"/>
    <d v="2025-11-01T00:00:00"/>
    <x v="0"/>
    <x v="1"/>
    <n v="-2140.0558299402269"/>
  </r>
  <r>
    <x v="1"/>
    <n v="2025"/>
    <d v="2025-11-01T00:00:00"/>
    <x v="0"/>
    <x v="2"/>
    <n v="-381.77674723278813"/>
  </r>
  <r>
    <x v="1"/>
    <n v="2025"/>
    <d v="2025-11-01T00:00:00"/>
    <x v="0"/>
    <x v="3"/>
    <n v="-72.591353347079448"/>
  </r>
  <r>
    <x v="1"/>
    <n v="2025"/>
    <d v="2025-11-01T00:00:00"/>
    <x v="0"/>
    <x v="4"/>
    <n v="40.328529637266364"/>
  </r>
  <r>
    <x v="1"/>
    <n v="2025"/>
    <d v="2025-11-01T00:00:00"/>
    <x v="0"/>
    <x v="5"/>
    <n v="-21.508549139875392"/>
  </r>
  <r>
    <x v="1"/>
    <n v="2025"/>
    <d v="2025-11-01T00:00:00"/>
    <x v="0"/>
    <x v="6"/>
    <n v="0"/>
  </r>
  <r>
    <x v="1"/>
    <n v="2025"/>
    <d v="2025-11-01T00:00:00"/>
    <x v="0"/>
    <x v="7"/>
    <n v="-4.3017098279750785"/>
  </r>
  <r>
    <x v="1"/>
    <n v="2025"/>
    <d v="2025-11-01T00:00:00"/>
    <x v="0"/>
    <x v="8"/>
    <n v="-21.732596526749159"/>
  </r>
  <r>
    <x v="1"/>
    <n v="2025"/>
    <d v="2025-11-01T00:00:00"/>
    <x v="1"/>
    <x v="0"/>
    <n v="5132.7219538338995"/>
  </r>
  <r>
    <x v="1"/>
    <n v="2025"/>
    <d v="2025-11-01T00:00:00"/>
    <x v="1"/>
    <x v="1"/>
    <n v="-4085.5611298858867"/>
  </r>
  <r>
    <x v="1"/>
    <n v="2025"/>
    <d v="2025-11-01T00:00:00"/>
    <x v="1"/>
    <x v="2"/>
    <n v="-728.84651744441362"/>
  </r>
  <r>
    <x v="1"/>
    <n v="2025"/>
    <d v="2025-11-01T00:00:00"/>
    <x v="1"/>
    <x v="3"/>
    <n v="-138.58349275351529"/>
  </r>
  <r>
    <x v="1"/>
    <n v="2025"/>
    <d v="2025-11-01T00:00:00"/>
    <x v="1"/>
    <x v="4"/>
    <n v="76.990829307508491"/>
  </r>
  <r>
    <x v="1"/>
    <n v="2025"/>
    <d v="2025-11-01T00:00:00"/>
    <x v="1"/>
    <x v="5"/>
    <n v="-41.0617756306712"/>
  </r>
  <r>
    <x v="1"/>
    <n v="2025"/>
    <d v="2025-11-01T00:00:00"/>
    <x v="1"/>
    <x v="6"/>
    <n v="0"/>
  </r>
  <r>
    <x v="1"/>
    <n v="2025"/>
    <d v="2025-11-01T00:00:00"/>
    <x v="1"/>
    <x v="7"/>
    <n v="-8.2123551261342396"/>
  </r>
  <r>
    <x v="1"/>
    <n v="2025"/>
    <d v="2025-11-01T00:00:00"/>
    <x v="1"/>
    <x v="8"/>
    <n v="-41.489502460157482"/>
  </r>
  <r>
    <x v="1"/>
    <n v="2025"/>
    <d v="2025-11-01T00:00:00"/>
    <x v="2"/>
    <x v="0"/>
    <n v="3788.4376325916883"/>
  </r>
  <r>
    <x v="1"/>
    <n v="2025"/>
    <d v="2025-11-01T00:00:00"/>
    <x v="2"/>
    <x v="1"/>
    <n v="-3015.5332149157739"/>
  </r>
  <r>
    <x v="1"/>
    <n v="2025"/>
    <d v="2025-11-01T00:00:00"/>
    <x v="2"/>
    <x v="2"/>
    <n v="-537.95814382801962"/>
  </r>
  <r>
    <x v="1"/>
    <n v="2025"/>
    <d v="2025-11-01T00:00:00"/>
    <x v="2"/>
    <x v="3"/>
    <n v="-102.28781607997558"/>
  </r>
  <r>
    <x v="1"/>
    <n v="2025"/>
    <d v="2025-11-01T00:00:00"/>
    <x v="2"/>
    <x v="4"/>
    <n v="56.826564488875327"/>
  </r>
  <r>
    <x v="1"/>
    <n v="2025"/>
    <d v="2025-11-01T00:00:00"/>
    <x v="2"/>
    <x v="5"/>
    <n v="-30.307501060733507"/>
  </r>
  <r>
    <x v="1"/>
    <n v="2025"/>
    <d v="2025-11-01T00:00:00"/>
    <x v="2"/>
    <x v="6"/>
    <n v="0"/>
  </r>
  <r>
    <x v="1"/>
    <n v="2025"/>
    <d v="2025-11-01T00:00:00"/>
    <x v="2"/>
    <x v="7"/>
    <n v="-6.0615002121467016"/>
  </r>
  <r>
    <x v="1"/>
    <n v="2025"/>
    <d v="2025-11-01T00:00:00"/>
    <x v="2"/>
    <x v="8"/>
    <n v="-30.623204196782904"/>
  </r>
  <r>
    <x v="1"/>
    <n v="2025"/>
    <d v="2025-11-01T00:00:00"/>
    <x v="3"/>
    <x v="0"/>
    <n v="611.03832783736914"/>
  </r>
  <r>
    <x v="1"/>
    <n v="2025"/>
    <d v="2025-11-01T00:00:00"/>
    <x v="3"/>
    <x v="1"/>
    <n v="-486.37632498641523"/>
  </r>
  <r>
    <x v="1"/>
    <n v="2025"/>
    <d v="2025-11-01T00:00:00"/>
    <x v="3"/>
    <x v="2"/>
    <n v="-86.767442552906402"/>
  </r>
  <r>
    <x v="1"/>
    <n v="2025"/>
    <d v="2025-11-01T00:00:00"/>
    <x v="3"/>
    <x v="3"/>
    <n v="-16.498034851608967"/>
  </r>
  <r>
    <x v="1"/>
    <n v="2025"/>
    <d v="2025-11-01T00:00:00"/>
    <x v="3"/>
    <x v="4"/>
    <n v="9.1655749175605372"/>
  </r>
  <r>
    <x v="1"/>
    <n v="2025"/>
    <d v="2025-11-01T00:00:00"/>
    <x v="3"/>
    <x v="5"/>
    <n v="-4.8883066226989529"/>
  </r>
  <r>
    <x v="1"/>
    <n v="2025"/>
    <d v="2025-11-01T00:00:00"/>
    <x v="3"/>
    <x v="6"/>
    <n v="0"/>
  </r>
  <r>
    <x v="1"/>
    <n v="2025"/>
    <d v="2025-11-01T00:00:00"/>
    <x v="3"/>
    <x v="7"/>
    <n v="-0.9776613245397906"/>
  </r>
  <r>
    <x v="1"/>
    <n v="2025"/>
    <d v="2025-11-01T00:00:00"/>
    <x v="3"/>
    <x v="8"/>
    <n v="-4.9392264833520816"/>
  </r>
  <r>
    <x v="1"/>
    <n v="2025"/>
    <d v="2025-12-01T00:00:00"/>
    <x v="0"/>
    <x v="0"/>
    <n v="2958.2852591539436"/>
  </r>
  <r>
    <x v="1"/>
    <n v="2025"/>
    <d v="2025-12-01T00:00:00"/>
    <x v="0"/>
    <x v="1"/>
    <n v="-2354.7457615322201"/>
  </r>
  <r>
    <x v="1"/>
    <n v="2025"/>
    <d v="2025-12-01T00:00:00"/>
    <x v="0"/>
    <x v="2"/>
    <n v="-420.07650679985994"/>
  </r>
  <r>
    <x v="1"/>
    <n v="2025"/>
    <d v="2025-12-01T00:00:00"/>
    <x v="0"/>
    <x v="3"/>
    <n v="-79.873701997156473"/>
  </r>
  <r>
    <x v="1"/>
    <n v="2025"/>
    <d v="2025-12-01T00:00:00"/>
    <x v="0"/>
    <x v="4"/>
    <n v="44.374278887309153"/>
  </r>
  <r>
    <x v="1"/>
    <n v="2025"/>
    <d v="2025-12-01T00:00:00"/>
    <x v="0"/>
    <x v="5"/>
    <n v="-23.66628207323155"/>
  </r>
  <r>
    <x v="1"/>
    <n v="2025"/>
    <d v="2025-12-01T00:00:00"/>
    <x v="0"/>
    <x v="6"/>
    <n v="0"/>
  </r>
  <r>
    <x v="1"/>
    <n v="2025"/>
    <d v="2025-12-01T00:00:00"/>
    <x v="0"/>
    <x v="7"/>
    <n v="-4.7332564146463101"/>
  </r>
  <r>
    <x v="1"/>
    <n v="2025"/>
    <d v="2025-12-01T00:00:00"/>
    <x v="0"/>
    <x v="8"/>
    <n v="-23.912805844827783"/>
  </r>
  <r>
    <x v="1"/>
    <n v="2025"/>
    <d v="2025-12-01T00:00:00"/>
    <x v="1"/>
    <x v="0"/>
    <n v="5647.6354947484378"/>
  </r>
  <r>
    <x v="1"/>
    <n v="2025"/>
    <d v="2025-12-01T00:00:00"/>
    <x v="1"/>
    <x v="1"/>
    <n v="-4495.4237265615111"/>
  </r>
  <r>
    <x v="1"/>
    <n v="2025"/>
    <d v="2025-12-01T00:00:00"/>
    <x v="1"/>
    <x v="2"/>
    <n v="-801.96424025427814"/>
  </r>
  <r>
    <x v="1"/>
    <n v="2025"/>
    <d v="2025-12-01T00:00:00"/>
    <x v="1"/>
    <x v="3"/>
    <n v="-152.48615835820783"/>
  </r>
  <r>
    <x v="1"/>
    <n v="2025"/>
    <d v="2025-12-01T00:00:00"/>
    <x v="1"/>
    <x v="4"/>
    <n v="84.714532421226579"/>
  </r>
  <r>
    <x v="1"/>
    <n v="2025"/>
    <d v="2025-12-01T00:00:00"/>
    <x v="1"/>
    <x v="5"/>
    <n v="-45.181083957987504"/>
  </r>
  <r>
    <x v="1"/>
    <n v="2025"/>
    <d v="2025-12-01T00:00:00"/>
    <x v="1"/>
    <x v="6"/>
    <n v="0"/>
  </r>
  <r>
    <x v="1"/>
    <n v="2025"/>
    <d v="2025-12-01T00:00:00"/>
    <x v="1"/>
    <x v="7"/>
    <n v="-9.0362167915975018"/>
  </r>
  <r>
    <x v="1"/>
    <n v="2025"/>
    <d v="2025-12-01T00:00:00"/>
    <x v="1"/>
    <x v="8"/>
    <n v="-45.65172024921668"/>
  </r>
  <r>
    <x v="1"/>
    <n v="2025"/>
    <d v="2025-12-01T00:00:00"/>
    <x v="2"/>
    <x v="0"/>
    <n v="4168.4928651714663"/>
  </r>
  <r>
    <x v="1"/>
    <n v="2025"/>
    <d v="2025-12-01T00:00:00"/>
    <x v="2"/>
    <x v="1"/>
    <n v="-3318.0508457954006"/>
  </r>
  <r>
    <x v="1"/>
    <n v="2025"/>
    <d v="2025-12-01T00:00:00"/>
    <x v="2"/>
    <x v="2"/>
    <n v="-591.92598685434814"/>
  </r>
  <r>
    <x v="1"/>
    <n v="2025"/>
    <d v="2025-12-01T00:00:00"/>
    <x v="2"/>
    <x v="3"/>
    <n v="-112.54930735962958"/>
  </r>
  <r>
    <x v="1"/>
    <n v="2025"/>
    <d v="2025-12-01T00:00:00"/>
    <x v="2"/>
    <x v="4"/>
    <n v="62.527392977571992"/>
  </r>
  <r>
    <x v="1"/>
    <n v="2025"/>
    <d v="2025-12-01T00:00:00"/>
    <x v="2"/>
    <x v="5"/>
    <n v="-33.347942921371725"/>
  </r>
  <r>
    <x v="1"/>
    <n v="2025"/>
    <d v="2025-12-01T00:00:00"/>
    <x v="2"/>
    <x v="6"/>
    <n v="0"/>
  </r>
  <r>
    <x v="1"/>
    <n v="2025"/>
    <d v="2025-12-01T00:00:00"/>
    <x v="2"/>
    <x v="7"/>
    <n v="-6.6695885842743454"/>
  </r>
  <r>
    <x v="1"/>
    <n v="2025"/>
    <d v="2025-12-01T00:00:00"/>
    <x v="2"/>
    <x v="8"/>
    <n v="-33.695317326802787"/>
  </r>
  <r>
    <x v="1"/>
    <n v="2025"/>
    <d v="2025-12-01T00:00:00"/>
    <x v="3"/>
    <x v="0"/>
    <n v="672.33755889862368"/>
  </r>
  <r>
    <x v="1"/>
    <n v="2025"/>
    <d v="2025-12-01T00:00:00"/>
    <x v="3"/>
    <x v="1"/>
    <n v="-535.16949125732276"/>
  </r>
  <r>
    <x v="1"/>
    <n v="2025"/>
    <d v="2025-12-01T00:00:00"/>
    <x v="3"/>
    <x v="2"/>
    <n v="-95.471933363604535"/>
  </r>
  <r>
    <x v="1"/>
    <n v="2025"/>
    <d v="2025-12-01T00:00:00"/>
    <x v="3"/>
    <x v="3"/>
    <n v="-18.153114090262839"/>
  </r>
  <r>
    <x v="1"/>
    <n v="2025"/>
    <d v="2025-12-01T00:00:00"/>
    <x v="3"/>
    <x v="4"/>
    <n v="10.085063383479355"/>
  </r>
  <r>
    <x v="1"/>
    <n v="2025"/>
    <d v="2025-12-01T00:00:00"/>
    <x v="3"/>
    <x v="5"/>
    <n v="-5.3787004711889894"/>
  </r>
  <r>
    <x v="1"/>
    <n v="2025"/>
    <d v="2025-12-01T00:00:00"/>
    <x v="3"/>
    <x v="6"/>
    <n v="0"/>
  </r>
  <r>
    <x v="1"/>
    <n v="2025"/>
    <d v="2025-12-01T00:00:00"/>
    <x v="3"/>
    <x v="7"/>
    <n v="-1.0757400942377977"/>
  </r>
  <r>
    <x v="1"/>
    <n v="2025"/>
    <d v="2025-12-01T00:00:00"/>
    <x v="3"/>
    <x v="8"/>
    <n v="-5.4347286010972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535D9-89FB-4582-B225-2AA92F82D4F4}" name="pt_Variance_By_BU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N4:Q10" firstHeaderRow="1" firstDataRow="2" firstDataCol="1" rowPageCount="1" colPageCount="1"/>
  <pivotFields count="6"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numFmtId="17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axis="axisPage" compact="0" outline="0" showAll="0">
      <items count="10">
        <item x="1"/>
        <item x="5"/>
        <item x="4"/>
        <item x="3"/>
        <item x="6"/>
        <item x="7"/>
        <item x="0"/>
        <item x="2"/>
        <item x="8"/>
        <item t="default"/>
      </items>
    </pivotField>
    <pivotField dataField="1" compact="0" numFmtId="164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4" item="6" hier="-1"/>
  </pageFields>
  <dataFields count="1">
    <dataField name="Sum of Amount (VND bn)" fld="5" baseField="0" baseItem="0" numFmtId="168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ctual_Input" displayName="tbl_Actual_Input" ref="A5:K569" totalsRowShown="0">
  <tableColumns count="11">
    <tableColumn id="1" xr3:uid="{00000000-0010-0000-0000-000001000000}" name="Period"/>
    <tableColumn id="2" xr3:uid="{00000000-0010-0000-0000-000002000000}" name="Year"/>
    <tableColumn id="3" xr3:uid="{00000000-0010-0000-0000-000003000000}" name="Month"/>
    <tableColumn id="4" xr3:uid="{00000000-0010-0000-0000-000004000000}" name="BusinessUnit"/>
    <tableColumn id="5" xr3:uid="{00000000-0010-0000-0000-000005000000}" name="CostCenter"/>
    <tableColumn id="6" xr3:uid="{00000000-0010-0000-0000-000006000000}" name="AccountCode"/>
    <tableColumn id="7" xr3:uid="{00000000-0010-0000-0000-000007000000}" name="Amount_VNDm"/>
    <tableColumn id="8" xr3:uid="{00000000-0010-0000-0000-000008000000}" name="EvidenceClass"/>
    <tableColumn id="9" xr3:uid="{00000000-0010-0000-0000-000009000000}" name="SourceID"/>
    <tableColumn id="10" xr3:uid="{00000000-0010-0000-0000-00000A000000}" name="MappedCategory">
      <calculatedColumnFormula>_xlfn.XLOOKUP(F6,'04_Account_Mapping'!$A$6:$A$14,'04_Account_Mapping'!$C$6:$C$14,"Unmapped",0)</calculatedColumnFormula>
    </tableColumn>
    <tableColumn id="11" xr3:uid="{00000000-0010-0000-0000-00000B000000}" name="CostNature">
      <calculatedColumnFormula>_xlfn.XLOOKUP(F6,'04_Account_Mapping'!$A$6:$A$14,'04_Account_Mapping'!$D$6:$D$14,"Unmapped",0)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Budget_Input" displayName="tbl_Budget_Input" ref="A5:K869" totalsRowShown="0">
  <tableColumns count="11">
    <tableColumn id="1" xr3:uid="{00000000-0010-0000-0100-000001000000}" name="Period"/>
    <tableColumn id="2" xr3:uid="{00000000-0010-0000-0100-000002000000}" name="Year"/>
    <tableColumn id="3" xr3:uid="{00000000-0010-0000-0100-000003000000}" name="Month"/>
    <tableColumn id="4" xr3:uid="{00000000-0010-0000-0100-000004000000}" name="BusinessUnit"/>
    <tableColumn id="5" xr3:uid="{00000000-0010-0000-0100-000005000000}" name="CostCenter"/>
    <tableColumn id="6" xr3:uid="{00000000-0010-0000-0100-000006000000}" name="AccountCode"/>
    <tableColumn id="7" xr3:uid="{00000000-0010-0000-0100-000007000000}" name="Amount_VNDm"/>
    <tableColumn id="8" xr3:uid="{00000000-0010-0000-0100-000008000000}" name="EvidenceClass"/>
    <tableColumn id="9" xr3:uid="{00000000-0010-0000-0100-000009000000}" name="SourceID"/>
    <tableColumn id="10" xr3:uid="{00000000-0010-0000-0100-00000A000000}" name="MappedCategory">
      <calculatedColumnFormula>_xlfn.XLOOKUP(F6,'04_Account_Mapping'!$A$6:$A$14,'04_Account_Mapping'!$C$6:$C$14,"Unmapped",0)</calculatedColumnFormula>
    </tableColumn>
    <tableColumn id="11" xr3:uid="{00000000-0010-0000-0100-00000B000000}" name="CostNature">
      <calculatedColumnFormula>_xlfn.XLOOKUP(F6,'04_Account_Mapping'!$A$6:$A$14,'04_Account_Mapping'!$D$6:$D$14,"Unmapped",0)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BU_Master" displayName="tbl_BU_Master" ref="A6:D11" totalsRowShown="0">
  <tableColumns count="4">
    <tableColumn id="1" xr3:uid="{00000000-0010-0000-0200-000001000000}" name="BusinessUnit"/>
    <tableColumn id="2" xr3:uid="{00000000-0010-0000-0200-000002000000}" name="CostCenter"/>
    <tableColumn id="3" xr3:uid="{00000000-0010-0000-0200-000003000000}" name="Description"/>
    <tableColumn id="4" xr3:uid="{00000000-0010-0000-0200-000004000000}" name="FY2025 actual mi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ccount_Map" displayName="tbl_Account_Map" ref="A5:F14" totalsRowShown="0">
  <tableColumns count="6">
    <tableColumn id="1" xr3:uid="{00000000-0010-0000-0300-000001000000}" name="AccountCode"/>
    <tableColumn id="2" xr3:uid="{00000000-0010-0000-0300-000002000000}" name="AccountName"/>
    <tableColumn id="3" xr3:uid="{00000000-0010-0000-0300-000003000000}" name="P&amp;L Category"/>
    <tableColumn id="4" xr3:uid="{00000000-0010-0000-0300-000004000000}" name="CostNature"/>
    <tableColumn id="5" xr3:uid="{00000000-0010-0000-0300-000005000000}" name="FavorableSign"/>
    <tableColumn id="6" xr3:uid="{00000000-0010-0000-0300-000006000000}" name="Variance 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vot_Source" displayName="tbl_Pivot_Source" ref="A1:F865" totalsRowShown="0">
  <tableColumns count="6">
    <tableColumn id="1" xr3:uid="{00000000-0010-0000-0400-000001000000}" name="Version"/>
    <tableColumn id="2" xr3:uid="{00000000-0010-0000-0400-000002000000}" name="Year"/>
    <tableColumn id="3" xr3:uid="{00000000-0010-0000-0400-000003000000}" name="Period"/>
    <tableColumn id="4" xr3:uid="{00000000-0010-0000-0400-000004000000}" name="BusinessUnit"/>
    <tableColumn id="5" xr3:uid="{00000000-0010-0000-0400-000005000000}" name="AccountCategory"/>
    <tableColumn id="6" xr3:uid="{00000000-0010-0000-0400-000006000000}" name="Amount_VND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workbookViewId="0">
      <selection sqref="A1:J1"/>
    </sheetView>
  </sheetViews>
  <sheetFormatPr defaultRowHeight="14.25"/>
  <cols>
    <col min="1" max="1" width="24" customWidth="1"/>
    <col min="2" max="2" width="78" customWidth="1"/>
  </cols>
  <sheetData>
    <row r="1" spans="1:10" ht="30" customHeight="1">
      <c r="A1" s="115" t="s">
        <v>0</v>
      </c>
      <c r="B1" s="115" t="s">
        <v>0</v>
      </c>
      <c r="C1" s="115" t="s">
        <v>0</v>
      </c>
      <c r="D1" s="115" t="s">
        <v>0</v>
      </c>
      <c r="E1" s="115" t="s">
        <v>0</v>
      </c>
      <c r="F1" s="115" t="s">
        <v>0</v>
      </c>
      <c r="G1" s="115" t="s">
        <v>0</v>
      </c>
      <c r="H1" s="115" t="s">
        <v>0</v>
      </c>
      <c r="I1" s="115" t="s">
        <v>0</v>
      </c>
      <c r="J1" s="115" t="s">
        <v>0</v>
      </c>
    </row>
    <row r="2" spans="1:10" ht="33.950000000000003" customHeight="1">
      <c r="A2" s="116" t="s">
        <v>1</v>
      </c>
      <c r="B2" s="116" t="s">
        <v>1</v>
      </c>
      <c r="C2" s="116" t="s">
        <v>1</v>
      </c>
      <c r="D2" s="116" t="s">
        <v>1</v>
      </c>
      <c r="E2" s="116" t="s">
        <v>1</v>
      </c>
      <c r="F2" s="116" t="s">
        <v>1</v>
      </c>
      <c r="G2" s="116" t="s">
        <v>1</v>
      </c>
      <c r="H2" s="116" t="s">
        <v>1</v>
      </c>
      <c r="I2" s="116" t="s">
        <v>1</v>
      </c>
      <c r="J2" s="116" t="s">
        <v>1</v>
      </c>
    </row>
    <row r="4" spans="1:10" ht="21.95" customHeight="1">
      <c r="A4" s="105" t="s">
        <v>2</v>
      </c>
      <c r="B4" s="105" t="s">
        <v>2</v>
      </c>
      <c r="C4" s="105" t="s">
        <v>2</v>
      </c>
      <c r="D4" s="105" t="s">
        <v>2</v>
      </c>
      <c r="E4" s="105" t="s">
        <v>2</v>
      </c>
      <c r="F4" s="105" t="s">
        <v>2</v>
      </c>
      <c r="G4" s="105" t="s">
        <v>2</v>
      </c>
      <c r="H4" s="105" t="s">
        <v>2</v>
      </c>
      <c r="I4" s="105" t="s">
        <v>2</v>
      </c>
      <c r="J4" s="105" t="s">
        <v>2</v>
      </c>
    </row>
    <row r="5" spans="1:10" ht="30.95" customHeight="1">
      <c r="A5" s="1" t="s">
        <v>3</v>
      </c>
      <c r="B5" s="2" t="s">
        <v>4</v>
      </c>
    </row>
    <row r="6" spans="1:10" ht="30.95" customHeight="1">
      <c r="A6" s="1" t="s">
        <v>5</v>
      </c>
      <c r="B6" s="2" t="s">
        <v>6</v>
      </c>
    </row>
    <row r="7" spans="1:10" ht="30.95" customHeight="1">
      <c r="A7" s="1" t="s">
        <v>7</v>
      </c>
      <c r="B7" s="2" t="s">
        <v>8</v>
      </c>
    </row>
    <row r="8" spans="1:10" ht="30.95" customHeight="1">
      <c r="A8" s="1" t="s">
        <v>9</v>
      </c>
      <c r="B8" s="2" t="s">
        <v>10</v>
      </c>
    </row>
    <row r="9" spans="1:10" ht="30.95" customHeight="1">
      <c r="A9" s="1" t="s">
        <v>11</v>
      </c>
      <c r="B9" s="2" t="s">
        <v>12</v>
      </c>
    </row>
    <row r="10" spans="1:10" ht="30.95" customHeight="1">
      <c r="A10" s="1" t="s">
        <v>13</v>
      </c>
      <c r="B10" s="2" t="s">
        <v>14</v>
      </c>
    </row>
    <row r="11" spans="1:10" ht="30.95" customHeight="1">
      <c r="A11" s="1" t="s">
        <v>15</v>
      </c>
      <c r="B11" s="2" t="s">
        <v>16</v>
      </c>
    </row>
    <row r="12" spans="1:10" ht="30.95" customHeight="1">
      <c r="A12" s="1" t="s">
        <v>17</v>
      </c>
      <c r="B12" s="2" t="s">
        <v>18</v>
      </c>
    </row>
    <row r="13" spans="1:10" ht="30.95" customHeight="1">
      <c r="A13" s="1" t="s">
        <v>19</v>
      </c>
      <c r="B13" s="2" t="s">
        <v>20</v>
      </c>
    </row>
    <row r="15" spans="1:10" ht="21.95" customHeight="1">
      <c r="A15" s="105" t="s">
        <v>21</v>
      </c>
      <c r="B15" s="105" t="s">
        <v>21</v>
      </c>
      <c r="C15" s="105" t="s">
        <v>21</v>
      </c>
      <c r="D15" s="105" t="s">
        <v>21</v>
      </c>
      <c r="E15" s="105" t="s">
        <v>21</v>
      </c>
      <c r="F15" s="105" t="s">
        <v>21</v>
      </c>
      <c r="G15" s="105" t="s">
        <v>21</v>
      </c>
      <c r="H15" s="105" t="s">
        <v>21</v>
      </c>
      <c r="I15" s="105" t="s">
        <v>21</v>
      </c>
      <c r="J15" s="105" t="s">
        <v>21</v>
      </c>
    </row>
    <row r="16" spans="1:10">
      <c r="A16" s="106" t="s">
        <v>22</v>
      </c>
      <c r="B16" s="107"/>
      <c r="C16" s="107"/>
      <c r="D16" s="107"/>
      <c r="E16" s="107"/>
      <c r="F16" s="107"/>
      <c r="G16" s="107"/>
      <c r="H16" s="107"/>
      <c r="I16" s="107"/>
      <c r="J16" s="108"/>
    </row>
    <row r="17" spans="1:10">
      <c r="A17" s="109"/>
      <c r="B17" s="110"/>
      <c r="C17" s="110"/>
      <c r="D17" s="110"/>
      <c r="E17" s="110"/>
      <c r="F17" s="110"/>
      <c r="G17" s="110"/>
      <c r="H17" s="110"/>
      <c r="I17" s="110"/>
      <c r="J17" s="111"/>
    </row>
    <row r="18" spans="1:10">
      <c r="A18" s="109"/>
      <c r="B18" s="110"/>
      <c r="C18" s="110"/>
      <c r="D18" s="110"/>
      <c r="E18" s="110"/>
      <c r="F18" s="110"/>
      <c r="G18" s="110"/>
      <c r="H18" s="110"/>
      <c r="I18" s="110"/>
      <c r="J18" s="111"/>
    </row>
    <row r="19" spans="1:10">
      <c r="A19" s="109"/>
      <c r="B19" s="110"/>
      <c r="C19" s="110"/>
      <c r="D19" s="110"/>
      <c r="E19" s="110"/>
      <c r="F19" s="110"/>
      <c r="G19" s="110"/>
      <c r="H19" s="110"/>
      <c r="I19" s="110"/>
      <c r="J19" s="111"/>
    </row>
    <row r="20" spans="1:10">
      <c r="A20" s="112"/>
      <c r="B20" s="113"/>
      <c r="C20" s="113"/>
      <c r="D20" s="113"/>
      <c r="E20" s="113"/>
      <c r="F20" s="113"/>
      <c r="G20" s="113"/>
      <c r="H20" s="113"/>
      <c r="I20" s="113"/>
      <c r="J20" s="114"/>
    </row>
    <row r="22" spans="1:10" ht="21.95" customHeight="1">
      <c r="A22" s="105" t="s">
        <v>23</v>
      </c>
      <c r="B22" s="105" t="s">
        <v>23</v>
      </c>
      <c r="C22" s="105" t="s">
        <v>23</v>
      </c>
      <c r="D22" s="105" t="s">
        <v>23</v>
      </c>
      <c r="E22" s="105" t="s">
        <v>23</v>
      </c>
      <c r="F22" s="105" t="s">
        <v>23</v>
      </c>
      <c r="G22" s="105" t="s">
        <v>23</v>
      </c>
      <c r="H22" s="105" t="s">
        <v>23</v>
      </c>
      <c r="I22" s="105" t="s">
        <v>23</v>
      </c>
      <c r="J22" s="105" t="s">
        <v>23</v>
      </c>
    </row>
    <row r="23" spans="1:10" ht="24" customHeight="1">
      <c r="A23" s="5" t="s">
        <v>24</v>
      </c>
      <c r="B23" s="4" t="s">
        <v>25</v>
      </c>
    </row>
    <row r="24" spans="1:10" ht="24" customHeight="1">
      <c r="A24" s="6" t="s">
        <v>26</v>
      </c>
      <c r="B24" s="4" t="s">
        <v>27</v>
      </c>
    </row>
    <row r="25" spans="1:10" ht="24" customHeight="1">
      <c r="A25" s="3" t="s">
        <v>28</v>
      </c>
      <c r="B25" s="4" t="s">
        <v>29</v>
      </c>
    </row>
    <row r="26" spans="1:10" ht="24" customHeight="1">
      <c r="A26" s="7" t="s">
        <v>30</v>
      </c>
      <c r="B26" s="4" t="s">
        <v>31</v>
      </c>
    </row>
    <row r="27" spans="1:10" ht="24" customHeight="1">
      <c r="A27" s="8" t="s">
        <v>32</v>
      </c>
      <c r="B27" s="4" t="s">
        <v>33</v>
      </c>
    </row>
    <row r="29" spans="1:10" ht="21.95" customHeight="1">
      <c r="A29" s="105" t="s">
        <v>34</v>
      </c>
      <c r="B29" s="105" t="s">
        <v>34</v>
      </c>
      <c r="C29" s="105" t="s">
        <v>34</v>
      </c>
      <c r="D29" s="105" t="s">
        <v>34</v>
      </c>
      <c r="E29" s="105" t="s">
        <v>34</v>
      </c>
      <c r="F29" s="105" t="s">
        <v>34</v>
      </c>
      <c r="G29" s="105" t="s">
        <v>34</v>
      </c>
      <c r="H29" s="105" t="s">
        <v>34</v>
      </c>
      <c r="I29" s="105" t="s">
        <v>34</v>
      </c>
      <c r="J29" s="105" t="s">
        <v>34</v>
      </c>
    </row>
    <row r="30" spans="1:10" ht="15">
      <c r="A30" s="9" t="s">
        <v>35</v>
      </c>
      <c r="B30" s="10" t="str">
        <f>'10_Checks'!B2</f>
        <v>PASS</v>
      </c>
    </row>
    <row r="31" spans="1:10" ht="15">
      <c r="A31" s="9" t="s">
        <v>36</v>
      </c>
      <c r="B31" s="10">
        <f>COUNTIF('10_Checks'!F6:F21,"PASS")</f>
        <v>16</v>
      </c>
    </row>
    <row r="32" spans="1:10" ht="15">
      <c r="A32" s="9" t="s">
        <v>37</v>
      </c>
      <c r="B32" s="10">
        <f>COUNTIF('10_Checks'!F6:F21,"FAIL")</f>
        <v>0</v>
      </c>
    </row>
    <row r="34" spans="1:10" ht="21.95" customHeight="1">
      <c r="A34" s="105" t="s">
        <v>38</v>
      </c>
      <c r="B34" s="105" t="s">
        <v>38</v>
      </c>
      <c r="C34" s="105" t="s">
        <v>38</v>
      </c>
      <c r="D34" s="105" t="s">
        <v>38</v>
      </c>
      <c r="E34" s="105" t="s">
        <v>38</v>
      </c>
      <c r="F34" s="105" t="s">
        <v>38</v>
      </c>
      <c r="G34" s="105" t="s">
        <v>38</v>
      </c>
      <c r="H34" s="105" t="s">
        <v>38</v>
      </c>
      <c r="I34" s="105" t="s">
        <v>38</v>
      </c>
      <c r="J34" s="105" t="s">
        <v>38</v>
      </c>
    </row>
    <row r="35" spans="1:10">
      <c r="A35" s="106" t="s">
        <v>39</v>
      </c>
      <c r="B35" s="107"/>
      <c r="C35" s="107"/>
      <c r="D35" s="107"/>
      <c r="E35" s="107"/>
      <c r="F35" s="107"/>
      <c r="G35" s="107"/>
      <c r="H35" s="107"/>
      <c r="I35" s="107"/>
      <c r="J35" s="108"/>
    </row>
    <row r="36" spans="1:10">
      <c r="A36" s="109"/>
      <c r="B36" s="110"/>
      <c r="C36" s="110"/>
      <c r="D36" s="110"/>
      <c r="E36" s="110"/>
      <c r="F36" s="110"/>
      <c r="G36" s="110"/>
      <c r="H36" s="110"/>
      <c r="I36" s="110"/>
      <c r="J36" s="111"/>
    </row>
    <row r="37" spans="1:10">
      <c r="A37" s="109"/>
      <c r="B37" s="110"/>
      <c r="C37" s="110"/>
      <c r="D37" s="110"/>
      <c r="E37" s="110"/>
      <c r="F37" s="110"/>
      <c r="G37" s="110"/>
      <c r="H37" s="110"/>
      <c r="I37" s="110"/>
      <c r="J37" s="111"/>
    </row>
    <row r="38" spans="1:10">
      <c r="A38" s="112"/>
      <c r="B38" s="113"/>
      <c r="C38" s="113"/>
      <c r="D38" s="113"/>
      <c r="E38" s="113"/>
      <c r="F38" s="113"/>
      <c r="G38" s="113"/>
      <c r="H38" s="113"/>
      <c r="I38" s="113"/>
      <c r="J38" s="114"/>
    </row>
  </sheetData>
  <mergeCells count="9">
    <mergeCell ref="A22:J22"/>
    <mergeCell ref="A29:J29"/>
    <mergeCell ref="A34:J34"/>
    <mergeCell ref="A35:J38"/>
    <mergeCell ref="A1:J1"/>
    <mergeCell ref="A2:J2"/>
    <mergeCell ref="A4:J4"/>
    <mergeCell ref="A15:J15"/>
    <mergeCell ref="A16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9"/>
  <sheetViews>
    <sheetView showGridLines="0" workbookViewId="0"/>
  </sheetViews>
  <sheetFormatPr defaultRowHeight="14.25"/>
  <cols>
    <col min="1" max="1" width="12" customWidth="1"/>
    <col min="2" max="3" width="9" customWidth="1"/>
    <col min="4" max="5" width="18" customWidth="1"/>
    <col min="6" max="6" width="14" customWidth="1"/>
    <col min="7" max="7" width="15" customWidth="1"/>
    <col min="8" max="8" width="44" customWidth="1"/>
    <col min="9" max="11" width="18" customWidth="1"/>
  </cols>
  <sheetData>
    <row r="1" spans="1:11" ht="30" customHeight="1">
      <c r="A1" s="115" t="s">
        <v>40</v>
      </c>
      <c r="B1" s="115" t="s">
        <v>40</v>
      </c>
      <c r="C1" s="115" t="s">
        <v>40</v>
      </c>
      <c r="D1" s="115" t="s">
        <v>40</v>
      </c>
      <c r="E1" s="115" t="s">
        <v>40</v>
      </c>
      <c r="F1" s="115" t="s">
        <v>40</v>
      </c>
      <c r="G1" s="115" t="s">
        <v>40</v>
      </c>
      <c r="H1" s="115" t="s">
        <v>40</v>
      </c>
      <c r="I1" s="115" t="s">
        <v>40</v>
      </c>
      <c r="J1" s="115" t="s">
        <v>40</v>
      </c>
      <c r="K1" s="115" t="s">
        <v>40</v>
      </c>
    </row>
    <row r="2" spans="1:11" ht="33.950000000000003" customHeight="1">
      <c r="A2" s="116" t="s">
        <v>41</v>
      </c>
      <c r="B2" s="116" t="s">
        <v>41</v>
      </c>
      <c r="C2" s="116" t="s">
        <v>41</v>
      </c>
      <c r="D2" s="116" t="s">
        <v>41</v>
      </c>
      <c r="E2" s="116" t="s">
        <v>41</v>
      </c>
      <c r="F2" s="116" t="s">
        <v>41</v>
      </c>
      <c r="G2" s="116" t="s">
        <v>41</v>
      </c>
      <c r="H2" s="116" t="s">
        <v>41</v>
      </c>
      <c r="I2" s="116" t="s">
        <v>41</v>
      </c>
      <c r="J2" s="116" t="s">
        <v>41</v>
      </c>
      <c r="K2" s="116" t="s">
        <v>41</v>
      </c>
    </row>
    <row r="5" spans="1:11" ht="30" customHeight="1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51</v>
      </c>
      <c r="K5" s="11" t="s">
        <v>52</v>
      </c>
    </row>
    <row r="6" spans="1:11">
      <c r="A6" s="15">
        <v>45292</v>
      </c>
      <c r="B6" s="12">
        <v>2024</v>
      </c>
      <c r="C6" s="12">
        <v>1</v>
      </c>
      <c r="D6" s="12" t="s">
        <v>53</v>
      </c>
      <c r="E6" s="12" t="s">
        <v>54</v>
      </c>
      <c r="F6" s="12" t="s">
        <v>55</v>
      </c>
      <c r="G6" s="18">
        <v>10806.512295282742</v>
      </c>
      <c r="H6" s="12" t="s">
        <v>56</v>
      </c>
      <c r="I6" s="12" t="s">
        <v>57</v>
      </c>
      <c r="J6" s="21" t="str">
        <f>_xlfn.XLOOKUP(F6,'04_Account_Mapping'!$A$6:$A$14,'04_Account_Mapping'!$C$6:$C$14,"Unmapped",0)</f>
        <v>Revenue</v>
      </c>
      <c r="K6" s="21" t="str">
        <f>_xlfn.XLOOKUP(F6,'04_Account_Mapping'!$A$6:$A$14,'04_Account_Mapping'!$D$6:$D$14,"Unmapped",0)</f>
        <v>Income</v>
      </c>
    </row>
    <row r="7" spans="1:11">
      <c r="A7" s="16">
        <v>45292</v>
      </c>
      <c r="B7" s="13">
        <v>2024</v>
      </c>
      <c r="C7" s="13">
        <v>1</v>
      </c>
      <c r="D7" s="13" t="s">
        <v>53</v>
      </c>
      <c r="E7" s="13" t="s">
        <v>54</v>
      </c>
      <c r="F7" s="13" t="s">
        <v>58</v>
      </c>
      <c r="G7" s="19">
        <v>-8594.4533281965414</v>
      </c>
      <c r="H7" s="13" t="s">
        <v>59</v>
      </c>
      <c r="I7" s="13" t="s">
        <v>57</v>
      </c>
      <c r="J7" s="21" t="str">
        <f>_xlfn.XLOOKUP(F7,'04_Account_Mapping'!$A$6:$A$14,'04_Account_Mapping'!$C$6:$C$14,"Unmapped",0)</f>
        <v>COGS</v>
      </c>
      <c r="K7" s="21" t="str">
        <f>_xlfn.XLOOKUP(F7,'04_Account_Mapping'!$A$6:$A$14,'04_Account_Mapping'!$D$6:$D$14,"Unmapped",0)</f>
        <v>Expense</v>
      </c>
    </row>
    <row r="8" spans="1:11">
      <c r="A8" s="16">
        <v>45292</v>
      </c>
      <c r="B8" s="13">
        <v>2024</v>
      </c>
      <c r="C8" s="13">
        <v>1</v>
      </c>
      <c r="D8" s="13" t="s">
        <v>53</v>
      </c>
      <c r="E8" s="13" t="s">
        <v>54</v>
      </c>
      <c r="F8" s="13" t="s">
        <v>60</v>
      </c>
      <c r="G8" s="19">
        <v>-1596.7371847104746</v>
      </c>
      <c r="H8" s="13" t="s">
        <v>59</v>
      </c>
      <c r="I8" s="13" t="s">
        <v>57</v>
      </c>
      <c r="J8" s="21" t="str">
        <f>_xlfn.XLOOKUP(F8,'04_Account_Mapping'!$A$6:$A$14,'04_Account_Mapping'!$C$6:$C$14,"Unmapped",0)</f>
        <v>Selling Expense</v>
      </c>
      <c r="K8" s="21" t="str">
        <f>_xlfn.XLOOKUP(F8,'04_Account_Mapping'!$A$6:$A$14,'04_Account_Mapping'!$D$6:$D$14,"Unmapped",0)</f>
        <v>Expense</v>
      </c>
    </row>
    <row r="9" spans="1:11">
      <c r="A9" s="16">
        <v>45292</v>
      </c>
      <c r="B9" s="13">
        <v>2024</v>
      </c>
      <c r="C9" s="13">
        <v>1</v>
      </c>
      <c r="D9" s="13" t="s">
        <v>53</v>
      </c>
      <c r="E9" s="13" t="s">
        <v>54</v>
      </c>
      <c r="F9" s="13" t="s">
        <v>61</v>
      </c>
      <c r="G9" s="19">
        <v>-286.83326301569713</v>
      </c>
      <c r="H9" s="13" t="s">
        <v>59</v>
      </c>
      <c r="I9" s="13" t="s">
        <v>57</v>
      </c>
      <c r="J9" s="21" t="str">
        <f>_xlfn.XLOOKUP(F9,'04_Account_Mapping'!$A$6:$A$14,'04_Account_Mapping'!$C$6:$C$14,"Unmapped",0)</f>
        <v>G&amp;A</v>
      </c>
      <c r="K9" s="21" t="str">
        <f>_xlfn.XLOOKUP(F9,'04_Account_Mapping'!$A$6:$A$14,'04_Account_Mapping'!$D$6:$D$14,"Unmapped",0)</f>
        <v>Expense</v>
      </c>
    </row>
    <row r="10" spans="1:11">
      <c r="A10" s="16">
        <v>45292</v>
      </c>
      <c r="B10" s="13">
        <v>2024</v>
      </c>
      <c r="C10" s="13">
        <v>1</v>
      </c>
      <c r="D10" s="13" t="s">
        <v>53</v>
      </c>
      <c r="E10" s="13" t="s">
        <v>54</v>
      </c>
      <c r="F10" s="13" t="s">
        <v>62</v>
      </c>
      <c r="G10" s="19">
        <v>191.16781476819892</v>
      </c>
      <c r="H10" s="13" t="s">
        <v>59</v>
      </c>
      <c r="I10" s="13" t="s">
        <v>57</v>
      </c>
      <c r="J10" s="21" t="str">
        <f>_xlfn.XLOOKUP(F10,'04_Account_Mapping'!$A$6:$A$14,'04_Account_Mapping'!$C$6:$C$14,"Unmapped",0)</f>
        <v>Finance Income</v>
      </c>
      <c r="K10" s="21" t="str">
        <f>_xlfn.XLOOKUP(F10,'04_Account_Mapping'!$A$6:$A$14,'04_Account_Mapping'!$D$6:$D$14,"Unmapped",0)</f>
        <v>Income</v>
      </c>
    </row>
    <row r="11" spans="1:11">
      <c r="A11" s="16">
        <v>45292</v>
      </c>
      <c r="B11" s="13">
        <v>2024</v>
      </c>
      <c r="C11" s="13">
        <v>1</v>
      </c>
      <c r="D11" s="13" t="s">
        <v>53</v>
      </c>
      <c r="E11" s="13" t="s">
        <v>54</v>
      </c>
      <c r="F11" s="13" t="s">
        <v>63</v>
      </c>
      <c r="G11" s="19">
        <v>-95.60114640481919</v>
      </c>
      <c r="H11" s="13" t="s">
        <v>59</v>
      </c>
      <c r="I11" s="13" t="s">
        <v>57</v>
      </c>
      <c r="J11" s="21" t="str">
        <f>_xlfn.XLOOKUP(F11,'04_Account_Mapping'!$A$6:$A$14,'04_Account_Mapping'!$C$6:$C$14,"Unmapped",0)</f>
        <v>Finance Expense</v>
      </c>
      <c r="K11" s="21" t="str">
        <f>_xlfn.XLOOKUP(F11,'04_Account_Mapping'!$A$6:$A$14,'04_Account_Mapping'!$D$6:$D$14,"Unmapped",0)</f>
        <v>Expense</v>
      </c>
    </row>
    <row r="12" spans="1:11">
      <c r="A12" s="16">
        <v>45292</v>
      </c>
      <c r="B12" s="13">
        <v>2024</v>
      </c>
      <c r="C12" s="13">
        <v>1</v>
      </c>
      <c r="D12" s="13" t="s">
        <v>53</v>
      </c>
      <c r="E12" s="13" t="s">
        <v>54</v>
      </c>
      <c r="F12" s="13" t="s">
        <v>64</v>
      </c>
      <c r="G12" s="19">
        <v>-3.587375334901806</v>
      </c>
      <c r="H12" s="13" t="s">
        <v>59</v>
      </c>
      <c r="I12" s="13" t="s">
        <v>57</v>
      </c>
      <c r="J12" s="21" t="str">
        <f>_xlfn.XLOOKUP(F12,'04_Account_Mapping'!$A$6:$A$14,'04_Account_Mapping'!$C$6:$C$14,"Unmapped",0)</f>
        <v>JV Profit/(Loss)</v>
      </c>
      <c r="K12" s="21" t="str">
        <f>_xlfn.XLOOKUP(F12,'04_Account_Mapping'!$A$6:$A$14,'04_Account_Mapping'!$D$6:$D$14,"Unmapped",0)</f>
        <v>Income</v>
      </c>
    </row>
    <row r="13" spans="1:11">
      <c r="A13" s="16">
        <v>45292</v>
      </c>
      <c r="B13" s="13">
        <v>2024</v>
      </c>
      <c r="C13" s="13">
        <v>1</v>
      </c>
      <c r="D13" s="13" t="s">
        <v>53</v>
      </c>
      <c r="E13" s="13" t="s">
        <v>54</v>
      </c>
      <c r="F13" s="13" t="s">
        <v>65</v>
      </c>
      <c r="G13" s="19">
        <v>-32.279485661541784</v>
      </c>
      <c r="H13" s="13" t="s">
        <v>59</v>
      </c>
      <c r="I13" s="13" t="s">
        <v>57</v>
      </c>
      <c r="J13" s="21" t="str">
        <f>_xlfn.XLOOKUP(F13,'04_Account_Mapping'!$A$6:$A$14,'04_Account_Mapping'!$C$6:$C$14,"Unmapped",0)</f>
        <v>Other Net</v>
      </c>
      <c r="K13" s="21" t="str">
        <f>_xlfn.XLOOKUP(F13,'04_Account_Mapping'!$A$6:$A$14,'04_Account_Mapping'!$D$6:$D$14,"Unmapped",0)</f>
        <v>Income</v>
      </c>
    </row>
    <row r="14" spans="1:11">
      <c r="A14" s="16">
        <v>45292</v>
      </c>
      <c r="B14" s="13">
        <v>2024</v>
      </c>
      <c r="C14" s="13">
        <v>1</v>
      </c>
      <c r="D14" s="13" t="s">
        <v>53</v>
      </c>
      <c r="E14" s="13" t="s">
        <v>54</v>
      </c>
      <c r="F14" s="13" t="s">
        <v>66</v>
      </c>
      <c r="G14" s="19">
        <v>-87.8795658597504</v>
      </c>
      <c r="H14" s="13" t="s">
        <v>59</v>
      </c>
      <c r="I14" s="13" t="s">
        <v>57</v>
      </c>
      <c r="J14" s="21" t="str">
        <f>_xlfn.XLOOKUP(F14,'04_Account_Mapping'!$A$6:$A$14,'04_Account_Mapping'!$C$6:$C$14,"Unmapped",0)</f>
        <v>Tax Expense</v>
      </c>
      <c r="K14" s="21" t="str">
        <f>_xlfn.XLOOKUP(F14,'04_Account_Mapping'!$A$6:$A$14,'04_Account_Mapping'!$D$6:$D$14,"Unmapped",0)</f>
        <v>Expense</v>
      </c>
    </row>
    <row r="15" spans="1:11">
      <c r="A15" s="16">
        <v>45323</v>
      </c>
      <c r="B15" s="13">
        <v>2024</v>
      </c>
      <c r="C15" s="13">
        <v>2</v>
      </c>
      <c r="D15" s="13" t="s">
        <v>53</v>
      </c>
      <c r="E15" s="13" t="s">
        <v>54</v>
      </c>
      <c r="F15" s="13" t="s">
        <v>55</v>
      </c>
      <c r="G15" s="19">
        <v>10806.512295282742</v>
      </c>
      <c r="H15" s="13" t="s">
        <v>56</v>
      </c>
      <c r="I15" s="13" t="s">
        <v>57</v>
      </c>
      <c r="J15" s="21" t="str">
        <f>_xlfn.XLOOKUP(F15,'04_Account_Mapping'!$A$6:$A$14,'04_Account_Mapping'!$C$6:$C$14,"Unmapped",0)</f>
        <v>Revenue</v>
      </c>
      <c r="K15" s="21" t="str">
        <f>_xlfn.XLOOKUP(F15,'04_Account_Mapping'!$A$6:$A$14,'04_Account_Mapping'!$D$6:$D$14,"Unmapped",0)</f>
        <v>Income</v>
      </c>
    </row>
    <row r="16" spans="1:11">
      <c r="A16" s="16">
        <v>45323</v>
      </c>
      <c r="B16" s="13">
        <v>2024</v>
      </c>
      <c r="C16" s="13">
        <v>2</v>
      </c>
      <c r="D16" s="13" t="s">
        <v>53</v>
      </c>
      <c r="E16" s="13" t="s">
        <v>54</v>
      </c>
      <c r="F16" s="13" t="s">
        <v>58</v>
      </c>
      <c r="G16" s="19">
        <v>-8594.4533281965414</v>
      </c>
      <c r="H16" s="13" t="s">
        <v>59</v>
      </c>
      <c r="I16" s="13" t="s">
        <v>57</v>
      </c>
      <c r="J16" s="21" t="str">
        <f>_xlfn.XLOOKUP(F16,'04_Account_Mapping'!$A$6:$A$14,'04_Account_Mapping'!$C$6:$C$14,"Unmapped",0)</f>
        <v>COGS</v>
      </c>
      <c r="K16" s="21" t="str">
        <f>_xlfn.XLOOKUP(F16,'04_Account_Mapping'!$A$6:$A$14,'04_Account_Mapping'!$D$6:$D$14,"Unmapped",0)</f>
        <v>Expense</v>
      </c>
    </row>
    <row r="17" spans="1:11">
      <c r="A17" s="16">
        <v>45323</v>
      </c>
      <c r="B17" s="13">
        <v>2024</v>
      </c>
      <c r="C17" s="13">
        <v>2</v>
      </c>
      <c r="D17" s="13" t="s">
        <v>53</v>
      </c>
      <c r="E17" s="13" t="s">
        <v>54</v>
      </c>
      <c r="F17" s="13" t="s">
        <v>60</v>
      </c>
      <c r="G17" s="19">
        <v>-1596.7371847104746</v>
      </c>
      <c r="H17" s="13" t="s">
        <v>59</v>
      </c>
      <c r="I17" s="13" t="s">
        <v>57</v>
      </c>
      <c r="J17" s="21" t="str">
        <f>_xlfn.XLOOKUP(F17,'04_Account_Mapping'!$A$6:$A$14,'04_Account_Mapping'!$C$6:$C$14,"Unmapped",0)</f>
        <v>Selling Expense</v>
      </c>
      <c r="K17" s="21" t="str">
        <f>_xlfn.XLOOKUP(F17,'04_Account_Mapping'!$A$6:$A$14,'04_Account_Mapping'!$D$6:$D$14,"Unmapped",0)</f>
        <v>Expense</v>
      </c>
    </row>
    <row r="18" spans="1:11">
      <c r="A18" s="16">
        <v>45323</v>
      </c>
      <c r="B18" s="13">
        <v>2024</v>
      </c>
      <c r="C18" s="13">
        <v>2</v>
      </c>
      <c r="D18" s="13" t="s">
        <v>53</v>
      </c>
      <c r="E18" s="13" t="s">
        <v>54</v>
      </c>
      <c r="F18" s="13" t="s">
        <v>61</v>
      </c>
      <c r="G18" s="19">
        <v>-286.83326301569713</v>
      </c>
      <c r="H18" s="13" t="s">
        <v>59</v>
      </c>
      <c r="I18" s="13" t="s">
        <v>57</v>
      </c>
      <c r="J18" s="21" t="str">
        <f>_xlfn.XLOOKUP(F18,'04_Account_Mapping'!$A$6:$A$14,'04_Account_Mapping'!$C$6:$C$14,"Unmapped",0)</f>
        <v>G&amp;A</v>
      </c>
      <c r="K18" s="21" t="str">
        <f>_xlfn.XLOOKUP(F18,'04_Account_Mapping'!$A$6:$A$14,'04_Account_Mapping'!$D$6:$D$14,"Unmapped",0)</f>
        <v>Expense</v>
      </c>
    </row>
    <row r="19" spans="1:11">
      <c r="A19" s="16">
        <v>45323</v>
      </c>
      <c r="B19" s="13">
        <v>2024</v>
      </c>
      <c r="C19" s="13">
        <v>2</v>
      </c>
      <c r="D19" s="13" t="s">
        <v>53</v>
      </c>
      <c r="E19" s="13" t="s">
        <v>54</v>
      </c>
      <c r="F19" s="13" t="s">
        <v>62</v>
      </c>
      <c r="G19" s="19">
        <v>191.16781476819892</v>
      </c>
      <c r="H19" s="13" t="s">
        <v>59</v>
      </c>
      <c r="I19" s="13" t="s">
        <v>57</v>
      </c>
      <c r="J19" s="21" t="str">
        <f>_xlfn.XLOOKUP(F19,'04_Account_Mapping'!$A$6:$A$14,'04_Account_Mapping'!$C$6:$C$14,"Unmapped",0)</f>
        <v>Finance Income</v>
      </c>
      <c r="K19" s="21" t="str">
        <f>_xlfn.XLOOKUP(F19,'04_Account_Mapping'!$A$6:$A$14,'04_Account_Mapping'!$D$6:$D$14,"Unmapped",0)</f>
        <v>Income</v>
      </c>
    </row>
    <row r="20" spans="1:11">
      <c r="A20" s="16">
        <v>45323</v>
      </c>
      <c r="B20" s="13">
        <v>2024</v>
      </c>
      <c r="C20" s="13">
        <v>2</v>
      </c>
      <c r="D20" s="13" t="s">
        <v>53</v>
      </c>
      <c r="E20" s="13" t="s">
        <v>54</v>
      </c>
      <c r="F20" s="13" t="s">
        <v>63</v>
      </c>
      <c r="G20" s="19">
        <v>-95.60114640481919</v>
      </c>
      <c r="H20" s="13" t="s">
        <v>59</v>
      </c>
      <c r="I20" s="13" t="s">
        <v>57</v>
      </c>
      <c r="J20" s="21" t="str">
        <f>_xlfn.XLOOKUP(F20,'04_Account_Mapping'!$A$6:$A$14,'04_Account_Mapping'!$C$6:$C$14,"Unmapped",0)</f>
        <v>Finance Expense</v>
      </c>
      <c r="K20" s="21" t="str">
        <f>_xlfn.XLOOKUP(F20,'04_Account_Mapping'!$A$6:$A$14,'04_Account_Mapping'!$D$6:$D$14,"Unmapped",0)</f>
        <v>Expense</v>
      </c>
    </row>
    <row r="21" spans="1:11">
      <c r="A21" s="16">
        <v>45323</v>
      </c>
      <c r="B21" s="13">
        <v>2024</v>
      </c>
      <c r="C21" s="13">
        <v>2</v>
      </c>
      <c r="D21" s="13" t="s">
        <v>53</v>
      </c>
      <c r="E21" s="13" t="s">
        <v>54</v>
      </c>
      <c r="F21" s="13" t="s">
        <v>64</v>
      </c>
      <c r="G21" s="19">
        <v>-3.587375334901806</v>
      </c>
      <c r="H21" s="13" t="s">
        <v>59</v>
      </c>
      <c r="I21" s="13" t="s">
        <v>57</v>
      </c>
      <c r="J21" s="21" t="str">
        <f>_xlfn.XLOOKUP(F21,'04_Account_Mapping'!$A$6:$A$14,'04_Account_Mapping'!$C$6:$C$14,"Unmapped",0)</f>
        <v>JV Profit/(Loss)</v>
      </c>
      <c r="K21" s="21" t="str">
        <f>_xlfn.XLOOKUP(F21,'04_Account_Mapping'!$A$6:$A$14,'04_Account_Mapping'!$D$6:$D$14,"Unmapped",0)</f>
        <v>Income</v>
      </c>
    </row>
    <row r="22" spans="1:11">
      <c r="A22" s="16">
        <v>45323</v>
      </c>
      <c r="B22" s="13">
        <v>2024</v>
      </c>
      <c r="C22" s="13">
        <v>2</v>
      </c>
      <c r="D22" s="13" t="s">
        <v>53</v>
      </c>
      <c r="E22" s="13" t="s">
        <v>54</v>
      </c>
      <c r="F22" s="13" t="s">
        <v>65</v>
      </c>
      <c r="G22" s="19">
        <v>-32.279485661541784</v>
      </c>
      <c r="H22" s="13" t="s">
        <v>59</v>
      </c>
      <c r="I22" s="13" t="s">
        <v>57</v>
      </c>
      <c r="J22" s="21" t="str">
        <f>_xlfn.XLOOKUP(F22,'04_Account_Mapping'!$A$6:$A$14,'04_Account_Mapping'!$C$6:$C$14,"Unmapped",0)</f>
        <v>Other Net</v>
      </c>
      <c r="K22" s="21" t="str">
        <f>_xlfn.XLOOKUP(F22,'04_Account_Mapping'!$A$6:$A$14,'04_Account_Mapping'!$D$6:$D$14,"Unmapped",0)</f>
        <v>Income</v>
      </c>
    </row>
    <row r="23" spans="1:11">
      <c r="A23" s="16">
        <v>45323</v>
      </c>
      <c r="B23" s="13">
        <v>2024</v>
      </c>
      <c r="C23" s="13">
        <v>2</v>
      </c>
      <c r="D23" s="13" t="s">
        <v>53</v>
      </c>
      <c r="E23" s="13" t="s">
        <v>54</v>
      </c>
      <c r="F23" s="13" t="s">
        <v>66</v>
      </c>
      <c r="G23" s="19">
        <v>-87.8795658597504</v>
      </c>
      <c r="H23" s="13" t="s">
        <v>59</v>
      </c>
      <c r="I23" s="13" t="s">
        <v>57</v>
      </c>
      <c r="J23" s="21" t="str">
        <f>_xlfn.XLOOKUP(F23,'04_Account_Mapping'!$A$6:$A$14,'04_Account_Mapping'!$C$6:$C$14,"Unmapped",0)</f>
        <v>Tax Expense</v>
      </c>
      <c r="K23" s="21" t="str">
        <f>_xlfn.XLOOKUP(F23,'04_Account_Mapping'!$A$6:$A$14,'04_Account_Mapping'!$D$6:$D$14,"Unmapped",0)</f>
        <v>Expense</v>
      </c>
    </row>
    <row r="24" spans="1:11">
      <c r="A24" s="16">
        <v>45352</v>
      </c>
      <c r="B24" s="13">
        <v>2024</v>
      </c>
      <c r="C24" s="13">
        <v>3</v>
      </c>
      <c r="D24" s="13" t="s">
        <v>53</v>
      </c>
      <c r="E24" s="13" t="s">
        <v>54</v>
      </c>
      <c r="F24" s="13" t="s">
        <v>55</v>
      </c>
      <c r="G24" s="19">
        <v>9828.0111819774011</v>
      </c>
      <c r="H24" s="13" t="s">
        <v>56</v>
      </c>
      <c r="I24" s="13" t="s">
        <v>57</v>
      </c>
      <c r="J24" s="21" t="str">
        <f>_xlfn.XLOOKUP(F24,'04_Account_Mapping'!$A$6:$A$14,'04_Account_Mapping'!$C$6:$C$14,"Unmapped",0)</f>
        <v>Revenue</v>
      </c>
      <c r="K24" s="21" t="str">
        <f>_xlfn.XLOOKUP(F24,'04_Account_Mapping'!$A$6:$A$14,'04_Account_Mapping'!$D$6:$D$14,"Unmapped",0)</f>
        <v>Income</v>
      </c>
    </row>
    <row r="25" spans="1:11">
      <c r="A25" s="16">
        <v>45352</v>
      </c>
      <c r="B25" s="13">
        <v>2024</v>
      </c>
      <c r="C25" s="13">
        <v>3</v>
      </c>
      <c r="D25" s="13" t="s">
        <v>53</v>
      </c>
      <c r="E25" s="13" t="s">
        <v>54</v>
      </c>
      <c r="F25" s="13" t="s">
        <v>58</v>
      </c>
      <c r="G25" s="19">
        <v>-7816.2483051418667</v>
      </c>
      <c r="H25" s="13" t="s">
        <v>59</v>
      </c>
      <c r="I25" s="13" t="s">
        <v>57</v>
      </c>
      <c r="J25" s="21" t="str">
        <f>_xlfn.XLOOKUP(F25,'04_Account_Mapping'!$A$6:$A$14,'04_Account_Mapping'!$C$6:$C$14,"Unmapped",0)</f>
        <v>COGS</v>
      </c>
      <c r="K25" s="21" t="str">
        <f>_xlfn.XLOOKUP(F25,'04_Account_Mapping'!$A$6:$A$14,'04_Account_Mapping'!$D$6:$D$14,"Unmapped",0)</f>
        <v>Expense</v>
      </c>
    </row>
    <row r="26" spans="1:11">
      <c r="A26" s="16">
        <v>45352</v>
      </c>
      <c r="B26" s="13">
        <v>2024</v>
      </c>
      <c r="C26" s="13">
        <v>3</v>
      </c>
      <c r="D26" s="13" t="s">
        <v>53</v>
      </c>
      <c r="E26" s="13" t="s">
        <v>54</v>
      </c>
      <c r="F26" s="13" t="s">
        <v>60</v>
      </c>
      <c r="G26" s="19">
        <v>-1452.1568547942941</v>
      </c>
      <c r="H26" s="13" t="s">
        <v>59</v>
      </c>
      <c r="I26" s="13" t="s">
        <v>57</v>
      </c>
      <c r="J26" s="21" t="str">
        <f>_xlfn.XLOOKUP(F26,'04_Account_Mapping'!$A$6:$A$14,'04_Account_Mapping'!$C$6:$C$14,"Unmapped",0)</f>
        <v>Selling Expense</v>
      </c>
      <c r="K26" s="21" t="str">
        <f>_xlfn.XLOOKUP(F26,'04_Account_Mapping'!$A$6:$A$14,'04_Account_Mapping'!$D$6:$D$14,"Unmapped",0)</f>
        <v>Expense</v>
      </c>
    </row>
    <row r="27" spans="1:11">
      <c r="A27" s="16">
        <v>45352</v>
      </c>
      <c r="B27" s="13">
        <v>2024</v>
      </c>
      <c r="C27" s="13">
        <v>3</v>
      </c>
      <c r="D27" s="13" t="s">
        <v>53</v>
      </c>
      <c r="E27" s="13" t="s">
        <v>54</v>
      </c>
      <c r="F27" s="13" t="s">
        <v>61</v>
      </c>
      <c r="G27" s="19">
        <v>-260.86126950615562</v>
      </c>
      <c r="H27" s="13" t="s">
        <v>59</v>
      </c>
      <c r="I27" s="13" t="s">
        <v>57</v>
      </c>
      <c r="J27" s="21" t="str">
        <f>_xlfn.XLOOKUP(F27,'04_Account_Mapping'!$A$6:$A$14,'04_Account_Mapping'!$C$6:$C$14,"Unmapped",0)</f>
        <v>G&amp;A</v>
      </c>
      <c r="K27" s="21" t="str">
        <f>_xlfn.XLOOKUP(F27,'04_Account_Mapping'!$A$6:$A$14,'04_Account_Mapping'!$D$6:$D$14,"Unmapped",0)</f>
        <v>Expense</v>
      </c>
    </row>
    <row r="28" spans="1:11">
      <c r="A28" s="16">
        <v>45352</v>
      </c>
      <c r="B28" s="13">
        <v>2024</v>
      </c>
      <c r="C28" s="13">
        <v>3</v>
      </c>
      <c r="D28" s="13" t="s">
        <v>53</v>
      </c>
      <c r="E28" s="13" t="s">
        <v>54</v>
      </c>
      <c r="F28" s="13" t="s">
        <v>62</v>
      </c>
      <c r="G28" s="19">
        <v>173.85807463488257</v>
      </c>
      <c r="H28" s="13" t="s">
        <v>59</v>
      </c>
      <c r="I28" s="13" t="s">
        <v>57</v>
      </c>
      <c r="J28" s="21" t="str">
        <f>_xlfn.XLOOKUP(F28,'04_Account_Mapping'!$A$6:$A$14,'04_Account_Mapping'!$C$6:$C$14,"Unmapped",0)</f>
        <v>Finance Income</v>
      </c>
      <c r="K28" s="21" t="str">
        <f>_xlfn.XLOOKUP(F28,'04_Account_Mapping'!$A$6:$A$14,'04_Account_Mapping'!$D$6:$D$14,"Unmapped",0)</f>
        <v>Income</v>
      </c>
    </row>
    <row r="29" spans="1:11">
      <c r="A29" s="16">
        <v>45352</v>
      </c>
      <c r="B29" s="13">
        <v>2024</v>
      </c>
      <c r="C29" s="13">
        <v>3</v>
      </c>
      <c r="D29" s="13" t="s">
        <v>53</v>
      </c>
      <c r="E29" s="13" t="s">
        <v>54</v>
      </c>
      <c r="F29" s="13" t="s">
        <v>63</v>
      </c>
      <c r="G29" s="19">
        <v>-86.944715390418992</v>
      </c>
      <c r="H29" s="13" t="s">
        <v>59</v>
      </c>
      <c r="I29" s="13" t="s">
        <v>57</v>
      </c>
      <c r="J29" s="21" t="str">
        <f>_xlfn.XLOOKUP(F29,'04_Account_Mapping'!$A$6:$A$14,'04_Account_Mapping'!$C$6:$C$14,"Unmapped",0)</f>
        <v>Finance Expense</v>
      </c>
      <c r="K29" s="21" t="str">
        <f>_xlfn.XLOOKUP(F29,'04_Account_Mapping'!$A$6:$A$14,'04_Account_Mapping'!$D$6:$D$14,"Unmapped",0)</f>
        <v>Expense</v>
      </c>
    </row>
    <row r="30" spans="1:11">
      <c r="A30" s="16">
        <v>45352</v>
      </c>
      <c r="B30" s="13">
        <v>2024</v>
      </c>
      <c r="C30" s="13">
        <v>3</v>
      </c>
      <c r="D30" s="13" t="s">
        <v>53</v>
      </c>
      <c r="E30" s="13" t="s">
        <v>54</v>
      </c>
      <c r="F30" s="13" t="s">
        <v>64</v>
      </c>
      <c r="G30" s="19">
        <v>-3.2625479842145877</v>
      </c>
      <c r="H30" s="13" t="s">
        <v>59</v>
      </c>
      <c r="I30" s="13" t="s">
        <v>57</v>
      </c>
      <c r="J30" s="21" t="str">
        <f>_xlfn.XLOOKUP(F30,'04_Account_Mapping'!$A$6:$A$14,'04_Account_Mapping'!$C$6:$C$14,"Unmapped",0)</f>
        <v>JV Profit/(Loss)</v>
      </c>
      <c r="K30" s="21" t="str">
        <f>_xlfn.XLOOKUP(F30,'04_Account_Mapping'!$A$6:$A$14,'04_Account_Mapping'!$D$6:$D$14,"Unmapped",0)</f>
        <v>Income</v>
      </c>
    </row>
    <row r="31" spans="1:11">
      <c r="A31" s="16">
        <v>45352</v>
      </c>
      <c r="B31" s="13">
        <v>2024</v>
      </c>
      <c r="C31" s="13">
        <v>3</v>
      </c>
      <c r="D31" s="13" t="s">
        <v>53</v>
      </c>
      <c r="E31" s="13" t="s">
        <v>54</v>
      </c>
      <c r="F31" s="13" t="s">
        <v>65</v>
      </c>
      <c r="G31" s="19">
        <v>-29.356663589657391</v>
      </c>
      <c r="H31" s="13" t="s">
        <v>59</v>
      </c>
      <c r="I31" s="13" t="s">
        <v>57</v>
      </c>
      <c r="J31" s="21" t="str">
        <f>_xlfn.XLOOKUP(F31,'04_Account_Mapping'!$A$6:$A$14,'04_Account_Mapping'!$C$6:$C$14,"Unmapped",0)</f>
        <v>Other Net</v>
      </c>
      <c r="K31" s="21" t="str">
        <f>_xlfn.XLOOKUP(F31,'04_Account_Mapping'!$A$6:$A$14,'04_Account_Mapping'!$D$6:$D$14,"Unmapped",0)</f>
        <v>Income</v>
      </c>
    </row>
    <row r="32" spans="1:11">
      <c r="A32" s="16">
        <v>45352</v>
      </c>
      <c r="B32" s="13">
        <v>2024</v>
      </c>
      <c r="C32" s="13">
        <v>3</v>
      </c>
      <c r="D32" s="13" t="s">
        <v>53</v>
      </c>
      <c r="E32" s="13" t="s">
        <v>54</v>
      </c>
      <c r="F32" s="13" t="s">
        <v>66</v>
      </c>
      <c r="G32" s="19">
        <v>-79.922303545979432</v>
      </c>
      <c r="H32" s="13" t="s">
        <v>59</v>
      </c>
      <c r="I32" s="13" t="s">
        <v>57</v>
      </c>
      <c r="J32" s="21" t="str">
        <f>_xlfn.XLOOKUP(F32,'04_Account_Mapping'!$A$6:$A$14,'04_Account_Mapping'!$C$6:$C$14,"Unmapped",0)</f>
        <v>Tax Expense</v>
      </c>
      <c r="K32" s="21" t="str">
        <f>_xlfn.XLOOKUP(F32,'04_Account_Mapping'!$A$6:$A$14,'04_Account_Mapping'!$D$6:$D$14,"Unmapped",0)</f>
        <v>Expense</v>
      </c>
    </row>
    <row r="33" spans="1:11">
      <c r="A33" s="16">
        <v>45383</v>
      </c>
      <c r="B33" s="13">
        <v>2024</v>
      </c>
      <c r="C33" s="13">
        <v>4</v>
      </c>
      <c r="D33" s="13" t="s">
        <v>53</v>
      </c>
      <c r="E33" s="13" t="s">
        <v>54</v>
      </c>
      <c r="F33" s="13" t="s">
        <v>55</v>
      </c>
      <c r="G33" s="19">
        <v>11598.01319582559</v>
      </c>
      <c r="H33" s="13" t="s">
        <v>56</v>
      </c>
      <c r="I33" s="13" t="s">
        <v>57</v>
      </c>
      <c r="J33" s="21" t="str">
        <f>_xlfn.XLOOKUP(F33,'04_Account_Mapping'!$A$6:$A$14,'04_Account_Mapping'!$C$6:$C$14,"Unmapped",0)</f>
        <v>Revenue</v>
      </c>
      <c r="K33" s="21" t="str">
        <f>_xlfn.XLOOKUP(F33,'04_Account_Mapping'!$A$6:$A$14,'04_Account_Mapping'!$D$6:$D$14,"Unmapped",0)</f>
        <v>Income</v>
      </c>
    </row>
    <row r="34" spans="1:11">
      <c r="A34" s="16">
        <v>45383</v>
      </c>
      <c r="B34" s="13">
        <v>2024</v>
      </c>
      <c r="C34" s="13">
        <v>4</v>
      </c>
      <c r="D34" s="13" t="s">
        <v>53</v>
      </c>
      <c r="E34" s="13" t="s">
        <v>54</v>
      </c>
      <c r="F34" s="13" t="s">
        <v>58</v>
      </c>
      <c r="G34" s="19">
        <v>-9223.9364919653417</v>
      </c>
      <c r="H34" s="13" t="s">
        <v>59</v>
      </c>
      <c r="I34" s="13" t="s">
        <v>57</v>
      </c>
      <c r="J34" s="21" t="str">
        <f>_xlfn.XLOOKUP(F34,'04_Account_Mapping'!$A$6:$A$14,'04_Account_Mapping'!$C$6:$C$14,"Unmapped",0)</f>
        <v>COGS</v>
      </c>
      <c r="K34" s="21" t="str">
        <f>_xlfn.XLOOKUP(F34,'04_Account_Mapping'!$A$6:$A$14,'04_Account_Mapping'!$D$6:$D$14,"Unmapped",0)</f>
        <v>Expense</v>
      </c>
    </row>
    <row r="35" spans="1:11">
      <c r="A35" s="16">
        <v>45383</v>
      </c>
      <c r="B35" s="13">
        <v>2024</v>
      </c>
      <c r="C35" s="13">
        <v>4</v>
      </c>
      <c r="D35" s="13" t="s">
        <v>53</v>
      </c>
      <c r="E35" s="13" t="s">
        <v>54</v>
      </c>
      <c r="F35" s="13" t="s">
        <v>60</v>
      </c>
      <c r="G35" s="19">
        <v>-1713.6869354806904</v>
      </c>
      <c r="H35" s="13" t="s">
        <v>59</v>
      </c>
      <c r="I35" s="13" t="s">
        <v>57</v>
      </c>
      <c r="J35" s="21" t="str">
        <f>_xlfn.XLOOKUP(F35,'04_Account_Mapping'!$A$6:$A$14,'04_Account_Mapping'!$C$6:$C$14,"Unmapped",0)</f>
        <v>Selling Expense</v>
      </c>
      <c r="K35" s="21" t="str">
        <f>_xlfn.XLOOKUP(F35,'04_Account_Mapping'!$A$6:$A$14,'04_Account_Mapping'!$D$6:$D$14,"Unmapped",0)</f>
        <v>Expense</v>
      </c>
    </row>
    <row r="36" spans="1:11">
      <c r="A36" s="16">
        <v>45383</v>
      </c>
      <c r="B36" s="13">
        <v>2024</v>
      </c>
      <c r="C36" s="13">
        <v>4</v>
      </c>
      <c r="D36" s="13" t="s">
        <v>53</v>
      </c>
      <c r="E36" s="13" t="s">
        <v>54</v>
      </c>
      <c r="F36" s="13" t="s">
        <v>61</v>
      </c>
      <c r="G36" s="19">
        <v>-307.84177897154996</v>
      </c>
      <c r="H36" s="13" t="s">
        <v>59</v>
      </c>
      <c r="I36" s="13" t="s">
        <v>57</v>
      </c>
      <c r="J36" s="21" t="str">
        <f>_xlfn.XLOOKUP(F36,'04_Account_Mapping'!$A$6:$A$14,'04_Account_Mapping'!$C$6:$C$14,"Unmapped",0)</f>
        <v>G&amp;A</v>
      </c>
      <c r="K36" s="21" t="str">
        <f>_xlfn.XLOOKUP(F36,'04_Account_Mapping'!$A$6:$A$14,'04_Account_Mapping'!$D$6:$D$14,"Unmapped",0)</f>
        <v>Expense</v>
      </c>
    </row>
    <row r="37" spans="1:11">
      <c r="A37" s="16">
        <v>45383</v>
      </c>
      <c r="B37" s="13">
        <v>2024</v>
      </c>
      <c r="C37" s="13">
        <v>4</v>
      </c>
      <c r="D37" s="13" t="s">
        <v>53</v>
      </c>
      <c r="E37" s="13" t="s">
        <v>54</v>
      </c>
      <c r="F37" s="13" t="s">
        <v>62</v>
      </c>
      <c r="G37" s="19">
        <v>205.16951054287426</v>
      </c>
      <c r="H37" s="13" t="s">
        <v>59</v>
      </c>
      <c r="I37" s="13" t="s">
        <v>57</v>
      </c>
      <c r="J37" s="21" t="str">
        <f>_xlfn.XLOOKUP(F37,'04_Account_Mapping'!$A$6:$A$14,'04_Account_Mapping'!$C$6:$C$14,"Unmapped",0)</f>
        <v>Finance Income</v>
      </c>
      <c r="K37" s="21" t="str">
        <f>_xlfn.XLOOKUP(F37,'04_Account_Mapping'!$A$6:$A$14,'04_Account_Mapping'!$D$6:$D$14,"Unmapped",0)</f>
        <v>Income</v>
      </c>
    </row>
    <row r="38" spans="1:11">
      <c r="A38" s="16">
        <v>45383</v>
      </c>
      <c r="B38" s="13">
        <v>2024</v>
      </c>
      <c r="C38" s="13">
        <v>4</v>
      </c>
      <c r="D38" s="13" t="s">
        <v>53</v>
      </c>
      <c r="E38" s="13" t="s">
        <v>54</v>
      </c>
      <c r="F38" s="13" t="s">
        <v>63</v>
      </c>
      <c r="G38" s="19">
        <v>-102.60325692898653</v>
      </c>
      <c r="H38" s="13" t="s">
        <v>59</v>
      </c>
      <c r="I38" s="13" t="s">
        <v>57</v>
      </c>
      <c r="J38" s="21" t="str">
        <f>_xlfn.XLOOKUP(F38,'04_Account_Mapping'!$A$6:$A$14,'04_Account_Mapping'!$C$6:$C$14,"Unmapped",0)</f>
        <v>Finance Expense</v>
      </c>
      <c r="K38" s="21" t="str">
        <f>_xlfn.XLOOKUP(F38,'04_Account_Mapping'!$A$6:$A$14,'04_Account_Mapping'!$D$6:$D$14,"Unmapped",0)</f>
        <v>Expense</v>
      </c>
    </row>
    <row r="39" spans="1:11">
      <c r="A39" s="16">
        <v>45383</v>
      </c>
      <c r="B39" s="13">
        <v>2024</v>
      </c>
      <c r="C39" s="13">
        <v>4</v>
      </c>
      <c r="D39" s="13" t="s">
        <v>53</v>
      </c>
      <c r="E39" s="13" t="s">
        <v>54</v>
      </c>
      <c r="F39" s="13" t="s">
        <v>64</v>
      </c>
      <c r="G39" s="19">
        <v>-3.8501253073789981</v>
      </c>
      <c r="H39" s="13" t="s">
        <v>59</v>
      </c>
      <c r="I39" s="13" t="s">
        <v>57</v>
      </c>
      <c r="J39" s="21" t="str">
        <f>_xlfn.XLOOKUP(F39,'04_Account_Mapping'!$A$6:$A$14,'04_Account_Mapping'!$C$6:$C$14,"Unmapped",0)</f>
        <v>JV Profit/(Loss)</v>
      </c>
      <c r="K39" s="21" t="str">
        <f>_xlfn.XLOOKUP(F39,'04_Account_Mapping'!$A$6:$A$14,'04_Account_Mapping'!$D$6:$D$14,"Unmapped",0)</f>
        <v>Income</v>
      </c>
    </row>
    <row r="40" spans="1:11">
      <c r="A40" s="16">
        <v>45383</v>
      </c>
      <c r="B40" s="13">
        <v>2024</v>
      </c>
      <c r="C40" s="13">
        <v>4</v>
      </c>
      <c r="D40" s="13" t="s">
        <v>53</v>
      </c>
      <c r="E40" s="13" t="s">
        <v>54</v>
      </c>
      <c r="F40" s="13" t="s">
        <v>65</v>
      </c>
      <c r="G40" s="19">
        <v>-34.643730597562723</v>
      </c>
      <c r="H40" s="13" t="s">
        <v>59</v>
      </c>
      <c r="I40" s="13" t="s">
        <v>57</v>
      </c>
      <c r="J40" s="21" t="str">
        <f>_xlfn.XLOOKUP(F40,'04_Account_Mapping'!$A$6:$A$14,'04_Account_Mapping'!$C$6:$C$14,"Unmapped",0)</f>
        <v>Other Net</v>
      </c>
      <c r="K40" s="21" t="str">
        <f>_xlfn.XLOOKUP(F40,'04_Account_Mapping'!$A$6:$A$14,'04_Account_Mapping'!$D$6:$D$14,"Unmapped",0)</f>
        <v>Income</v>
      </c>
    </row>
    <row r="41" spans="1:11">
      <c r="A41" s="16">
        <v>45383</v>
      </c>
      <c r="B41" s="13">
        <v>2024</v>
      </c>
      <c r="C41" s="13">
        <v>4</v>
      </c>
      <c r="D41" s="13" t="s">
        <v>53</v>
      </c>
      <c r="E41" s="13" t="s">
        <v>54</v>
      </c>
      <c r="F41" s="13" t="s">
        <v>66</v>
      </c>
      <c r="G41" s="19">
        <v>-94.316125002672933</v>
      </c>
      <c r="H41" s="13" t="s">
        <v>59</v>
      </c>
      <c r="I41" s="13" t="s">
        <v>57</v>
      </c>
      <c r="J41" s="21" t="str">
        <f>_xlfn.XLOOKUP(F41,'04_Account_Mapping'!$A$6:$A$14,'04_Account_Mapping'!$C$6:$C$14,"Unmapped",0)</f>
        <v>Tax Expense</v>
      </c>
      <c r="K41" s="21" t="str">
        <f>_xlfn.XLOOKUP(F41,'04_Account_Mapping'!$A$6:$A$14,'04_Account_Mapping'!$D$6:$D$14,"Unmapped",0)</f>
        <v>Expense</v>
      </c>
    </row>
    <row r="42" spans="1:11">
      <c r="A42" s="16">
        <v>45413</v>
      </c>
      <c r="B42" s="13">
        <v>2024</v>
      </c>
      <c r="C42" s="13">
        <v>5</v>
      </c>
      <c r="D42" s="13" t="s">
        <v>53</v>
      </c>
      <c r="E42" s="13" t="s">
        <v>54</v>
      </c>
      <c r="F42" s="13" t="s">
        <v>55</v>
      </c>
      <c r="G42" s="19">
        <v>11201.012744131956</v>
      </c>
      <c r="H42" s="13" t="s">
        <v>56</v>
      </c>
      <c r="I42" s="13" t="s">
        <v>57</v>
      </c>
      <c r="J42" s="21" t="str">
        <f>_xlfn.XLOOKUP(F42,'04_Account_Mapping'!$A$6:$A$14,'04_Account_Mapping'!$C$6:$C$14,"Unmapped",0)</f>
        <v>Revenue</v>
      </c>
      <c r="K42" s="21" t="str">
        <f>_xlfn.XLOOKUP(F42,'04_Account_Mapping'!$A$6:$A$14,'04_Account_Mapping'!$D$6:$D$14,"Unmapped",0)</f>
        <v>Income</v>
      </c>
    </row>
    <row r="43" spans="1:11">
      <c r="A43" s="16">
        <v>45413</v>
      </c>
      <c r="B43" s="13">
        <v>2024</v>
      </c>
      <c r="C43" s="13">
        <v>5</v>
      </c>
      <c r="D43" s="13" t="s">
        <v>53</v>
      </c>
      <c r="E43" s="13" t="s">
        <v>54</v>
      </c>
      <c r="F43" s="13" t="s">
        <v>58</v>
      </c>
      <c r="G43" s="19">
        <v>-8908.2007800054998</v>
      </c>
      <c r="H43" s="13" t="s">
        <v>59</v>
      </c>
      <c r="I43" s="13" t="s">
        <v>57</v>
      </c>
      <c r="J43" s="21" t="str">
        <f>_xlfn.XLOOKUP(F43,'04_Account_Mapping'!$A$6:$A$14,'04_Account_Mapping'!$C$6:$C$14,"Unmapped",0)</f>
        <v>COGS</v>
      </c>
      <c r="K43" s="21" t="str">
        <f>_xlfn.XLOOKUP(F43,'04_Account_Mapping'!$A$6:$A$14,'04_Account_Mapping'!$D$6:$D$14,"Unmapped",0)</f>
        <v>Expense</v>
      </c>
    </row>
    <row r="44" spans="1:11">
      <c r="A44" s="16">
        <v>45413</v>
      </c>
      <c r="B44" s="13">
        <v>2024</v>
      </c>
      <c r="C44" s="13">
        <v>5</v>
      </c>
      <c r="D44" s="13" t="s">
        <v>53</v>
      </c>
      <c r="E44" s="13" t="s">
        <v>54</v>
      </c>
      <c r="F44" s="13" t="s">
        <v>60</v>
      </c>
      <c r="G44" s="19">
        <v>-1655.0273637109167</v>
      </c>
      <c r="H44" s="13" t="s">
        <v>59</v>
      </c>
      <c r="I44" s="13" t="s">
        <v>57</v>
      </c>
      <c r="J44" s="21" t="str">
        <f>_xlfn.XLOOKUP(F44,'04_Account_Mapping'!$A$6:$A$14,'04_Account_Mapping'!$C$6:$C$14,"Unmapped",0)</f>
        <v>Selling Expense</v>
      </c>
      <c r="K44" s="21" t="str">
        <f>_xlfn.XLOOKUP(F44,'04_Account_Mapping'!$A$6:$A$14,'04_Account_Mapping'!$D$6:$D$14,"Unmapped",0)</f>
        <v>Expense</v>
      </c>
    </row>
    <row r="45" spans="1:11">
      <c r="A45" s="16">
        <v>45413</v>
      </c>
      <c r="B45" s="13">
        <v>2024</v>
      </c>
      <c r="C45" s="13">
        <v>5</v>
      </c>
      <c r="D45" s="13" t="s">
        <v>53</v>
      </c>
      <c r="E45" s="13" t="s">
        <v>54</v>
      </c>
      <c r="F45" s="13" t="s">
        <v>61</v>
      </c>
      <c r="G45" s="19">
        <v>-297.30434266772988</v>
      </c>
      <c r="H45" s="13" t="s">
        <v>59</v>
      </c>
      <c r="I45" s="13" t="s">
        <v>57</v>
      </c>
      <c r="J45" s="21" t="str">
        <f>_xlfn.XLOOKUP(F45,'04_Account_Mapping'!$A$6:$A$14,'04_Account_Mapping'!$C$6:$C$14,"Unmapped",0)</f>
        <v>G&amp;A</v>
      </c>
      <c r="K45" s="21" t="str">
        <f>_xlfn.XLOOKUP(F45,'04_Account_Mapping'!$A$6:$A$14,'04_Account_Mapping'!$D$6:$D$14,"Unmapped",0)</f>
        <v>Expense</v>
      </c>
    </row>
    <row r="46" spans="1:11">
      <c r="A46" s="16">
        <v>45413</v>
      </c>
      <c r="B46" s="13">
        <v>2024</v>
      </c>
      <c r="C46" s="13">
        <v>5</v>
      </c>
      <c r="D46" s="13" t="s">
        <v>53</v>
      </c>
      <c r="E46" s="13" t="s">
        <v>54</v>
      </c>
      <c r="F46" s="13" t="s">
        <v>62</v>
      </c>
      <c r="G46" s="19">
        <v>198.14655005955635</v>
      </c>
      <c r="H46" s="13" t="s">
        <v>59</v>
      </c>
      <c r="I46" s="13" t="s">
        <v>57</v>
      </c>
      <c r="J46" s="21" t="str">
        <f>_xlfn.XLOOKUP(F46,'04_Account_Mapping'!$A$6:$A$14,'04_Account_Mapping'!$C$6:$C$14,"Unmapped",0)</f>
        <v>Finance Income</v>
      </c>
      <c r="K46" s="21" t="str">
        <f>_xlfn.XLOOKUP(F46,'04_Account_Mapping'!$A$6:$A$14,'04_Account_Mapping'!$D$6:$D$14,"Unmapped",0)</f>
        <v>Income</v>
      </c>
    </row>
    <row r="47" spans="1:11">
      <c r="A47" s="16">
        <v>45413</v>
      </c>
      <c r="B47" s="13">
        <v>2024</v>
      </c>
      <c r="C47" s="13">
        <v>5</v>
      </c>
      <c r="D47" s="13" t="s">
        <v>53</v>
      </c>
      <c r="E47" s="13" t="s">
        <v>54</v>
      </c>
      <c r="F47" s="13" t="s">
        <v>63</v>
      </c>
      <c r="G47" s="19">
        <v>-99.091143374855832</v>
      </c>
      <c r="H47" s="13" t="s">
        <v>59</v>
      </c>
      <c r="I47" s="13" t="s">
        <v>57</v>
      </c>
      <c r="J47" s="21" t="str">
        <f>_xlfn.XLOOKUP(F47,'04_Account_Mapping'!$A$6:$A$14,'04_Account_Mapping'!$C$6:$C$14,"Unmapped",0)</f>
        <v>Finance Expense</v>
      </c>
      <c r="K47" s="21" t="str">
        <f>_xlfn.XLOOKUP(F47,'04_Account_Mapping'!$A$6:$A$14,'04_Account_Mapping'!$D$6:$D$14,"Unmapped",0)</f>
        <v>Expense</v>
      </c>
    </row>
    <row r="48" spans="1:11">
      <c r="A48" s="16">
        <v>45413</v>
      </c>
      <c r="B48" s="13">
        <v>2024</v>
      </c>
      <c r="C48" s="13">
        <v>5</v>
      </c>
      <c r="D48" s="13" t="s">
        <v>53</v>
      </c>
      <c r="E48" s="13" t="s">
        <v>54</v>
      </c>
      <c r="F48" s="13" t="s">
        <v>64</v>
      </c>
      <c r="G48" s="19">
        <v>-3.7183353654037035</v>
      </c>
      <c r="H48" s="13" t="s">
        <v>59</v>
      </c>
      <c r="I48" s="13" t="s">
        <v>57</v>
      </c>
      <c r="J48" s="21" t="str">
        <f>_xlfn.XLOOKUP(F48,'04_Account_Mapping'!$A$6:$A$14,'04_Account_Mapping'!$C$6:$C$14,"Unmapped",0)</f>
        <v>JV Profit/(Loss)</v>
      </c>
      <c r="K48" s="21" t="str">
        <f>_xlfn.XLOOKUP(F48,'04_Account_Mapping'!$A$6:$A$14,'04_Account_Mapping'!$D$6:$D$14,"Unmapped",0)</f>
        <v>Income</v>
      </c>
    </row>
    <row r="49" spans="1:11">
      <c r="A49" s="16">
        <v>45413</v>
      </c>
      <c r="B49" s="13">
        <v>2024</v>
      </c>
      <c r="C49" s="13">
        <v>5</v>
      </c>
      <c r="D49" s="13" t="s">
        <v>53</v>
      </c>
      <c r="E49" s="13" t="s">
        <v>54</v>
      </c>
      <c r="F49" s="13" t="s">
        <v>65</v>
      </c>
      <c r="G49" s="19">
        <v>-33.457874325168135</v>
      </c>
      <c r="H49" s="13" t="s">
        <v>59</v>
      </c>
      <c r="I49" s="13" t="s">
        <v>57</v>
      </c>
      <c r="J49" s="21" t="str">
        <f>_xlfn.XLOOKUP(F49,'04_Account_Mapping'!$A$6:$A$14,'04_Account_Mapping'!$C$6:$C$14,"Unmapped",0)</f>
        <v>Other Net</v>
      </c>
      <c r="K49" s="21" t="str">
        <f>_xlfn.XLOOKUP(F49,'04_Account_Mapping'!$A$6:$A$14,'04_Account_Mapping'!$D$6:$D$14,"Unmapped",0)</f>
        <v>Income</v>
      </c>
    </row>
    <row r="50" spans="1:11">
      <c r="A50" s="16">
        <v>45413</v>
      </c>
      <c r="B50" s="13">
        <v>2024</v>
      </c>
      <c r="C50" s="13">
        <v>5</v>
      </c>
      <c r="D50" s="13" t="s">
        <v>53</v>
      </c>
      <c r="E50" s="13" t="s">
        <v>54</v>
      </c>
      <c r="F50" s="13" t="s">
        <v>66</v>
      </c>
      <c r="G50" s="19">
        <v>-91.087680303064275</v>
      </c>
      <c r="H50" s="13" t="s">
        <v>59</v>
      </c>
      <c r="I50" s="13" t="s">
        <v>57</v>
      </c>
      <c r="J50" s="21" t="str">
        <f>_xlfn.XLOOKUP(F50,'04_Account_Mapping'!$A$6:$A$14,'04_Account_Mapping'!$C$6:$C$14,"Unmapped",0)</f>
        <v>Tax Expense</v>
      </c>
      <c r="K50" s="21" t="str">
        <f>_xlfn.XLOOKUP(F50,'04_Account_Mapping'!$A$6:$A$14,'04_Account_Mapping'!$D$6:$D$14,"Unmapped",0)</f>
        <v>Expense</v>
      </c>
    </row>
    <row r="51" spans="1:11">
      <c r="A51" s="16">
        <v>45444</v>
      </c>
      <c r="B51" s="13">
        <v>2024</v>
      </c>
      <c r="C51" s="13">
        <v>6</v>
      </c>
      <c r="D51" s="13" t="s">
        <v>53</v>
      </c>
      <c r="E51" s="13" t="s">
        <v>54</v>
      </c>
      <c r="F51" s="13" t="s">
        <v>55</v>
      </c>
      <c r="G51" s="19">
        <v>11381.012948930078</v>
      </c>
      <c r="H51" s="13" t="s">
        <v>56</v>
      </c>
      <c r="I51" s="13" t="s">
        <v>57</v>
      </c>
      <c r="J51" s="21" t="str">
        <f>_xlfn.XLOOKUP(F51,'04_Account_Mapping'!$A$6:$A$14,'04_Account_Mapping'!$C$6:$C$14,"Unmapped",0)</f>
        <v>Revenue</v>
      </c>
      <c r="K51" s="21" t="str">
        <f>_xlfn.XLOOKUP(F51,'04_Account_Mapping'!$A$6:$A$14,'04_Account_Mapping'!$D$6:$D$14,"Unmapped",0)</f>
        <v>Income</v>
      </c>
    </row>
    <row r="52" spans="1:11">
      <c r="A52" s="16">
        <v>45444</v>
      </c>
      <c r="B52" s="13">
        <v>2024</v>
      </c>
      <c r="C52" s="13">
        <v>6</v>
      </c>
      <c r="D52" s="13" t="s">
        <v>53</v>
      </c>
      <c r="E52" s="13" t="s">
        <v>54</v>
      </c>
      <c r="F52" s="13" t="s">
        <v>58</v>
      </c>
      <c r="G52" s="19">
        <v>-9051.3555108689052</v>
      </c>
      <c r="H52" s="13" t="s">
        <v>59</v>
      </c>
      <c r="I52" s="13" t="s">
        <v>57</v>
      </c>
      <c r="J52" s="21" t="str">
        <f>_xlfn.XLOOKUP(F52,'04_Account_Mapping'!$A$6:$A$14,'04_Account_Mapping'!$C$6:$C$14,"Unmapped",0)</f>
        <v>COGS</v>
      </c>
      <c r="K52" s="21" t="str">
        <f>_xlfn.XLOOKUP(F52,'04_Account_Mapping'!$A$6:$A$14,'04_Account_Mapping'!$D$6:$D$14,"Unmapped",0)</f>
        <v>Expense</v>
      </c>
    </row>
    <row r="53" spans="1:11">
      <c r="A53" s="16">
        <v>45444</v>
      </c>
      <c r="B53" s="13">
        <v>2024</v>
      </c>
      <c r="C53" s="13">
        <v>6</v>
      </c>
      <c r="D53" s="13" t="s">
        <v>53</v>
      </c>
      <c r="E53" s="13" t="s">
        <v>54</v>
      </c>
      <c r="F53" s="13" t="s">
        <v>60</v>
      </c>
      <c r="G53" s="19">
        <v>-1681.6236431027537</v>
      </c>
      <c r="H53" s="13" t="s">
        <v>59</v>
      </c>
      <c r="I53" s="13" t="s">
        <v>57</v>
      </c>
      <c r="J53" s="21" t="str">
        <f>_xlfn.XLOOKUP(F53,'04_Account_Mapping'!$A$6:$A$14,'04_Account_Mapping'!$C$6:$C$14,"Unmapped",0)</f>
        <v>Selling Expense</v>
      </c>
      <c r="K53" s="21" t="str">
        <f>_xlfn.XLOOKUP(F53,'04_Account_Mapping'!$A$6:$A$14,'04_Account_Mapping'!$D$6:$D$14,"Unmapped",0)</f>
        <v>Expense</v>
      </c>
    </row>
    <row r="54" spans="1:11">
      <c r="A54" s="16">
        <v>45444</v>
      </c>
      <c r="B54" s="13">
        <v>2024</v>
      </c>
      <c r="C54" s="13">
        <v>6</v>
      </c>
      <c r="D54" s="13" t="s">
        <v>53</v>
      </c>
      <c r="E54" s="13" t="s">
        <v>54</v>
      </c>
      <c r="F54" s="13" t="s">
        <v>61</v>
      </c>
      <c r="G54" s="19">
        <v>-302.08202159641405</v>
      </c>
      <c r="H54" s="13" t="s">
        <v>59</v>
      </c>
      <c r="I54" s="13" t="s">
        <v>57</v>
      </c>
      <c r="J54" s="21" t="str">
        <f>_xlfn.XLOOKUP(F54,'04_Account_Mapping'!$A$6:$A$14,'04_Account_Mapping'!$C$6:$C$14,"Unmapped",0)</f>
        <v>G&amp;A</v>
      </c>
      <c r="K54" s="21" t="str">
        <f>_xlfn.XLOOKUP(F54,'04_Account_Mapping'!$A$6:$A$14,'04_Account_Mapping'!$D$6:$D$14,"Unmapped",0)</f>
        <v>Expense</v>
      </c>
    </row>
    <row r="55" spans="1:11">
      <c r="A55" s="16">
        <v>45444</v>
      </c>
      <c r="B55" s="13">
        <v>2024</v>
      </c>
      <c r="C55" s="13">
        <v>6</v>
      </c>
      <c r="D55" s="13" t="s">
        <v>53</v>
      </c>
      <c r="E55" s="13" t="s">
        <v>54</v>
      </c>
      <c r="F55" s="13" t="s">
        <v>62</v>
      </c>
      <c r="G55" s="19">
        <v>201.33076388070808</v>
      </c>
      <c r="H55" s="13" t="s">
        <v>59</v>
      </c>
      <c r="I55" s="13" t="s">
        <v>57</v>
      </c>
      <c r="J55" s="21" t="str">
        <f>_xlfn.XLOOKUP(F55,'04_Account_Mapping'!$A$6:$A$14,'04_Account_Mapping'!$C$6:$C$14,"Unmapped",0)</f>
        <v>Finance Income</v>
      </c>
      <c r="K55" s="21" t="str">
        <f>_xlfn.XLOOKUP(F55,'04_Account_Mapping'!$A$6:$A$14,'04_Account_Mapping'!$D$6:$D$14,"Unmapped",0)</f>
        <v>Income</v>
      </c>
    </row>
    <row r="56" spans="1:11">
      <c r="A56" s="16">
        <v>45444</v>
      </c>
      <c r="B56" s="13">
        <v>2024</v>
      </c>
      <c r="C56" s="13">
        <v>6</v>
      </c>
      <c r="D56" s="13" t="s">
        <v>53</v>
      </c>
      <c r="E56" s="13" t="s">
        <v>54</v>
      </c>
      <c r="F56" s="13" t="s">
        <v>63</v>
      </c>
      <c r="G56" s="19">
        <v>-100.68353742962542</v>
      </c>
      <c r="H56" s="13" t="s">
        <v>59</v>
      </c>
      <c r="I56" s="13" t="s">
        <v>57</v>
      </c>
      <c r="J56" s="21" t="str">
        <f>_xlfn.XLOOKUP(F56,'04_Account_Mapping'!$A$6:$A$14,'04_Account_Mapping'!$C$6:$C$14,"Unmapped",0)</f>
        <v>Finance Expense</v>
      </c>
      <c r="K56" s="21" t="str">
        <f>_xlfn.XLOOKUP(F56,'04_Account_Mapping'!$A$6:$A$14,'04_Account_Mapping'!$D$6:$D$14,"Unmapped",0)</f>
        <v>Expense</v>
      </c>
    </row>
    <row r="57" spans="1:11">
      <c r="A57" s="16">
        <v>45444</v>
      </c>
      <c r="B57" s="13">
        <v>2024</v>
      </c>
      <c r="C57" s="13">
        <v>6</v>
      </c>
      <c r="D57" s="13" t="s">
        <v>53</v>
      </c>
      <c r="E57" s="13" t="s">
        <v>54</v>
      </c>
      <c r="F57" s="13" t="s">
        <v>64</v>
      </c>
      <c r="G57" s="19">
        <v>-3.7780889914882203</v>
      </c>
      <c r="H57" s="13" t="s">
        <v>59</v>
      </c>
      <c r="I57" s="13" t="s">
        <v>57</v>
      </c>
      <c r="J57" s="21" t="str">
        <f>_xlfn.XLOOKUP(F57,'04_Account_Mapping'!$A$6:$A$14,'04_Account_Mapping'!$C$6:$C$14,"Unmapped",0)</f>
        <v>JV Profit/(Loss)</v>
      </c>
      <c r="K57" s="21" t="str">
        <f>_xlfn.XLOOKUP(F57,'04_Account_Mapping'!$A$6:$A$14,'04_Account_Mapping'!$D$6:$D$14,"Unmapped",0)</f>
        <v>Income</v>
      </c>
    </row>
    <row r="58" spans="1:11">
      <c r="A58" s="16">
        <v>45444</v>
      </c>
      <c r="B58" s="13">
        <v>2024</v>
      </c>
      <c r="C58" s="13">
        <v>6</v>
      </c>
      <c r="D58" s="13" t="s">
        <v>53</v>
      </c>
      <c r="E58" s="13" t="s">
        <v>54</v>
      </c>
      <c r="F58" s="13" t="s">
        <v>65</v>
      </c>
      <c r="G58" s="19">
        <v>-33.995542156480546</v>
      </c>
      <c r="H58" s="13" t="s">
        <v>59</v>
      </c>
      <c r="I58" s="13" t="s">
        <v>57</v>
      </c>
      <c r="J58" s="21" t="str">
        <f>_xlfn.XLOOKUP(F58,'04_Account_Mapping'!$A$6:$A$14,'04_Account_Mapping'!$C$6:$C$14,"Unmapped",0)</f>
        <v>Other Net</v>
      </c>
      <c r="K58" s="21" t="str">
        <f>_xlfn.XLOOKUP(F58,'04_Account_Mapping'!$A$6:$A$14,'04_Account_Mapping'!$D$6:$D$14,"Unmapped",0)</f>
        <v>Income</v>
      </c>
    </row>
    <row r="59" spans="1:11">
      <c r="A59" s="16">
        <v>45444</v>
      </c>
      <c r="B59" s="13">
        <v>2024</v>
      </c>
      <c r="C59" s="13">
        <v>6</v>
      </c>
      <c r="D59" s="13" t="s">
        <v>53</v>
      </c>
      <c r="E59" s="13" t="s">
        <v>54</v>
      </c>
      <c r="F59" s="13" t="s">
        <v>66</v>
      </c>
      <c r="G59" s="19">
        <v>-92.551458756287346</v>
      </c>
      <c r="H59" s="13" t="s">
        <v>59</v>
      </c>
      <c r="I59" s="13" t="s">
        <v>57</v>
      </c>
      <c r="J59" s="21" t="str">
        <f>_xlfn.XLOOKUP(F59,'04_Account_Mapping'!$A$6:$A$14,'04_Account_Mapping'!$C$6:$C$14,"Unmapped",0)</f>
        <v>Tax Expense</v>
      </c>
      <c r="K59" s="21" t="str">
        <f>_xlfn.XLOOKUP(F59,'04_Account_Mapping'!$A$6:$A$14,'04_Account_Mapping'!$D$6:$D$14,"Unmapped",0)</f>
        <v>Expense</v>
      </c>
    </row>
    <row r="60" spans="1:11">
      <c r="A60" s="16">
        <v>45474</v>
      </c>
      <c r="B60" s="13">
        <v>2024</v>
      </c>
      <c r="C60" s="13">
        <v>7</v>
      </c>
      <c r="D60" s="13" t="s">
        <v>53</v>
      </c>
      <c r="E60" s="13" t="s">
        <v>54</v>
      </c>
      <c r="F60" s="13" t="s">
        <v>55</v>
      </c>
      <c r="G60" s="19">
        <v>10920.012424419334</v>
      </c>
      <c r="H60" s="13" t="s">
        <v>56</v>
      </c>
      <c r="I60" s="13" t="s">
        <v>57</v>
      </c>
      <c r="J60" s="21" t="str">
        <f>_xlfn.XLOOKUP(F60,'04_Account_Mapping'!$A$6:$A$14,'04_Account_Mapping'!$C$6:$C$14,"Unmapped",0)</f>
        <v>Revenue</v>
      </c>
      <c r="K60" s="21" t="str">
        <f>_xlfn.XLOOKUP(F60,'04_Account_Mapping'!$A$6:$A$14,'04_Account_Mapping'!$D$6:$D$14,"Unmapped",0)</f>
        <v>Income</v>
      </c>
    </row>
    <row r="61" spans="1:11">
      <c r="A61" s="16">
        <v>45474</v>
      </c>
      <c r="B61" s="13">
        <v>2024</v>
      </c>
      <c r="C61" s="13">
        <v>7</v>
      </c>
      <c r="D61" s="13" t="s">
        <v>53</v>
      </c>
      <c r="E61" s="13" t="s">
        <v>54</v>
      </c>
      <c r="F61" s="13" t="s">
        <v>58</v>
      </c>
      <c r="G61" s="19">
        <v>-8684.7203390465202</v>
      </c>
      <c r="H61" s="13" t="s">
        <v>59</v>
      </c>
      <c r="I61" s="13" t="s">
        <v>57</v>
      </c>
      <c r="J61" s="21" t="str">
        <f>_xlfn.XLOOKUP(F61,'04_Account_Mapping'!$A$6:$A$14,'04_Account_Mapping'!$C$6:$C$14,"Unmapped",0)</f>
        <v>COGS</v>
      </c>
      <c r="K61" s="21" t="str">
        <f>_xlfn.XLOOKUP(F61,'04_Account_Mapping'!$A$6:$A$14,'04_Account_Mapping'!$D$6:$D$14,"Unmapped",0)</f>
        <v>Expense</v>
      </c>
    </row>
    <row r="62" spans="1:11">
      <c r="A62" s="16">
        <v>45474</v>
      </c>
      <c r="B62" s="13">
        <v>2024</v>
      </c>
      <c r="C62" s="13">
        <v>7</v>
      </c>
      <c r="D62" s="13" t="s">
        <v>53</v>
      </c>
      <c r="E62" s="13" t="s">
        <v>54</v>
      </c>
      <c r="F62" s="13" t="s">
        <v>60</v>
      </c>
      <c r="G62" s="19">
        <v>-1613.5076164381048</v>
      </c>
      <c r="H62" s="13" t="s">
        <v>59</v>
      </c>
      <c r="I62" s="13" t="s">
        <v>57</v>
      </c>
      <c r="J62" s="21" t="str">
        <f>_xlfn.XLOOKUP(F62,'04_Account_Mapping'!$A$6:$A$14,'04_Account_Mapping'!$C$6:$C$14,"Unmapped",0)</f>
        <v>Selling Expense</v>
      </c>
      <c r="K62" s="21" t="str">
        <f>_xlfn.XLOOKUP(F62,'04_Account_Mapping'!$A$6:$A$14,'04_Account_Mapping'!$D$6:$D$14,"Unmapped",0)</f>
        <v>Expense</v>
      </c>
    </row>
    <row r="63" spans="1:11">
      <c r="A63" s="16">
        <v>45474</v>
      </c>
      <c r="B63" s="13">
        <v>2024</v>
      </c>
      <c r="C63" s="13">
        <v>7</v>
      </c>
      <c r="D63" s="13" t="s">
        <v>53</v>
      </c>
      <c r="E63" s="13" t="s">
        <v>54</v>
      </c>
      <c r="F63" s="13" t="s">
        <v>61</v>
      </c>
      <c r="G63" s="19">
        <v>-289.8458550068396</v>
      </c>
      <c r="H63" s="13" t="s">
        <v>59</v>
      </c>
      <c r="I63" s="13" t="s">
        <v>57</v>
      </c>
      <c r="J63" s="21" t="str">
        <f>_xlfn.XLOOKUP(F63,'04_Account_Mapping'!$A$6:$A$14,'04_Account_Mapping'!$C$6:$C$14,"Unmapped",0)</f>
        <v>G&amp;A</v>
      </c>
      <c r="K63" s="21" t="str">
        <f>_xlfn.XLOOKUP(F63,'04_Account_Mapping'!$A$6:$A$14,'04_Account_Mapping'!$D$6:$D$14,"Unmapped",0)</f>
        <v>Expense</v>
      </c>
    </row>
    <row r="64" spans="1:11">
      <c r="A64" s="16">
        <v>45474</v>
      </c>
      <c r="B64" s="13">
        <v>2024</v>
      </c>
      <c r="C64" s="13">
        <v>7</v>
      </c>
      <c r="D64" s="13" t="s">
        <v>53</v>
      </c>
      <c r="E64" s="13" t="s">
        <v>54</v>
      </c>
      <c r="F64" s="13" t="s">
        <v>62</v>
      </c>
      <c r="G64" s="19">
        <v>193.17563848320287</v>
      </c>
      <c r="H64" s="13" t="s">
        <v>59</v>
      </c>
      <c r="I64" s="13" t="s">
        <v>57</v>
      </c>
      <c r="J64" s="21" t="str">
        <f>_xlfn.XLOOKUP(F64,'04_Account_Mapping'!$A$6:$A$14,'04_Account_Mapping'!$C$6:$C$14,"Unmapped",0)</f>
        <v>Finance Income</v>
      </c>
      <c r="K64" s="21" t="str">
        <f>_xlfn.XLOOKUP(F64,'04_Account_Mapping'!$A$6:$A$14,'04_Account_Mapping'!$D$6:$D$14,"Unmapped",0)</f>
        <v>Income</v>
      </c>
    </row>
    <row r="65" spans="1:11">
      <c r="A65" s="16">
        <v>45474</v>
      </c>
      <c r="B65" s="13">
        <v>2024</v>
      </c>
      <c r="C65" s="13">
        <v>7</v>
      </c>
      <c r="D65" s="13" t="s">
        <v>53</v>
      </c>
      <c r="E65" s="13" t="s">
        <v>54</v>
      </c>
      <c r="F65" s="13" t="s">
        <v>63</v>
      </c>
      <c r="G65" s="19">
        <v>-96.60523932268778</v>
      </c>
      <c r="H65" s="13" t="s">
        <v>59</v>
      </c>
      <c r="I65" s="13" t="s">
        <v>57</v>
      </c>
      <c r="J65" s="21" t="str">
        <f>_xlfn.XLOOKUP(F65,'04_Account_Mapping'!$A$6:$A$14,'04_Account_Mapping'!$C$6:$C$14,"Unmapped",0)</f>
        <v>Finance Expense</v>
      </c>
      <c r="K65" s="21" t="str">
        <f>_xlfn.XLOOKUP(F65,'04_Account_Mapping'!$A$6:$A$14,'04_Account_Mapping'!$D$6:$D$14,"Unmapped",0)</f>
        <v>Expense</v>
      </c>
    </row>
    <row r="66" spans="1:11">
      <c r="A66" s="16">
        <v>45474</v>
      </c>
      <c r="B66" s="13">
        <v>2024</v>
      </c>
      <c r="C66" s="13">
        <v>7</v>
      </c>
      <c r="D66" s="13" t="s">
        <v>53</v>
      </c>
      <c r="E66" s="13" t="s">
        <v>54</v>
      </c>
      <c r="F66" s="13" t="s">
        <v>64</v>
      </c>
      <c r="G66" s="19">
        <v>-3.6250533157939868</v>
      </c>
      <c r="H66" s="13" t="s">
        <v>59</v>
      </c>
      <c r="I66" s="13" t="s">
        <v>57</v>
      </c>
      <c r="J66" s="21" t="str">
        <f>_xlfn.XLOOKUP(F66,'04_Account_Mapping'!$A$6:$A$14,'04_Account_Mapping'!$C$6:$C$14,"Unmapped",0)</f>
        <v>JV Profit/(Loss)</v>
      </c>
      <c r="K66" s="21" t="str">
        <f>_xlfn.XLOOKUP(F66,'04_Account_Mapping'!$A$6:$A$14,'04_Account_Mapping'!$D$6:$D$14,"Unmapped",0)</f>
        <v>Income</v>
      </c>
    </row>
    <row r="67" spans="1:11">
      <c r="A67" s="16">
        <v>45474</v>
      </c>
      <c r="B67" s="13">
        <v>2024</v>
      </c>
      <c r="C67" s="13">
        <v>7</v>
      </c>
      <c r="D67" s="13" t="s">
        <v>53</v>
      </c>
      <c r="E67" s="13" t="s">
        <v>54</v>
      </c>
      <c r="F67" s="13" t="s">
        <v>65</v>
      </c>
      <c r="G67" s="19">
        <v>-32.618515099619323</v>
      </c>
      <c r="H67" s="13" t="s">
        <v>59</v>
      </c>
      <c r="I67" s="13" t="s">
        <v>57</v>
      </c>
      <c r="J67" s="21" t="str">
        <f>_xlfn.XLOOKUP(F67,'04_Account_Mapping'!$A$6:$A$14,'04_Account_Mapping'!$C$6:$C$14,"Unmapped",0)</f>
        <v>Other Net</v>
      </c>
      <c r="K67" s="21" t="str">
        <f>_xlfn.XLOOKUP(F67,'04_Account_Mapping'!$A$6:$A$14,'04_Account_Mapping'!$D$6:$D$14,"Unmapped",0)</f>
        <v>Income</v>
      </c>
    </row>
    <row r="68" spans="1:11">
      <c r="A68" s="16">
        <v>45474</v>
      </c>
      <c r="B68" s="13">
        <v>2024</v>
      </c>
      <c r="C68" s="13">
        <v>7</v>
      </c>
      <c r="D68" s="13" t="s">
        <v>53</v>
      </c>
      <c r="E68" s="13" t="s">
        <v>54</v>
      </c>
      <c r="F68" s="13" t="s">
        <v>66</v>
      </c>
      <c r="G68" s="19">
        <v>-88.802559495532705</v>
      </c>
      <c r="H68" s="13" t="s">
        <v>59</v>
      </c>
      <c r="I68" s="13" t="s">
        <v>57</v>
      </c>
      <c r="J68" s="21" t="str">
        <f>_xlfn.XLOOKUP(F68,'04_Account_Mapping'!$A$6:$A$14,'04_Account_Mapping'!$C$6:$C$14,"Unmapped",0)</f>
        <v>Tax Expense</v>
      </c>
      <c r="K68" s="21" t="str">
        <f>_xlfn.XLOOKUP(F68,'04_Account_Mapping'!$A$6:$A$14,'04_Account_Mapping'!$D$6:$D$14,"Unmapped",0)</f>
        <v>Expense</v>
      </c>
    </row>
    <row r="69" spans="1:11">
      <c r="A69" s="16">
        <v>45505</v>
      </c>
      <c r="B69" s="13">
        <v>2024</v>
      </c>
      <c r="C69" s="13">
        <v>8</v>
      </c>
      <c r="D69" s="13" t="s">
        <v>53</v>
      </c>
      <c r="E69" s="13" t="s">
        <v>54</v>
      </c>
      <c r="F69" s="13" t="s">
        <v>55</v>
      </c>
      <c r="G69" s="19">
        <v>11426.013000129607</v>
      </c>
      <c r="H69" s="13" t="s">
        <v>56</v>
      </c>
      <c r="I69" s="13" t="s">
        <v>57</v>
      </c>
      <c r="J69" s="21" t="str">
        <f>_xlfn.XLOOKUP(F69,'04_Account_Mapping'!$A$6:$A$14,'04_Account_Mapping'!$C$6:$C$14,"Unmapped",0)</f>
        <v>Revenue</v>
      </c>
      <c r="K69" s="21" t="str">
        <f>_xlfn.XLOOKUP(F69,'04_Account_Mapping'!$A$6:$A$14,'04_Account_Mapping'!$D$6:$D$14,"Unmapped",0)</f>
        <v>Income</v>
      </c>
    </row>
    <row r="70" spans="1:11">
      <c r="A70" s="16">
        <v>45505</v>
      </c>
      <c r="B70" s="13">
        <v>2024</v>
      </c>
      <c r="C70" s="13">
        <v>8</v>
      </c>
      <c r="D70" s="13" t="s">
        <v>53</v>
      </c>
      <c r="E70" s="13" t="s">
        <v>54</v>
      </c>
      <c r="F70" s="13" t="s">
        <v>58</v>
      </c>
      <c r="G70" s="19">
        <v>-9087.1441935847542</v>
      </c>
      <c r="H70" s="13" t="s">
        <v>59</v>
      </c>
      <c r="I70" s="13" t="s">
        <v>57</v>
      </c>
      <c r="J70" s="21" t="str">
        <f>_xlfn.XLOOKUP(F70,'04_Account_Mapping'!$A$6:$A$14,'04_Account_Mapping'!$C$6:$C$14,"Unmapped",0)</f>
        <v>COGS</v>
      </c>
      <c r="K70" s="21" t="str">
        <f>_xlfn.XLOOKUP(F70,'04_Account_Mapping'!$A$6:$A$14,'04_Account_Mapping'!$D$6:$D$14,"Unmapped",0)</f>
        <v>Expense</v>
      </c>
    </row>
    <row r="71" spans="1:11">
      <c r="A71" s="16">
        <v>45505</v>
      </c>
      <c r="B71" s="13">
        <v>2024</v>
      </c>
      <c r="C71" s="13">
        <v>8</v>
      </c>
      <c r="D71" s="13" t="s">
        <v>53</v>
      </c>
      <c r="E71" s="13" t="s">
        <v>54</v>
      </c>
      <c r="F71" s="13" t="s">
        <v>60</v>
      </c>
      <c r="G71" s="19">
        <v>-1688.2727129507127</v>
      </c>
      <c r="H71" s="13" t="s">
        <v>59</v>
      </c>
      <c r="I71" s="13" t="s">
        <v>57</v>
      </c>
      <c r="J71" s="21" t="str">
        <f>_xlfn.XLOOKUP(F71,'04_Account_Mapping'!$A$6:$A$14,'04_Account_Mapping'!$C$6:$C$14,"Unmapped",0)</f>
        <v>Selling Expense</v>
      </c>
      <c r="K71" s="21" t="str">
        <f>_xlfn.XLOOKUP(F71,'04_Account_Mapping'!$A$6:$A$14,'04_Account_Mapping'!$D$6:$D$14,"Unmapped",0)</f>
        <v>Expense</v>
      </c>
    </row>
    <row r="72" spans="1:11">
      <c r="A72" s="16">
        <v>45505</v>
      </c>
      <c r="B72" s="13">
        <v>2024</v>
      </c>
      <c r="C72" s="13">
        <v>8</v>
      </c>
      <c r="D72" s="13" t="s">
        <v>53</v>
      </c>
      <c r="E72" s="13" t="s">
        <v>54</v>
      </c>
      <c r="F72" s="13" t="s">
        <v>61</v>
      </c>
      <c r="G72" s="19">
        <v>-303.27644132858507</v>
      </c>
      <c r="H72" s="13" t="s">
        <v>59</v>
      </c>
      <c r="I72" s="13" t="s">
        <v>57</v>
      </c>
      <c r="J72" s="21" t="str">
        <f>_xlfn.XLOOKUP(F72,'04_Account_Mapping'!$A$6:$A$14,'04_Account_Mapping'!$C$6:$C$14,"Unmapped",0)</f>
        <v>G&amp;A</v>
      </c>
      <c r="K72" s="21" t="str">
        <f>_xlfn.XLOOKUP(F72,'04_Account_Mapping'!$A$6:$A$14,'04_Account_Mapping'!$D$6:$D$14,"Unmapped",0)</f>
        <v>Expense</v>
      </c>
    </row>
    <row r="73" spans="1:11">
      <c r="A73" s="16">
        <v>45505</v>
      </c>
      <c r="B73" s="13">
        <v>2024</v>
      </c>
      <c r="C73" s="13">
        <v>8</v>
      </c>
      <c r="D73" s="13" t="s">
        <v>53</v>
      </c>
      <c r="E73" s="13" t="s">
        <v>54</v>
      </c>
      <c r="F73" s="13" t="s">
        <v>62</v>
      </c>
      <c r="G73" s="19">
        <v>202.12681733599595</v>
      </c>
      <c r="H73" s="13" t="s">
        <v>59</v>
      </c>
      <c r="I73" s="13" t="s">
        <v>57</v>
      </c>
      <c r="J73" s="21" t="str">
        <f>_xlfn.XLOOKUP(F73,'04_Account_Mapping'!$A$6:$A$14,'04_Account_Mapping'!$C$6:$C$14,"Unmapped",0)</f>
        <v>Finance Income</v>
      </c>
      <c r="K73" s="21" t="str">
        <f>_xlfn.XLOOKUP(F73,'04_Account_Mapping'!$A$6:$A$14,'04_Account_Mapping'!$D$6:$D$14,"Unmapped",0)</f>
        <v>Income</v>
      </c>
    </row>
    <row r="74" spans="1:11">
      <c r="A74" s="16">
        <v>45505</v>
      </c>
      <c r="B74" s="13">
        <v>2024</v>
      </c>
      <c r="C74" s="13">
        <v>8</v>
      </c>
      <c r="D74" s="13" t="s">
        <v>53</v>
      </c>
      <c r="E74" s="13" t="s">
        <v>54</v>
      </c>
      <c r="F74" s="13" t="s">
        <v>63</v>
      </c>
      <c r="G74" s="19">
        <v>-101.08163594331779</v>
      </c>
      <c r="H74" s="13" t="s">
        <v>59</v>
      </c>
      <c r="I74" s="13" t="s">
        <v>57</v>
      </c>
      <c r="J74" s="21" t="str">
        <f>_xlfn.XLOOKUP(F74,'04_Account_Mapping'!$A$6:$A$14,'04_Account_Mapping'!$C$6:$C$14,"Unmapped",0)</f>
        <v>Finance Expense</v>
      </c>
      <c r="K74" s="21" t="str">
        <f>_xlfn.XLOOKUP(F74,'04_Account_Mapping'!$A$6:$A$14,'04_Account_Mapping'!$D$6:$D$14,"Unmapped",0)</f>
        <v>Expense</v>
      </c>
    </row>
    <row r="75" spans="1:11">
      <c r="A75" s="16">
        <v>45505</v>
      </c>
      <c r="B75" s="13">
        <v>2024</v>
      </c>
      <c r="C75" s="13">
        <v>8</v>
      </c>
      <c r="D75" s="13" t="s">
        <v>53</v>
      </c>
      <c r="E75" s="13" t="s">
        <v>54</v>
      </c>
      <c r="F75" s="13" t="s">
        <v>64</v>
      </c>
      <c r="G75" s="19">
        <v>-3.7930273980093485</v>
      </c>
      <c r="H75" s="13" t="s">
        <v>59</v>
      </c>
      <c r="I75" s="13" t="s">
        <v>57</v>
      </c>
      <c r="J75" s="21" t="str">
        <f>_xlfn.XLOOKUP(F75,'04_Account_Mapping'!$A$6:$A$14,'04_Account_Mapping'!$C$6:$C$14,"Unmapped",0)</f>
        <v>JV Profit/(Loss)</v>
      </c>
      <c r="K75" s="21" t="str">
        <f>_xlfn.XLOOKUP(F75,'04_Account_Mapping'!$A$6:$A$14,'04_Account_Mapping'!$D$6:$D$14,"Unmapped",0)</f>
        <v>Income</v>
      </c>
    </row>
    <row r="76" spans="1:11">
      <c r="A76" s="16">
        <v>45505</v>
      </c>
      <c r="B76" s="13">
        <v>2024</v>
      </c>
      <c r="C76" s="13">
        <v>8</v>
      </c>
      <c r="D76" s="13" t="s">
        <v>53</v>
      </c>
      <c r="E76" s="13" t="s">
        <v>54</v>
      </c>
      <c r="F76" s="13" t="s">
        <v>65</v>
      </c>
      <c r="G76" s="19">
        <v>-34.12995911430864</v>
      </c>
      <c r="H76" s="13" t="s">
        <v>59</v>
      </c>
      <c r="I76" s="13" t="s">
        <v>57</v>
      </c>
      <c r="J76" s="21" t="str">
        <f>_xlfn.XLOOKUP(F76,'04_Account_Mapping'!$A$6:$A$14,'04_Account_Mapping'!$C$6:$C$14,"Unmapped",0)</f>
        <v>Other Net</v>
      </c>
      <c r="K76" s="21" t="str">
        <f>_xlfn.XLOOKUP(F76,'04_Account_Mapping'!$A$6:$A$14,'04_Account_Mapping'!$D$6:$D$14,"Unmapped",0)</f>
        <v>Income</v>
      </c>
    </row>
    <row r="77" spans="1:11">
      <c r="A77" s="16">
        <v>45505</v>
      </c>
      <c r="B77" s="13">
        <v>2024</v>
      </c>
      <c r="C77" s="13">
        <v>8</v>
      </c>
      <c r="D77" s="13" t="s">
        <v>53</v>
      </c>
      <c r="E77" s="13" t="s">
        <v>54</v>
      </c>
      <c r="F77" s="13" t="s">
        <v>66</v>
      </c>
      <c r="G77" s="19">
        <v>-92.917403369593103</v>
      </c>
      <c r="H77" s="13" t="s">
        <v>59</v>
      </c>
      <c r="I77" s="13" t="s">
        <v>57</v>
      </c>
      <c r="J77" s="21" t="str">
        <f>_xlfn.XLOOKUP(F77,'04_Account_Mapping'!$A$6:$A$14,'04_Account_Mapping'!$C$6:$C$14,"Unmapped",0)</f>
        <v>Tax Expense</v>
      </c>
      <c r="K77" s="21" t="str">
        <f>_xlfn.XLOOKUP(F77,'04_Account_Mapping'!$A$6:$A$14,'04_Account_Mapping'!$D$6:$D$14,"Unmapped",0)</f>
        <v>Expense</v>
      </c>
    </row>
    <row r="78" spans="1:11">
      <c r="A78" s="16">
        <v>45536</v>
      </c>
      <c r="B78" s="13">
        <v>2024</v>
      </c>
      <c r="C78" s="13">
        <v>9</v>
      </c>
      <c r="D78" s="13" t="s">
        <v>53</v>
      </c>
      <c r="E78" s="13" t="s">
        <v>54</v>
      </c>
      <c r="F78" s="13" t="s">
        <v>55</v>
      </c>
      <c r="G78" s="19">
        <v>11800.013425654592</v>
      </c>
      <c r="H78" s="13" t="s">
        <v>56</v>
      </c>
      <c r="I78" s="13" t="s">
        <v>57</v>
      </c>
      <c r="J78" s="21" t="str">
        <f>_xlfn.XLOOKUP(F78,'04_Account_Mapping'!$A$6:$A$14,'04_Account_Mapping'!$C$6:$C$14,"Unmapped",0)</f>
        <v>Revenue</v>
      </c>
      <c r="K78" s="21" t="str">
        <f>_xlfn.XLOOKUP(F78,'04_Account_Mapping'!$A$6:$A$14,'04_Account_Mapping'!$D$6:$D$14,"Unmapped",0)</f>
        <v>Income</v>
      </c>
    </row>
    <row r="79" spans="1:11">
      <c r="A79" s="16">
        <v>45536</v>
      </c>
      <c r="B79" s="13">
        <v>2024</v>
      </c>
      <c r="C79" s="13">
        <v>9</v>
      </c>
      <c r="D79" s="13" t="s">
        <v>53</v>
      </c>
      <c r="E79" s="13" t="s">
        <v>54</v>
      </c>
      <c r="F79" s="13" t="s">
        <v>58</v>
      </c>
      <c r="G79" s="19">
        <v>-9384.587912156494</v>
      </c>
      <c r="H79" s="13" t="s">
        <v>59</v>
      </c>
      <c r="I79" s="13" t="s">
        <v>57</v>
      </c>
      <c r="J79" s="21" t="str">
        <f>_xlfn.XLOOKUP(F79,'04_Account_Mapping'!$A$6:$A$14,'04_Account_Mapping'!$C$6:$C$14,"Unmapped",0)</f>
        <v>COGS</v>
      </c>
      <c r="K79" s="21" t="str">
        <f>_xlfn.XLOOKUP(F79,'04_Account_Mapping'!$A$6:$A$14,'04_Account_Mapping'!$D$6:$D$14,"Unmapped",0)</f>
        <v>Expense</v>
      </c>
    </row>
    <row r="80" spans="1:11">
      <c r="A80" s="16">
        <v>45536</v>
      </c>
      <c r="B80" s="13">
        <v>2024</v>
      </c>
      <c r="C80" s="13">
        <v>9</v>
      </c>
      <c r="D80" s="13" t="s">
        <v>53</v>
      </c>
      <c r="E80" s="13" t="s">
        <v>54</v>
      </c>
      <c r="F80" s="13" t="s">
        <v>60</v>
      </c>
      <c r="G80" s="19">
        <v>-1743.5338712426405</v>
      </c>
      <c r="H80" s="13" t="s">
        <v>59</v>
      </c>
      <c r="I80" s="13" t="s">
        <v>57</v>
      </c>
      <c r="J80" s="21" t="str">
        <f>_xlfn.XLOOKUP(F80,'04_Account_Mapping'!$A$6:$A$14,'04_Account_Mapping'!$C$6:$C$14,"Unmapped",0)</f>
        <v>Selling Expense</v>
      </c>
      <c r="K80" s="21" t="str">
        <f>_xlfn.XLOOKUP(F80,'04_Account_Mapping'!$A$6:$A$14,'04_Account_Mapping'!$D$6:$D$14,"Unmapped",0)</f>
        <v>Expense</v>
      </c>
    </row>
    <row r="81" spans="1:11">
      <c r="A81" s="16">
        <v>45536</v>
      </c>
      <c r="B81" s="13">
        <v>2024</v>
      </c>
      <c r="C81" s="13">
        <v>9</v>
      </c>
      <c r="D81" s="13" t="s">
        <v>53</v>
      </c>
      <c r="E81" s="13" t="s">
        <v>54</v>
      </c>
      <c r="F81" s="13" t="s">
        <v>61</v>
      </c>
      <c r="G81" s="19">
        <v>-313.20339643596219</v>
      </c>
      <c r="H81" s="13" t="s">
        <v>59</v>
      </c>
      <c r="I81" s="13" t="s">
        <v>57</v>
      </c>
      <c r="J81" s="21" t="str">
        <f>_xlfn.XLOOKUP(F81,'04_Account_Mapping'!$A$6:$A$14,'04_Account_Mapping'!$C$6:$C$14,"Unmapped",0)</f>
        <v>G&amp;A</v>
      </c>
      <c r="K81" s="21" t="str">
        <f>_xlfn.XLOOKUP(F81,'04_Account_Mapping'!$A$6:$A$14,'04_Account_Mapping'!$D$6:$D$14,"Unmapped",0)</f>
        <v>Expense</v>
      </c>
    </row>
    <row r="82" spans="1:11">
      <c r="A82" s="16">
        <v>45536</v>
      </c>
      <c r="B82" s="13">
        <v>2024</v>
      </c>
      <c r="C82" s="13">
        <v>9</v>
      </c>
      <c r="D82" s="13" t="s">
        <v>53</v>
      </c>
      <c r="E82" s="13" t="s">
        <v>54</v>
      </c>
      <c r="F82" s="13" t="s">
        <v>62</v>
      </c>
      <c r="G82" s="19">
        <v>208.74290605327781</v>
      </c>
      <c r="H82" s="13" t="s">
        <v>59</v>
      </c>
      <c r="I82" s="13" t="s">
        <v>57</v>
      </c>
      <c r="J82" s="21" t="str">
        <f>_xlfn.XLOOKUP(F82,'04_Account_Mapping'!$A$6:$A$14,'04_Account_Mapping'!$C$6:$C$14,"Unmapped",0)</f>
        <v>Finance Income</v>
      </c>
      <c r="K82" s="21" t="str">
        <f>_xlfn.XLOOKUP(F82,'04_Account_Mapping'!$A$6:$A$14,'04_Account_Mapping'!$D$6:$D$14,"Unmapped",0)</f>
        <v>Income</v>
      </c>
    </row>
    <row r="83" spans="1:11">
      <c r="A83" s="16">
        <v>45536</v>
      </c>
      <c r="B83" s="13">
        <v>2024</v>
      </c>
      <c r="C83" s="13">
        <v>9</v>
      </c>
      <c r="D83" s="13" t="s">
        <v>53</v>
      </c>
      <c r="E83" s="13" t="s">
        <v>54</v>
      </c>
      <c r="F83" s="13" t="s">
        <v>63</v>
      </c>
      <c r="G83" s="19">
        <v>-104.39027692378347</v>
      </c>
      <c r="H83" s="13" t="s">
        <v>59</v>
      </c>
      <c r="I83" s="13" t="s">
        <v>57</v>
      </c>
      <c r="J83" s="21" t="str">
        <f>_xlfn.XLOOKUP(F83,'04_Account_Mapping'!$A$6:$A$14,'04_Account_Mapping'!$C$6:$C$14,"Unmapped",0)</f>
        <v>Finance Expense</v>
      </c>
      <c r="K83" s="21" t="str">
        <f>_xlfn.XLOOKUP(F83,'04_Account_Mapping'!$A$6:$A$14,'04_Account_Mapping'!$D$6:$D$14,"Unmapped",0)</f>
        <v>Expense</v>
      </c>
    </row>
    <row r="84" spans="1:11">
      <c r="A84" s="16">
        <v>45536</v>
      </c>
      <c r="B84" s="13">
        <v>2024</v>
      </c>
      <c r="C84" s="13">
        <v>9</v>
      </c>
      <c r="D84" s="13" t="s">
        <v>53</v>
      </c>
      <c r="E84" s="13" t="s">
        <v>54</v>
      </c>
      <c r="F84" s="13" t="s">
        <v>64</v>
      </c>
      <c r="G84" s="19">
        <v>-3.917182154429399</v>
      </c>
      <c r="H84" s="13" t="s">
        <v>59</v>
      </c>
      <c r="I84" s="13" t="s">
        <v>57</v>
      </c>
      <c r="J84" s="21" t="str">
        <f>_xlfn.XLOOKUP(F84,'04_Account_Mapping'!$A$6:$A$14,'04_Account_Mapping'!$C$6:$C$14,"Unmapped",0)</f>
        <v>JV Profit/(Loss)</v>
      </c>
      <c r="K84" s="21" t="str">
        <f>_xlfn.XLOOKUP(F84,'04_Account_Mapping'!$A$6:$A$14,'04_Account_Mapping'!$D$6:$D$14,"Unmapped",0)</f>
        <v>Income</v>
      </c>
    </row>
    <row r="85" spans="1:11">
      <c r="A85" s="16">
        <v>45536</v>
      </c>
      <c r="B85" s="13">
        <v>2024</v>
      </c>
      <c r="C85" s="13">
        <v>9</v>
      </c>
      <c r="D85" s="13" t="s">
        <v>53</v>
      </c>
      <c r="E85" s="13" t="s">
        <v>54</v>
      </c>
      <c r="F85" s="13" t="s">
        <v>65</v>
      </c>
      <c r="G85" s="19">
        <v>-35.247113386035529</v>
      </c>
      <c r="H85" s="13" t="s">
        <v>59</v>
      </c>
      <c r="I85" s="13" t="s">
        <v>57</v>
      </c>
      <c r="J85" s="21" t="str">
        <f>_xlfn.XLOOKUP(F85,'04_Account_Mapping'!$A$6:$A$14,'04_Account_Mapping'!$C$6:$C$14,"Unmapped",0)</f>
        <v>Other Net</v>
      </c>
      <c r="K85" s="21" t="str">
        <f>_xlfn.XLOOKUP(F85,'04_Account_Mapping'!$A$6:$A$14,'04_Account_Mapping'!$D$6:$D$14,"Unmapped",0)</f>
        <v>Income</v>
      </c>
    </row>
    <row r="86" spans="1:11">
      <c r="A86" s="16">
        <v>45536</v>
      </c>
      <c r="B86" s="13">
        <v>2024</v>
      </c>
      <c r="C86" s="13">
        <v>9</v>
      </c>
      <c r="D86" s="13" t="s">
        <v>53</v>
      </c>
      <c r="E86" s="13" t="s">
        <v>54</v>
      </c>
      <c r="F86" s="13" t="s">
        <v>66</v>
      </c>
      <c r="G86" s="19">
        <v>-95.958809711289916</v>
      </c>
      <c r="H86" s="13" t="s">
        <v>59</v>
      </c>
      <c r="I86" s="13" t="s">
        <v>57</v>
      </c>
      <c r="J86" s="21" t="str">
        <f>_xlfn.XLOOKUP(F86,'04_Account_Mapping'!$A$6:$A$14,'04_Account_Mapping'!$C$6:$C$14,"Unmapped",0)</f>
        <v>Tax Expense</v>
      </c>
      <c r="K86" s="21" t="str">
        <f>_xlfn.XLOOKUP(F86,'04_Account_Mapping'!$A$6:$A$14,'04_Account_Mapping'!$D$6:$D$14,"Unmapped",0)</f>
        <v>Expense</v>
      </c>
    </row>
    <row r="87" spans="1:11">
      <c r="A87" s="16">
        <v>45566</v>
      </c>
      <c r="B87" s="13">
        <v>2024</v>
      </c>
      <c r="C87" s="13">
        <v>10</v>
      </c>
      <c r="D87" s="13" t="s">
        <v>53</v>
      </c>
      <c r="E87" s="13" t="s">
        <v>54</v>
      </c>
      <c r="F87" s="13" t="s">
        <v>55</v>
      </c>
      <c r="G87" s="19">
        <v>11586.013182172383</v>
      </c>
      <c r="H87" s="13" t="s">
        <v>56</v>
      </c>
      <c r="I87" s="13" t="s">
        <v>57</v>
      </c>
      <c r="J87" s="21" t="str">
        <f>_xlfn.XLOOKUP(F87,'04_Account_Mapping'!$A$6:$A$14,'04_Account_Mapping'!$C$6:$C$14,"Unmapped",0)</f>
        <v>Revenue</v>
      </c>
      <c r="K87" s="21" t="str">
        <f>_xlfn.XLOOKUP(F87,'04_Account_Mapping'!$A$6:$A$14,'04_Account_Mapping'!$D$6:$D$14,"Unmapped",0)</f>
        <v>Income</v>
      </c>
    </row>
    <row r="88" spans="1:11">
      <c r="A88" s="16">
        <v>45566</v>
      </c>
      <c r="B88" s="13">
        <v>2024</v>
      </c>
      <c r="C88" s="13">
        <v>10</v>
      </c>
      <c r="D88" s="13" t="s">
        <v>53</v>
      </c>
      <c r="E88" s="13" t="s">
        <v>54</v>
      </c>
      <c r="F88" s="13" t="s">
        <v>58</v>
      </c>
      <c r="G88" s="19">
        <v>-9214.3928432411158</v>
      </c>
      <c r="H88" s="13" t="s">
        <v>59</v>
      </c>
      <c r="I88" s="13" t="s">
        <v>57</v>
      </c>
      <c r="J88" s="21" t="str">
        <f>_xlfn.XLOOKUP(F88,'04_Account_Mapping'!$A$6:$A$14,'04_Account_Mapping'!$C$6:$C$14,"Unmapped",0)</f>
        <v>COGS</v>
      </c>
      <c r="K88" s="21" t="str">
        <f>_xlfn.XLOOKUP(F88,'04_Account_Mapping'!$A$6:$A$14,'04_Account_Mapping'!$D$6:$D$14,"Unmapped",0)</f>
        <v>Expense</v>
      </c>
    </row>
    <row r="89" spans="1:11">
      <c r="A89" s="16">
        <v>45566</v>
      </c>
      <c r="B89" s="13">
        <v>2024</v>
      </c>
      <c r="C89" s="13">
        <v>10</v>
      </c>
      <c r="D89" s="13" t="s">
        <v>53</v>
      </c>
      <c r="E89" s="13" t="s">
        <v>54</v>
      </c>
      <c r="F89" s="13" t="s">
        <v>60</v>
      </c>
      <c r="G89" s="19">
        <v>-1711.9138501879013</v>
      </c>
      <c r="H89" s="13" t="s">
        <v>59</v>
      </c>
      <c r="I89" s="13" t="s">
        <v>57</v>
      </c>
      <c r="J89" s="21" t="str">
        <f>_xlfn.XLOOKUP(F89,'04_Account_Mapping'!$A$6:$A$14,'04_Account_Mapping'!$C$6:$C$14,"Unmapped",0)</f>
        <v>Selling Expense</v>
      </c>
      <c r="K89" s="21" t="str">
        <f>_xlfn.XLOOKUP(F89,'04_Account_Mapping'!$A$6:$A$14,'04_Account_Mapping'!$D$6:$D$14,"Unmapped",0)</f>
        <v>Expense</v>
      </c>
    </row>
    <row r="90" spans="1:11">
      <c r="A90" s="16">
        <v>45566</v>
      </c>
      <c r="B90" s="13">
        <v>2024</v>
      </c>
      <c r="C90" s="13">
        <v>10</v>
      </c>
      <c r="D90" s="13" t="s">
        <v>53</v>
      </c>
      <c r="E90" s="13" t="s">
        <v>54</v>
      </c>
      <c r="F90" s="13" t="s">
        <v>61</v>
      </c>
      <c r="G90" s="19">
        <v>-307.52326704297104</v>
      </c>
      <c r="H90" s="13" t="s">
        <v>59</v>
      </c>
      <c r="I90" s="13" t="s">
        <v>57</v>
      </c>
      <c r="J90" s="21" t="str">
        <f>_xlfn.XLOOKUP(F90,'04_Account_Mapping'!$A$6:$A$14,'04_Account_Mapping'!$C$6:$C$14,"Unmapped",0)</f>
        <v>G&amp;A</v>
      </c>
      <c r="K90" s="21" t="str">
        <f>_xlfn.XLOOKUP(F90,'04_Account_Mapping'!$A$6:$A$14,'04_Account_Mapping'!$D$6:$D$14,"Unmapped",0)</f>
        <v>Expense</v>
      </c>
    </row>
    <row r="91" spans="1:11">
      <c r="A91" s="16">
        <v>45566</v>
      </c>
      <c r="B91" s="13">
        <v>2024</v>
      </c>
      <c r="C91" s="13">
        <v>10</v>
      </c>
      <c r="D91" s="13" t="s">
        <v>53</v>
      </c>
      <c r="E91" s="13" t="s">
        <v>54</v>
      </c>
      <c r="F91" s="13" t="s">
        <v>62</v>
      </c>
      <c r="G91" s="19">
        <v>204.95722962146417</v>
      </c>
      <c r="H91" s="13" t="s">
        <v>59</v>
      </c>
      <c r="I91" s="13" t="s">
        <v>57</v>
      </c>
      <c r="J91" s="21" t="str">
        <f>_xlfn.XLOOKUP(F91,'04_Account_Mapping'!$A$6:$A$14,'04_Account_Mapping'!$C$6:$C$14,"Unmapped",0)</f>
        <v>Finance Income</v>
      </c>
      <c r="K91" s="21" t="str">
        <f>_xlfn.XLOOKUP(F91,'04_Account_Mapping'!$A$6:$A$14,'04_Account_Mapping'!$D$6:$D$14,"Unmapped",0)</f>
        <v>Income</v>
      </c>
    </row>
    <row r="92" spans="1:11">
      <c r="A92" s="16">
        <v>45566</v>
      </c>
      <c r="B92" s="13">
        <v>2024</v>
      </c>
      <c r="C92" s="13">
        <v>10</v>
      </c>
      <c r="D92" s="13" t="s">
        <v>53</v>
      </c>
      <c r="E92" s="13" t="s">
        <v>54</v>
      </c>
      <c r="F92" s="13" t="s">
        <v>63</v>
      </c>
      <c r="G92" s="19">
        <v>-102.49709732533522</v>
      </c>
      <c r="H92" s="13" t="s">
        <v>59</v>
      </c>
      <c r="I92" s="13" t="s">
        <v>57</v>
      </c>
      <c r="J92" s="21" t="str">
        <f>_xlfn.XLOOKUP(F92,'04_Account_Mapping'!$A$6:$A$14,'04_Account_Mapping'!$C$6:$C$14,"Unmapped",0)</f>
        <v>Finance Expense</v>
      </c>
      <c r="K92" s="21" t="str">
        <f>_xlfn.XLOOKUP(F92,'04_Account_Mapping'!$A$6:$A$14,'04_Account_Mapping'!$D$6:$D$14,"Unmapped",0)</f>
        <v>Expense</v>
      </c>
    </row>
    <row r="93" spans="1:11">
      <c r="A93" s="16">
        <v>45566</v>
      </c>
      <c r="B93" s="13">
        <v>2024</v>
      </c>
      <c r="C93" s="13">
        <v>10</v>
      </c>
      <c r="D93" s="13" t="s">
        <v>53</v>
      </c>
      <c r="E93" s="13" t="s">
        <v>54</v>
      </c>
      <c r="F93" s="13" t="s">
        <v>64</v>
      </c>
      <c r="G93" s="19">
        <v>-3.8461417323066973</v>
      </c>
      <c r="H93" s="13" t="s">
        <v>59</v>
      </c>
      <c r="I93" s="13" t="s">
        <v>57</v>
      </c>
      <c r="J93" s="21" t="str">
        <f>_xlfn.XLOOKUP(F93,'04_Account_Mapping'!$A$6:$A$14,'04_Account_Mapping'!$C$6:$C$14,"Unmapped",0)</f>
        <v>JV Profit/(Loss)</v>
      </c>
      <c r="K93" s="21" t="str">
        <f>_xlfn.XLOOKUP(F93,'04_Account_Mapping'!$A$6:$A$14,'04_Account_Mapping'!$D$6:$D$14,"Unmapped",0)</f>
        <v>Income</v>
      </c>
    </row>
    <row r="94" spans="1:11">
      <c r="A94" s="16">
        <v>45566</v>
      </c>
      <c r="B94" s="13">
        <v>2024</v>
      </c>
      <c r="C94" s="13">
        <v>10</v>
      </c>
      <c r="D94" s="13" t="s">
        <v>53</v>
      </c>
      <c r="E94" s="13" t="s">
        <v>54</v>
      </c>
      <c r="F94" s="13" t="s">
        <v>65</v>
      </c>
      <c r="G94" s="19">
        <v>-34.607886075475228</v>
      </c>
      <c r="H94" s="13" t="s">
        <v>59</v>
      </c>
      <c r="I94" s="13" t="s">
        <v>57</v>
      </c>
      <c r="J94" s="21" t="str">
        <f>_xlfn.XLOOKUP(F94,'04_Account_Mapping'!$A$6:$A$14,'04_Account_Mapping'!$C$6:$C$14,"Unmapped",0)</f>
        <v>Other Net</v>
      </c>
      <c r="K94" s="21" t="str">
        <f>_xlfn.XLOOKUP(F94,'04_Account_Mapping'!$A$6:$A$14,'04_Account_Mapping'!$D$6:$D$14,"Unmapped",0)</f>
        <v>Income</v>
      </c>
    </row>
    <row r="95" spans="1:11">
      <c r="A95" s="16">
        <v>45566</v>
      </c>
      <c r="B95" s="13">
        <v>2024</v>
      </c>
      <c r="C95" s="13">
        <v>10</v>
      </c>
      <c r="D95" s="13" t="s">
        <v>53</v>
      </c>
      <c r="E95" s="13" t="s">
        <v>54</v>
      </c>
      <c r="F95" s="13" t="s">
        <v>66</v>
      </c>
      <c r="G95" s="19">
        <v>-94.218539772458058</v>
      </c>
      <c r="H95" s="13" t="s">
        <v>59</v>
      </c>
      <c r="I95" s="13" t="s">
        <v>57</v>
      </c>
      <c r="J95" s="21" t="str">
        <f>_xlfn.XLOOKUP(F95,'04_Account_Mapping'!$A$6:$A$14,'04_Account_Mapping'!$C$6:$C$14,"Unmapped",0)</f>
        <v>Tax Expense</v>
      </c>
      <c r="K95" s="21" t="str">
        <f>_xlfn.XLOOKUP(F95,'04_Account_Mapping'!$A$6:$A$14,'04_Account_Mapping'!$D$6:$D$14,"Unmapped",0)</f>
        <v>Expense</v>
      </c>
    </row>
    <row r="96" spans="1:11">
      <c r="A96" s="16">
        <v>45597</v>
      </c>
      <c r="B96" s="13">
        <v>2024</v>
      </c>
      <c r="C96" s="13">
        <v>11</v>
      </c>
      <c r="D96" s="13" t="s">
        <v>53</v>
      </c>
      <c r="E96" s="13" t="s">
        <v>54</v>
      </c>
      <c r="F96" s="13" t="s">
        <v>55</v>
      </c>
      <c r="G96" s="19">
        <v>10945.012452863519</v>
      </c>
      <c r="H96" s="13" t="s">
        <v>56</v>
      </c>
      <c r="I96" s="13" t="s">
        <v>57</v>
      </c>
      <c r="J96" s="21" t="str">
        <f>_xlfn.XLOOKUP(F96,'04_Account_Mapping'!$A$6:$A$14,'04_Account_Mapping'!$C$6:$C$14,"Unmapped",0)</f>
        <v>Revenue</v>
      </c>
      <c r="K96" s="21" t="str">
        <f>_xlfn.XLOOKUP(F96,'04_Account_Mapping'!$A$6:$A$14,'04_Account_Mapping'!$D$6:$D$14,"Unmapped",0)</f>
        <v>Income</v>
      </c>
    </row>
    <row r="97" spans="1:11">
      <c r="A97" s="16">
        <v>45597</v>
      </c>
      <c r="B97" s="13">
        <v>2024</v>
      </c>
      <c r="C97" s="13">
        <v>11</v>
      </c>
      <c r="D97" s="13" t="s">
        <v>53</v>
      </c>
      <c r="E97" s="13" t="s">
        <v>54</v>
      </c>
      <c r="F97" s="13" t="s">
        <v>58</v>
      </c>
      <c r="G97" s="19">
        <v>-8704.6029405553254</v>
      </c>
      <c r="H97" s="13" t="s">
        <v>59</v>
      </c>
      <c r="I97" s="13" t="s">
        <v>57</v>
      </c>
      <c r="J97" s="21" t="str">
        <f>_xlfn.XLOOKUP(F97,'04_Account_Mapping'!$A$6:$A$14,'04_Account_Mapping'!$C$6:$C$14,"Unmapped",0)</f>
        <v>COGS</v>
      </c>
      <c r="K97" s="21" t="str">
        <f>_xlfn.XLOOKUP(F97,'04_Account_Mapping'!$A$6:$A$14,'04_Account_Mapping'!$D$6:$D$14,"Unmapped",0)</f>
        <v>Expense</v>
      </c>
    </row>
    <row r="98" spans="1:11">
      <c r="A98" s="16">
        <v>45597</v>
      </c>
      <c r="B98" s="13">
        <v>2024</v>
      </c>
      <c r="C98" s="13">
        <v>11</v>
      </c>
      <c r="D98" s="13" t="s">
        <v>53</v>
      </c>
      <c r="E98" s="13" t="s">
        <v>54</v>
      </c>
      <c r="F98" s="13" t="s">
        <v>60</v>
      </c>
      <c r="G98" s="19">
        <v>-1617.2015441314154</v>
      </c>
      <c r="H98" s="13" t="s">
        <v>59</v>
      </c>
      <c r="I98" s="13" t="s">
        <v>57</v>
      </c>
      <c r="J98" s="21" t="str">
        <f>_xlfn.XLOOKUP(F98,'04_Account_Mapping'!$A$6:$A$14,'04_Account_Mapping'!$C$6:$C$14,"Unmapped",0)</f>
        <v>Selling Expense</v>
      </c>
      <c r="K98" s="21" t="str">
        <f>_xlfn.XLOOKUP(F98,'04_Account_Mapping'!$A$6:$A$14,'04_Account_Mapping'!$D$6:$D$14,"Unmapped",0)</f>
        <v>Expense</v>
      </c>
    </row>
    <row r="99" spans="1:11">
      <c r="A99" s="16">
        <v>45597</v>
      </c>
      <c r="B99" s="13">
        <v>2024</v>
      </c>
      <c r="C99" s="13">
        <v>11</v>
      </c>
      <c r="D99" s="13" t="s">
        <v>53</v>
      </c>
      <c r="E99" s="13" t="s">
        <v>54</v>
      </c>
      <c r="F99" s="13" t="s">
        <v>61</v>
      </c>
      <c r="G99" s="19">
        <v>-290.50942152471242</v>
      </c>
      <c r="H99" s="13" t="s">
        <v>59</v>
      </c>
      <c r="I99" s="13" t="s">
        <v>57</v>
      </c>
      <c r="J99" s="21" t="str">
        <f>_xlfn.XLOOKUP(F99,'04_Account_Mapping'!$A$6:$A$14,'04_Account_Mapping'!$C$6:$C$14,"Unmapped",0)</f>
        <v>G&amp;A</v>
      </c>
      <c r="K99" s="21" t="str">
        <f>_xlfn.XLOOKUP(F99,'04_Account_Mapping'!$A$6:$A$14,'04_Account_Mapping'!$D$6:$D$14,"Unmapped",0)</f>
        <v>Expense</v>
      </c>
    </row>
    <row r="100" spans="1:11">
      <c r="A100" s="16">
        <v>45597</v>
      </c>
      <c r="B100" s="13">
        <v>2024</v>
      </c>
      <c r="C100" s="13">
        <v>11</v>
      </c>
      <c r="D100" s="13" t="s">
        <v>53</v>
      </c>
      <c r="E100" s="13" t="s">
        <v>54</v>
      </c>
      <c r="F100" s="13" t="s">
        <v>62</v>
      </c>
      <c r="G100" s="19">
        <v>193.61789040280729</v>
      </c>
      <c r="H100" s="13" t="s">
        <v>59</v>
      </c>
      <c r="I100" s="13" t="s">
        <v>57</v>
      </c>
      <c r="J100" s="21" t="str">
        <f>_xlfn.XLOOKUP(F100,'04_Account_Mapping'!$A$6:$A$14,'04_Account_Mapping'!$C$6:$C$14,"Unmapped",0)</f>
        <v>Finance Income</v>
      </c>
      <c r="K100" s="21" t="str">
        <f>_xlfn.XLOOKUP(F100,'04_Account_Mapping'!$A$6:$A$14,'04_Account_Mapping'!$D$6:$D$14,"Unmapped",0)</f>
        <v>Income</v>
      </c>
    </row>
    <row r="101" spans="1:11">
      <c r="A101" s="16">
        <v>45597</v>
      </c>
      <c r="B101" s="13">
        <v>2024</v>
      </c>
      <c r="C101" s="13">
        <v>11</v>
      </c>
      <c r="D101" s="13" t="s">
        <v>53</v>
      </c>
      <c r="E101" s="13" t="s">
        <v>54</v>
      </c>
      <c r="F101" s="13" t="s">
        <v>63</v>
      </c>
      <c r="G101" s="19">
        <v>-96.826405163627996</v>
      </c>
      <c r="H101" s="13" t="s">
        <v>59</v>
      </c>
      <c r="I101" s="13" t="s">
        <v>57</v>
      </c>
      <c r="J101" s="21" t="str">
        <f>_xlfn.XLOOKUP(F101,'04_Account_Mapping'!$A$6:$A$14,'04_Account_Mapping'!$C$6:$C$14,"Unmapped",0)</f>
        <v>Finance Expense</v>
      </c>
      <c r="K101" s="21" t="str">
        <f>_xlfn.XLOOKUP(F101,'04_Account_Mapping'!$A$6:$A$14,'04_Account_Mapping'!$D$6:$D$14,"Unmapped",0)</f>
        <v>Expense</v>
      </c>
    </row>
    <row r="102" spans="1:11">
      <c r="A102" s="16">
        <v>45597</v>
      </c>
      <c r="B102" s="13">
        <v>2024</v>
      </c>
      <c r="C102" s="13">
        <v>11</v>
      </c>
      <c r="D102" s="13" t="s">
        <v>53</v>
      </c>
      <c r="E102" s="13" t="s">
        <v>54</v>
      </c>
      <c r="F102" s="13" t="s">
        <v>64</v>
      </c>
      <c r="G102" s="19">
        <v>-3.6333524305279474</v>
      </c>
      <c r="H102" s="13" t="s">
        <v>59</v>
      </c>
      <c r="I102" s="13" t="s">
        <v>57</v>
      </c>
      <c r="J102" s="21" t="str">
        <f>_xlfn.XLOOKUP(F102,'04_Account_Mapping'!$A$6:$A$14,'04_Account_Mapping'!$C$6:$C$14,"Unmapped",0)</f>
        <v>JV Profit/(Loss)</v>
      </c>
      <c r="K102" s="21" t="str">
        <f>_xlfn.XLOOKUP(F102,'04_Account_Mapping'!$A$6:$A$14,'04_Account_Mapping'!$D$6:$D$14,"Unmapped",0)</f>
        <v>Income</v>
      </c>
    </row>
    <row r="103" spans="1:11">
      <c r="A103" s="16">
        <v>45597</v>
      </c>
      <c r="B103" s="13">
        <v>2024</v>
      </c>
      <c r="C103" s="13">
        <v>11</v>
      </c>
      <c r="D103" s="13" t="s">
        <v>53</v>
      </c>
      <c r="E103" s="13" t="s">
        <v>54</v>
      </c>
      <c r="F103" s="13" t="s">
        <v>65</v>
      </c>
      <c r="G103" s="19">
        <v>-32.693191187301608</v>
      </c>
      <c r="H103" s="13" t="s">
        <v>59</v>
      </c>
      <c r="I103" s="13" t="s">
        <v>57</v>
      </c>
      <c r="J103" s="21" t="str">
        <f>_xlfn.XLOOKUP(F103,'04_Account_Mapping'!$A$6:$A$14,'04_Account_Mapping'!$C$6:$C$14,"Unmapped",0)</f>
        <v>Other Net</v>
      </c>
      <c r="K103" s="21" t="str">
        <f>_xlfn.XLOOKUP(F103,'04_Account_Mapping'!$A$6:$A$14,'04_Account_Mapping'!$D$6:$D$14,"Unmapped",0)</f>
        <v>Income</v>
      </c>
    </row>
    <row r="104" spans="1:11">
      <c r="A104" s="16">
        <v>45597</v>
      </c>
      <c r="B104" s="13">
        <v>2024</v>
      </c>
      <c r="C104" s="13">
        <v>11</v>
      </c>
      <c r="D104" s="13" t="s">
        <v>53</v>
      </c>
      <c r="E104" s="13" t="s">
        <v>54</v>
      </c>
      <c r="F104" s="13" t="s">
        <v>66</v>
      </c>
      <c r="G104" s="19">
        <v>-89.005862058480361</v>
      </c>
      <c r="H104" s="13" t="s">
        <v>59</v>
      </c>
      <c r="I104" s="13" t="s">
        <v>57</v>
      </c>
      <c r="J104" s="21" t="str">
        <f>_xlfn.XLOOKUP(F104,'04_Account_Mapping'!$A$6:$A$14,'04_Account_Mapping'!$C$6:$C$14,"Unmapped",0)</f>
        <v>Tax Expense</v>
      </c>
      <c r="K104" s="21" t="str">
        <f>_xlfn.XLOOKUP(F104,'04_Account_Mapping'!$A$6:$A$14,'04_Account_Mapping'!$D$6:$D$14,"Unmapped",0)</f>
        <v>Expense</v>
      </c>
    </row>
    <row r="105" spans="1:11">
      <c r="A105" s="16">
        <v>45627</v>
      </c>
      <c r="B105" s="13">
        <v>2024</v>
      </c>
      <c r="C105" s="13">
        <v>12</v>
      </c>
      <c r="D105" s="13" t="s">
        <v>53</v>
      </c>
      <c r="E105" s="13" t="s">
        <v>54</v>
      </c>
      <c r="F105" s="13" t="s">
        <v>55</v>
      </c>
      <c r="G105" s="19">
        <v>12043.013702132055</v>
      </c>
      <c r="H105" s="13" t="s">
        <v>56</v>
      </c>
      <c r="I105" s="13" t="s">
        <v>57</v>
      </c>
      <c r="J105" s="21" t="str">
        <f>_xlfn.XLOOKUP(F105,'04_Account_Mapping'!$A$6:$A$14,'04_Account_Mapping'!$C$6:$C$14,"Unmapped",0)</f>
        <v>Revenue</v>
      </c>
      <c r="K105" s="21" t="str">
        <f>_xlfn.XLOOKUP(F105,'04_Account_Mapping'!$A$6:$A$14,'04_Account_Mapping'!$D$6:$D$14,"Unmapped",0)</f>
        <v>Income</v>
      </c>
    </row>
    <row r="106" spans="1:11">
      <c r="A106" s="16">
        <v>45627</v>
      </c>
      <c r="B106" s="13">
        <v>2024</v>
      </c>
      <c r="C106" s="13">
        <v>12</v>
      </c>
      <c r="D106" s="13" t="s">
        <v>53</v>
      </c>
      <c r="E106" s="13" t="s">
        <v>54</v>
      </c>
      <c r="F106" s="13" t="s">
        <v>58</v>
      </c>
      <c r="G106" s="19">
        <v>-9577.8467988220909</v>
      </c>
      <c r="H106" s="13" t="s">
        <v>59</v>
      </c>
      <c r="I106" s="13" t="s">
        <v>57</v>
      </c>
      <c r="J106" s="21" t="str">
        <f>_xlfn.XLOOKUP(F106,'04_Account_Mapping'!$A$6:$A$14,'04_Account_Mapping'!$C$6:$C$14,"Unmapped",0)</f>
        <v>COGS</v>
      </c>
      <c r="K106" s="21" t="str">
        <f>_xlfn.XLOOKUP(F106,'04_Account_Mapping'!$A$6:$A$14,'04_Account_Mapping'!$D$6:$D$14,"Unmapped",0)</f>
        <v>Expense</v>
      </c>
    </row>
    <row r="107" spans="1:11">
      <c r="A107" s="16">
        <v>45627</v>
      </c>
      <c r="B107" s="13">
        <v>2024</v>
      </c>
      <c r="C107" s="13">
        <v>12</v>
      </c>
      <c r="D107" s="13" t="s">
        <v>53</v>
      </c>
      <c r="E107" s="13" t="s">
        <v>54</v>
      </c>
      <c r="F107" s="13" t="s">
        <v>60</v>
      </c>
      <c r="G107" s="19">
        <v>-1779.4388484216204</v>
      </c>
      <c r="H107" s="13" t="s">
        <v>59</v>
      </c>
      <c r="I107" s="13" t="s">
        <v>57</v>
      </c>
      <c r="J107" s="21" t="str">
        <f>_xlfn.XLOOKUP(F107,'04_Account_Mapping'!$A$6:$A$14,'04_Account_Mapping'!$C$6:$C$14,"Unmapped",0)</f>
        <v>Selling Expense</v>
      </c>
      <c r="K107" s="21" t="str">
        <f>_xlfn.XLOOKUP(F107,'04_Account_Mapping'!$A$6:$A$14,'04_Account_Mapping'!$D$6:$D$14,"Unmapped",0)</f>
        <v>Expense</v>
      </c>
    </row>
    <row r="108" spans="1:11">
      <c r="A108" s="16">
        <v>45627</v>
      </c>
      <c r="B108" s="13">
        <v>2024</v>
      </c>
      <c r="C108" s="13">
        <v>12</v>
      </c>
      <c r="D108" s="13" t="s">
        <v>53</v>
      </c>
      <c r="E108" s="13" t="s">
        <v>54</v>
      </c>
      <c r="F108" s="13" t="s">
        <v>61</v>
      </c>
      <c r="G108" s="19">
        <v>-319.65326298968586</v>
      </c>
      <c r="H108" s="13" t="s">
        <v>59</v>
      </c>
      <c r="I108" s="13" t="s">
        <v>57</v>
      </c>
      <c r="J108" s="21" t="str">
        <f>_xlfn.XLOOKUP(F108,'04_Account_Mapping'!$A$6:$A$14,'04_Account_Mapping'!$C$6:$C$14,"Unmapped",0)</f>
        <v>G&amp;A</v>
      </c>
      <c r="K108" s="21" t="str">
        <f>_xlfn.XLOOKUP(F108,'04_Account_Mapping'!$A$6:$A$14,'04_Account_Mapping'!$D$6:$D$14,"Unmapped",0)</f>
        <v>Expense</v>
      </c>
    </row>
    <row r="109" spans="1:11">
      <c r="A109" s="16">
        <v>45627</v>
      </c>
      <c r="B109" s="13">
        <v>2024</v>
      </c>
      <c r="C109" s="13">
        <v>12</v>
      </c>
      <c r="D109" s="13" t="s">
        <v>53</v>
      </c>
      <c r="E109" s="13" t="s">
        <v>54</v>
      </c>
      <c r="F109" s="13" t="s">
        <v>62</v>
      </c>
      <c r="G109" s="19">
        <v>213.04159471183263</v>
      </c>
      <c r="H109" s="13" t="s">
        <v>59</v>
      </c>
      <c r="I109" s="13" t="s">
        <v>57</v>
      </c>
      <c r="J109" s="21" t="str">
        <f>_xlfn.XLOOKUP(F109,'04_Account_Mapping'!$A$6:$A$14,'04_Account_Mapping'!$C$6:$C$14,"Unmapped",0)</f>
        <v>Finance Income</v>
      </c>
      <c r="K109" s="21" t="str">
        <f>_xlfn.XLOOKUP(F109,'04_Account_Mapping'!$A$6:$A$14,'04_Account_Mapping'!$D$6:$D$14,"Unmapped",0)</f>
        <v>Income</v>
      </c>
    </row>
    <row r="110" spans="1:11">
      <c r="A110" s="16">
        <v>45627</v>
      </c>
      <c r="B110" s="13">
        <v>2024</v>
      </c>
      <c r="C110" s="13">
        <v>12</v>
      </c>
      <c r="D110" s="13" t="s">
        <v>53</v>
      </c>
      <c r="E110" s="13" t="s">
        <v>54</v>
      </c>
      <c r="F110" s="13" t="s">
        <v>63</v>
      </c>
      <c r="G110" s="19">
        <v>-106.54000889772242</v>
      </c>
      <c r="H110" s="13" t="s">
        <v>59</v>
      </c>
      <c r="I110" s="13" t="s">
        <v>57</v>
      </c>
      <c r="J110" s="21" t="str">
        <f>_xlfn.XLOOKUP(F110,'04_Account_Mapping'!$A$6:$A$14,'04_Account_Mapping'!$C$6:$C$14,"Unmapped",0)</f>
        <v>Finance Expense</v>
      </c>
      <c r="K110" s="21" t="str">
        <f>_xlfn.XLOOKUP(F110,'04_Account_Mapping'!$A$6:$A$14,'04_Account_Mapping'!$D$6:$D$14,"Unmapped",0)</f>
        <v>Expense</v>
      </c>
    </row>
    <row r="111" spans="1:11">
      <c r="A111" s="16">
        <v>45627</v>
      </c>
      <c r="B111" s="13">
        <v>2024</v>
      </c>
      <c r="C111" s="13">
        <v>12</v>
      </c>
      <c r="D111" s="13" t="s">
        <v>53</v>
      </c>
      <c r="E111" s="13" t="s">
        <v>54</v>
      </c>
      <c r="F111" s="13" t="s">
        <v>64</v>
      </c>
      <c r="G111" s="19">
        <v>-3.9978495496434965</v>
      </c>
      <c r="H111" s="13" t="s">
        <v>59</v>
      </c>
      <c r="I111" s="13" t="s">
        <v>57</v>
      </c>
      <c r="J111" s="21" t="str">
        <f>_xlfn.XLOOKUP(F111,'04_Account_Mapping'!$A$6:$A$14,'04_Account_Mapping'!$C$6:$C$14,"Unmapped",0)</f>
        <v>JV Profit/(Loss)</v>
      </c>
      <c r="K111" s="21" t="str">
        <f>_xlfn.XLOOKUP(F111,'04_Account_Mapping'!$A$6:$A$14,'04_Account_Mapping'!$D$6:$D$14,"Unmapped",0)</f>
        <v>Income</v>
      </c>
    </row>
    <row r="112" spans="1:11">
      <c r="A112" s="16">
        <v>45627</v>
      </c>
      <c r="B112" s="13">
        <v>2024</v>
      </c>
      <c r="C112" s="13">
        <v>12</v>
      </c>
      <c r="D112" s="13" t="s">
        <v>53</v>
      </c>
      <c r="E112" s="13" t="s">
        <v>54</v>
      </c>
      <c r="F112" s="13" t="s">
        <v>65</v>
      </c>
      <c r="G112" s="19">
        <v>-35.97296495830728</v>
      </c>
      <c r="H112" s="13" t="s">
        <v>59</v>
      </c>
      <c r="I112" s="13" t="s">
        <v>57</v>
      </c>
      <c r="J112" s="21" t="str">
        <f>_xlfn.XLOOKUP(F112,'04_Account_Mapping'!$A$6:$A$14,'04_Account_Mapping'!$C$6:$C$14,"Unmapped",0)</f>
        <v>Other Net</v>
      </c>
      <c r="K112" s="21" t="str">
        <f>_xlfn.XLOOKUP(F112,'04_Account_Mapping'!$A$6:$A$14,'04_Account_Mapping'!$D$6:$D$14,"Unmapped",0)</f>
        <v>Income</v>
      </c>
    </row>
    <row r="113" spans="1:11">
      <c r="A113" s="16">
        <v>45627</v>
      </c>
      <c r="B113" s="13">
        <v>2024</v>
      </c>
      <c r="C113" s="13">
        <v>12</v>
      </c>
      <c r="D113" s="13" t="s">
        <v>53</v>
      </c>
      <c r="E113" s="13" t="s">
        <v>54</v>
      </c>
      <c r="F113" s="13" t="s">
        <v>66</v>
      </c>
      <c r="G113" s="19">
        <v>-97.934910623141064</v>
      </c>
      <c r="H113" s="13" t="s">
        <v>59</v>
      </c>
      <c r="I113" s="13" t="s">
        <v>57</v>
      </c>
      <c r="J113" s="21" t="str">
        <f>_xlfn.XLOOKUP(F113,'04_Account_Mapping'!$A$6:$A$14,'04_Account_Mapping'!$C$6:$C$14,"Unmapped",0)</f>
        <v>Tax Expense</v>
      </c>
      <c r="K113" s="21" t="str">
        <f>_xlfn.XLOOKUP(F113,'04_Account_Mapping'!$A$6:$A$14,'04_Account_Mapping'!$D$6:$D$14,"Unmapped",0)</f>
        <v>Expense</v>
      </c>
    </row>
    <row r="114" spans="1:11">
      <c r="A114" s="16">
        <v>45658</v>
      </c>
      <c r="B114" s="13">
        <v>2025</v>
      </c>
      <c r="C114" s="13">
        <v>1</v>
      </c>
      <c r="D114" s="13" t="s">
        <v>67</v>
      </c>
      <c r="E114" s="13" t="s">
        <v>68</v>
      </c>
      <c r="F114" s="13" t="s">
        <v>55</v>
      </c>
      <c r="G114" s="19">
        <v>2823.6950438762606</v>
      </c>
      <c r="H114" s="13" t="s">
        <v>69</v>
      </c>
      <c r="I114" s="13" t="s">
        <v>70</v>
      </c>
      <c r="J114" s="21" t="str">
        <f>_xlfn.XLOOKUP(F114,'04_Account_Mapping'!$A$6:$A$14,'04_Account_Mapping'!$C$6:$C$14,"Unmapped",0)</f>
        <v>Revenue</v>
      </c>
      <c r="K114" s="21" t="str">
        <f>_xlfn.XLOOKUP(F114,'04_Account_Mapping'!$A$6:$A$14,'04_Account_Mapping'!$D$6:$D$14,"Unmapped",0)</f>
        <v>Income</v>
      </c>
    </row>
    <row r="115" spans="1:11">
      <c r="A115" s="16">
        <v>45658</v>
      </c>
      <c r="B115" s="13">
        <v>2025</v>
      </c>
      <c r="C115" s="13">
        <v>1</v>
      </c>
      <c r="D115" s="13" t="s">
        <v>67</v>
      </c>
      <c r="E115" s="13" t="s">
        <v>68</v>
      </c>
      <c r="F115" s="13" t="s">
        <v>58</v>
      </c>
      <c r="G115" s="19">
        <v>-2261.0331602587926</v>
      </c>
      <c r="H115" s="13" t="s">
        <v>71</v>
      </c>
      <c r="I115" s="13" t="s">
        <v>70</v>
      </c>
      <c r="J115" s="21" t="str">
        <f>_xlfn.XLOOKUP(F115,'04_Account_Mapping'!$A$6:$A$14,'04_Account_Mapping'!$C$6:$C$14,"Unmapped",0)</f>
        <v>COGS</v>
      </c>
      <c r="K115" s="21" t="str">
        <f>_xlfn.XLOOKUP(F115,'04_Account_Mapping'!$A$6:$A$14,'04_Account_Mapping'!$D$6:$D$14,"Unmapped",0)</f>
        <v>Expense</v>
      </c>
    </row>
    <row r="116" spans="1:11">
      <c r="A116" s="16">
        <v>45658</v>
      </c>
      <c r="B116" s="13">
        <v>2025</v>
      </c>
      <c r="C116" s="13">
        <v>1</v>
      </c>
      <c r="D116" s="13" t="s">
        <v>67</v>
      </c>
      <c r="E116" s="13" t="s">
        <v>68</v>
      </c>
      <c r="F116" s="13" t="s">
        <v>60</v>
      </c>
      <c r="G116" s="19">
        <v>-344.06424513104037</v>
      </c>
      <c r="H116" s="13" t="s">
        <v>71</v>
      </c>
      <c r="I116" s="13" t="s">
        <v>70</v>
      </c>
      <c r="J116" s="21" t="str">
        <f>_xlfn.XLOOKUP(F116,'04_Account_Mapping'!$A$6:$A$14,'04_Account_Mapping'!$C$6:$C$14,"Unmapped",0)</f>
        <v>Selling Expense</v>
      </c>
      <c r="K116" s="21" t="str">
        <f>_xlfn.XLOOKUP(F116,'04_Account_Mapping'!$A$6:$A$14,'04_Account_Mapping'!$D$6:$D$14,"Unmapped",0)</f>
        <v>Expense</v>
      </c>
    </row>
    <row r="117" spans="1:11">
      <c r="A117" s="16">
        <v>45658</v>
      </c>
      <c r="B117" s="13">
        <v>2025</v>
      </c>
      <c r="C117" s="13">
        <v>1</v>
      </c>
      <c r="D117" s="13" t="s">
        <v>67</v>
      </c>
      <c r="E117" s="13" t="s">
        <v>68</v>
      </c>
      <c r="F117" s="13" t="s">
        <v>61</v>
      </c>
      <c r="G117" s="19">
        <v>-94.912504341848134</v>
      </c>
      <c r="H117" s="13" t="s">
        <v>71</v>
      </c>
      <c r="I117" s="13" t="s">
        <v>70</v>
      </c>
      <c r="J117" s="21" t="str">
        <f>_xlfn.XLOOKUP(F117,'04_Account_Mapping'!$A$6:$A$14,'04_Account_Mapping'!$C$6:$C$14,"Unmapped",0)</f>
        <v>G&amp;A</v>
      </c>
      <c r="K117" s="21" t="str">
        <f>_xlfn.XLOOKUP(F117,'04_Account_Mapping'!$A$6:$A$14,'04_Account_Mapping'!$D$6:$D$14,"Unmapped",0)</f>
        <v>Expense</v>
      </c>
    </row>
    <row r="118" spans="1:11">
      <c r="A118" s="16">
        <v>45658</v>
      </c>
      <c r="B118" s="13">
        <v>2025</v>
      </c>
      <c r="C118" s="13">
        <v>1</v>
      </c>
      <c r="D118" s="13" t="s">
        <v>67</v>
      </c>
      <c r="E118" s="13" t="s">
        <v>68</v>
      </c>
      <c r="F118" s="13" t="s">
        <v>62</v>
      </c>
      <c r="G118" s="19">
        <v>54.176066053007183</v>
      </c>
      <c r="H118" s="13" t="s">
        <v>71</v>
      </c>
      <c r="I118" s="13" t="s">
        <v>70</v>
      </c>
      <c r="J118" s="21" t="str">
        <f>_xlfn.XLOOKUP(F118,'04_Account_Mapping'!$A$6:$A$14,'04_Account_Mapping'!$C$6:$C$14,"Unmapped",0)</f>
        <v>Finance Income</v>
      </c>
      <c r="K118" s="21" t="str">
        <f>_xlfn.XLOOKUP(F118,'04_Account_Mapping'!$A$6:$A$14,'04_Account_Mapping'!$D$6:$D$14,"Unmapped",0)</f>
        <v>Income</v>
      </c>
    </row>
    <row r="119" spans="1:11">
      <c r="A119" s="16">
        <v>45658</v>
      </c>
      <c r="B119" s="13">
        <v>2025</v>
      </c>
      <c r="C119" s="13">
        <v>1</v>
      </c>
      <c r="D119" s="13" t="s">
        <v>67</v>
      </c>
      <c r="E119" s="13" t="s">
        <v>68</v>
      </c>
      <c r="F119" s="13" t="s">
        <v>63</v>
      </c>
      <c r="G119" s="19">
        <v>-26.492296274705701</v>
      </c>
      <c r="H119" s="13" t="s">
        <v>71</v>
      </c>
      <c r="I119" s="13" t="s">
        <v>70</v>
      </c>
      <c r="J119" s="21" t="str">
        <f>_xlfn.XLOOKUP(F119,'04_Account_Mapping'!$A$6:$A$14,'04_Account_Mapping'!$C$6:$C$14,"Unmapped",0)</f>
        <v>Finance Expense</v>
      </c>
      <c r="K119" s="21" t="str">
        <f>_xlfn.XLOOKUP(F119,'04_Account_Mapping'!$A$6:$A$14,'04_Account_Mapping'!$D$6:$D$14,"Unmapped",0)</f>
        <v>Expense</v>
      </c>
    </row>
    <row r="120" spans="1:11">
      <c r="A120" s="16">
        <v>45658</v>
      </c>
      <c r="B120" s="13">
        <v>2025</v>
      </c>
      <c r="C120" s="13">
        <v>1</v>
      </c>
      <c r="D120" s="13" t="s">
        <v>67</v>
      </c>
      <c r="E120" s="13" t="s">
        <v>68</v>
      </c>
      <c r="F120" s="13" t="s">
        <v>64</v>
      </c>
      <c r="G120" s="19">
        <v>0.24457003871652216</v>
      </c>
      <c r="H120" s="13" t="s">
        <v>71</v>
      </c>
      <c r="I120" s="13" t="s">
        <v>70</v>
      </c>
      <c r="J120" s="21" t="str">
        <f>_xlfn.XLOOKUP(F120,'04_Account_Mapping'!$A$6:$A$14,'04_Account_Mapping'!$C$6:$C$14,"Unmapped",0)</f>
        <v>JV Profit/(Loss)</v>
      </c>
      <c r="K120" s="21" t="str">
        <f>_xlfn.XLOOKUP(F120,'04_Account_Mapping'!$A$6:$A$14,'04_Account_Mapping'!$D$6:$D$14,"Unmapped",0)</f>
        <v>Income</v>
      </c>
    </row>
    <row r="121" spans="1:11">
      <c r="A121" s="16">
        <v>45658</v>
      </c>
      <c r="B121" s="13">
        <v>2025</v>
      </c>
      <c r="C121" s="13">
        <v>1</v>
      </c>
      <c r="D121" s="13" t="s">
        <v>67</v>
      </c>
      <c r="E121" s="13" t="s">
        <v>68</v>
      </c>
      <c r="F121" s="13" t="s">
        <v>65</v>
      </c>
      <c r="G121" s="19">
        <v>-0.43317627183945312</v>
      </c>
      <c r="H121" s="13" t="s">
        <v>71</v>
      </c>
      <c r="I121" s="13" t="s">
        <v>70</v>
      </c>
      <c r="J121" s="21" t="str">
        <f>_xlfn.XLOOKUP(F121,'04_Account_Mapping'!$A$6:$A$14,'04_Account_Mapping'!$C$6:$C$14,"Unmapped",0)</f>
        <v>Other Net</v>
      </c>
      <c r="K121" s="21" t="str">
        <f>_xlfn.XLOOKUP(F121,'04_Account_Mapping'!$A$6:$A$14,'04_Account_Mapping'!$D$6:$D$14,"Unmapped",0)</f>
        <v>Income</v>
      </c>
    </row>
    <row r="122" spans="1:11">
      <c r="A122" s="16">
        <v>45658</v>
      </c>
      <c r="B122" s="13">
        <v>2025</v>
      </c>
      <c r="C122" s="13">
        <v>1</v>
      </c>
      <c r="D122" s="13" t="s">
        <v>67</v>
      </c>
      <c r="E122" s="13" t="s">
        <v>68</v>
      </c>
      <c r="F122" s="13" t="s">
        <v>66</v>
      </c>
      <c r="G122" s="19">
        <v>-30.227881174666862</v>
      </c>
      <c r="H122" s="13" t="s">
        <v>71</v>
      </c>
      <c r="I122" s="13" t="s">
        <v>70</v>
      </c>
      <c r="J122" s="21" t="str">
        <f>_xlfn.XLOOKUP(F122,'04_Account_Mapping'!$A$6:$A$14,'04_Account_Mapping'!$C$6:$C$14,"Unmapped",0)</f>
        <v>Tax Expense</v>
      </c>
      <c r="K122" s="21" t="str">
        <f>_xlfn.XLOOKUP(F122,'04_Account_Mapping'!$A$6:$A$14,'04_Account_Mapping'!$D$6:$D$14,"Unmapped",0)</f>
        <v>Expense</v>
      </c>
    </row>
    <row r="123" spans="1:11">
      <c r="A123" s="16">
        <v>45658</v>
      </c>
      <c r="B123" s="13">
        <v>2025</v>
      </c>
      <c r="C123" s="13">
        <v>1</v>
      </c>
      <c r="D123" s="13" t="s">
        <v>72</v>
      </c>
      <c r="E123" s="13" t="s">
        <v>68</v>
      </c>
      <c r="F123" s="13" t="s">
        <v>55</v>
      </c>
      <c r="G123" s="19">
        <v>5635.1131527791449</v>
      </c>
      <c r="H123" s="13" t="s">
        <v>69</v>
      </c>
      <c r="I123" s="13" t="s">
        <v>70</v>
      </c>
      <c r="J123" s="21" t="str">
        <f>_xlfn.XLOOKUP(F123,'04_Account_Mapping'!$A$6:$A$14,'04_Account_Mapping'!$C$6:$C$14,"Unmapped",0)</f>
        <v>Revenue</v>
      </c>
      <c r="K123" s="21" t="str">
        <f>_xlfn.XLOOKUP(F123,'04_Account_Mapping'!$A$6:$A$14,'04_Account_Mapping'!$D$6:$D$14,"Unmapped",0)</f>
        <v>Income</v>
      </c>
    </row>
    <row r="124" spans="1:11">
      <c r="A124" s="16">
        <v>45658</v>
      </c>
      <c r="B124" s="13">
        <v>2025</v>
      </c>
      <c r="C124" s="13">
        <v>1</v>
      </c>
      <c r="D124" s="13" t="s">
        <v>72</v>
      </c>
      <c r="E124" s="13" t="s">
        <v>68</v>
      </c>
      <c r="F124" s="13" t="s">
        <v>58</v>
      </c>
      <c r="G124" s="19">
        <v>-4512.2357415599372</v>
      </c>
      <c r="H124" s="13" t="s">
        <v>71</v>
      </c>
      <c r="I124" s="13" t="s">
        <v>70</v>
      </c>
      <c r="J124" s="21" t="str">
        <f>_xlfn.XLOOKUP(F124,'04_Account_Mapping'!$A$6:$A$14,'04_Account_Mapping'!$C$6:$C$14,"Unmapped",0)</f>
        <v>COGS</v>
      </c>
      <c r="K124" s="21" t="str">
        <f>_xlfn.XLOOKUP(F124,'04_Account_Mapping'!$A$6:$A$14,'04_Account_Mapping'!$D$6:$D$14,"Unmapped",0)</f>
        <v>Expense</v>
      </c>
    </row>
    <row r="125" spans="1:11">
      <c r="A125" s="16">
        <v>45658</v>
      </c>
      <c r="B125" s="13">
        <v>2025</v>
      </c>
      <c r="C125" s="13">
        <v>1</v>
      </c>
      <c r="D125" s="13" t="s">
        <v>72</v>
      </c>
      <c r="E125" s="13" t="s">
        <v>68</v>
      </c>
      <c r="F125" s="13" t="s">
        <v>60</v>
      </c>
      <c r="G125" s="19">
        <v>-686.63255876151095</v>
      </c>
      <c r="H125" s="13" t="s">
        <v>71</v>
      </c>
      <c r="I125" s="13" t="s">
        <v>70</v>
      </c>
      <c r="J125" s="21" t="str">
        <f>_xlfn.XLOOKUP(F125,'04_Account_Mapping'!$A$6:$A$14,'04_Account_Mapping'!$C$6:$C$14,"Unmapped",0)</f>
        <v>Selling Expense</v>
      </c>
      <c r="K125" s="21" t="str">
        <f>_xlfn.XLOOKUP(F125,'04_Account_Mapping'!$A$6:$A$14,'04_Account_Mapping'!$D$6:$D$14,"Unmapped",0)</f>
        <v>Expense</v>
      </c>
    </row>
    <row r="126" spans="1:11">
      <c r="A126" s="16">
        <v>45658</v>
      </c>
      <c r="B126" s="13">
        <v>2025</v>
      </c>
      <c r="C126" s="13">
        <v>1</v>
      </c>
      <c r="D126" s="13" t="s">
        <v>72</v>
      </c>
      <c r="E126" s="13" t="s">
        <v>68</v>
      </c>
      <c r="F126" s="13" t="s">
        <v>61</v>
      </c>
      <c r="G126" s="19">
        <v>-189.41234562134036</v>
      </c>
      <c r="H126" s="13" t="s">
        <v>71</v>
      </c>
      <c r="I126" s="13" t="s">
        <v>70</v>
      </c>
      <c r="J126" s="21" t="str">
        <f>_xlfn.XLOOKUP(F126,'04_Account_Mapping'!$A$6:$A$14,'04_Account_Mapping'!$C$6:$C$14,"Unmapped",0)</f>
        <v>G&amp;A</v>
      </c>
      <c r="K126" s="21" t="str">
        <f>_xlfn.XLOOKUP(F126,'04_Account_Mapping'!$A$6:$A$14,'04_Account_Mapping'!$D$6:$D$14,"Unmapped",0)</f>
        <v>Expense</v>
      </c>
    </row>
    <row r="127" spans="1:11">
      <c r="A127" s="16">
        <v>45658</v>
      </c>
      <c r="B127" s="13">
        <v>2025</v>
      </c>
      <c r="C127" s="13">
        <v>1</v>
      </c>
      <c r="D127" s="13" t="s">
        <v>72</v>
      </c>
      <c r="E127" s="13" t="s">
        <v>68</v>
      </c>
      <c r="F127" s="13" t="s">
        <v>62</v>
      </c>
      <c r="G127" s="19">
        <v>108.1165839927404</v>
      </c>
      <c r="H127" s="13" t="s">
        <v>71</v>
      </c>
      <c r="I127" s="13" t="s">
        <v>70</v>
      </c>
      <c r="J127" s="21" t="str">
        <f>_xlfn.XLOOKUP(F127,'04_Account_Mapping'!$A$6:$A$14,'04_Account_Mapping'!$C$6:$C$14,"Unmapped",0)</f>
        <v>Finance Income</v>
      </c>
      <c r="K127" s="21" t="str">
        <f>_xlfn.XLOOKUP(F127,'04_Account_Mapping'!$A$6:$A$14,'04_Account_Mapping'!$D$6:$D$14,"Unmapped",0)</f>
        <v>Income</v>
      </c>
    </row>
    <row r="128" spans="1:11">
      <c r="A128" s="16">
        <v>45658</v>
      </c>
      <c r="B128" s="13">
        <v>2025</v>
      </c>
      <c r="C128" s="13">
        <v>1</v>
      </c>
      <c r="D128" s="13" t="s">
        <v>72</v>
      </c>
      <c r="E128" s="13" t="s">
        <v>68</v>
      </c>
      <c r="F128" s="13" t="s">
        <v>63</v>
      </c>
      <c r="G128" s="19">
        <v>-52.86940865256485</v>
      </c>
      <c r="H128" s="13" t="s">
        <v>71</v>
      </c>
      <c r="I128" s="13" t="s">
        <v>70</v>
      </c>
      <c r="J128" s="21" t="str">
        <f>_xlfn.XLOOKUP(F128,'04_Account_Mapping'!$A$6:$A$14,'04_Account_Mapping'!$C$6:$C$14,"Unmapped",0)</f>
        <v>Finance Expense</v>
      </c>
      <c r="K128" s="21" t="str">
        <f>_xlfn.XLOOKUP(F128,'04_Account_Mapping'!$A$6:$A$14,'04_Account_Mapping'!$D$6:$D$14,"Unmapped",0)</f>
        <v>Expense</v>
      </c>
    </row>
    <row r="129" spans="1:11">
      <c r="A129" s="16">
        <v>45658</v>
      </c>
      <c r="B129" s="13">
        <v>2025</v>
      </c>
      <c r="C129" s="13">
        <v>1</v>
      </c>
      <c r="D129" s="13" t="s">
        <v>72</v>
      </c>
      <c r="E129" s="13" t="s">
        <v>68</v>
      </c>
      <c r="F129" s="13" t="s">
        <v>64</v>
      </c>
      <c r="G129" s="19">
        <v>0.48807672943862457</v>
      </c>
      <c r="H129" s="13" t="s">
        <v>71</v>
      </c>
      <c r="I129" s="13" t="s">
        <v>70</v>
      </c>
      <c r="J129" s="21" t="str">
        <f>_xlfn.XLOOKUP(F129,'04_Account_Mapping'!$A$6:$A$14,'04_Account_Mapping'!$C$6:$C$14,"Unmapped",0)</f>
        <v>JV Profit/(Loss)</v>
      </c>
      <c r="K129" s="21" t="str">
        <f>_xlfn.XLOOKUP(F129,'04_Account_Mapping'!$A$6:$A$14,'04_Account_Mapping'!$D$6:$D$14,"Unmapped",0)</f>
        <v>Income</v>
      </c>
    </row>
    <row r="130" spans="1:11">
      <c r="A130" s="16">
        <v>45658</v>
      </c>
      <c r="B130" s="13">
        <v>2025</v>
      </c>
      <c r="C130" s="13">
        <v>1</v>
      </c>
      <c r="D130" s="13" t="s">
        <v>72</v>
      </c>
      <c r="E130" s="13" t="s">
        <v>68</v>
      </c>
      <c r="F130" s="13" t="s">
        <v>65</v>
      </c>
      <c r="G130" s="19">
        <v>-0.86446916858395195</v>
      </c>
      <c r="H130" s="13" t="s">
        <v>71</v>
      </c>
      <c r="I130" s="13" t="s">
        <v>70</v>
      </c>
      <c r="J130" s="21" t="str">
        <f>_xlfn.XLOOKUP(F130,'04_Account_Mapping'!$A$6:$A$14,'04_Account_Mapping'!$C$6:$C$14,"Unmapped",0)</f>
        <v>Other Net</v>
      </c>
      <c r="K130" s="21" t="str">
        <f>_xlfn.XLOOKUP(F130,'04_Account_Mapping'!$A$6:$A$14,'04_Account_Mapping'!$D$6:$D$14,"Unmapped",0)</f>
        <v>Income</v>
      </c>
    </row>
    <row r="131" spans="1:11">
      <c r="A131" s="16">
        <v>45658</v>
      </c>
      <c r="B131" s="13">
        <v>2025</v>
      </c>
      <c r="C131" s="13">
        <v>1</v>
      </c>
      <c r="D131" s="13" t="s">
        <v>72</v>
      </c>
      <c r="E131" s="13" t="s">
        <v>68</v>
      </c>
      <c r="F131" s="13" t="s">
        <v>66</v>
      </c>
      <c r="G131" s="19">
        <v>-60.324336779009073</v>
      </c>
      <c r="H131" s="13" t="s">
        <v>71</v>
      </c>
      <c r="I131" s="13" t="s">
        <v>70</v>
      </c>
      <c r="J131" s="21" t="str">
        <f>_xlfn.XLOOKUP(F131,'04_Account_Mapping'!$A$6:$A$14,'04_Account_Mapping'!$C$6:$C$14,"Unmapped",0)</f>
        <v>Tax Expense</v>
      </c>
      <c r="K131" s="21" t="str">
        <f>_xlfn.XLOOKUP(F131,'04_Account_Mapping'!$A$6:$A$14,'04_Account_Mapping'!$D$6:$D$14,"Unmapped",0)</f>
        <v>Expense</v>
      </c>
    </row>
    <row r="132" spans="1:11">
      <c r="A132" s="16">
        <v>45658</v>
      </c>
      <c r="B132" s="13">
        <v>2025</v>
      </c>
      <c r="C132" s="13">
        <v>1</v>
      </c>
      <c r="D132" s="13" t="s">
        <v>73</v>
      </c>
      <c r="E132" s="13" t="s">
        <v>74</v>
      </c>
      <c r="F132" s="13" t="s">
        <v>55</v>
      </c>
      <c r="G132" s="19">
        <v>3548.0342073053876</v>
      </c>
      <c r="H132" s="13" t="s">
        <v>69</v>
      </c>
      <c r="I132" s="13" t="s">
        <v>70</v>
      </c>
      <c r="J132" s="21" t="str">
        <f>_xlfn.XLOOKUP(F132,'04_Account_Mapping'!$A$6:$A$14,'04_Account_Mapping'!$C$6:$C$14,"Unmapped",0)</f>
        <v>Revenue</v>
      </c>
      <c r="K132" s="21" t="str">
        <f>_xlfn.XLOOKUP(F132,'04_Account_Mapping'!$A$6:$A$14,'04_Account_Mapping'!$D$6:$D$14,"Unmapped",0)</f>
        <v>Income</v>
      </c>
    </row>
    <row r="133" spans="1:11">
      <c r="A133" s="16">
        <v>45658</v>
      </c>
      <c r="B133" s="13">
        <v>2025</v>
      </c>
      <c r="C133" s="13">
        <v>1</v>
      </c>
      <c r="D133" s="13" t="s">
        <v>73</v>
      </c>
      <c r="E133" s="13" t="s">
        <v>74</v>
      </c>
      <c r="F133" s="13" t="s">
        <v>58</v>
      </c>
      <c r="G133" s="19">
        <v>-2841.0373187599603</v>
      </c>
      <c r="H133" s="13" t="s">
        <v>71</v>
      </c>
      <c r="I133" s="13" t="s">
        <v>70</v>
      </c>
      <c r="J133" s="21" t="str">
        <f>_xlfn.XLOOKUP(F133,'04_Account_Mapping'!$A$6:$A$14,'04_Account_Mapping'!$C$6:$C$14,"Unmapped",0)</f>
        <v>COGS</v>
      </c>
      <c r="K133" s="21" t="str">
        <f>_xlfn.XLOOKUP(F133,'04_Account_Mapping'!$A$6:$A$14,'04_Account_Mapping'!$D$6:$D$14,"Unmapped",0)</f>
        <v>Expense</v>
      </c>
    </row>
    <row r="134" spans="1:11">
      <c r="A134" s="16">
        <v>45658</v>
      </c>
      <c r="B134" s="13">
        <v>2025</v>
      </c>
      <c r="C134" s="13">
        <v>1</v>
      </c>
      <c r="D134" s="13" t="s">
        <v>73</v>
      </c>
      <c r="E134" s="13" t="s">
        <v>74</v>
      </c>
      <c r="F134" s="13" t="s">
        <v>60</v>
      </c>
      <c r="G134" s="19">
        <v>-432.32420366465499</v>
      </c>
      <c r="H134" s="13" t="s">
        <v>71</v>
      </c>
      <c r="I134" s="13" t="s">
        <v>70</v>
      </c>
      <c r="J134" s="21" t="str">
        <f>_xlfn.XLOOKUP(F134,'04_Account_Mapping'!$A$6:$A$14,'04_Account_Mapping'!$C$6:$C$14,"Unmapped",0)</f>
        <v>Selling Expense</v>
      </c>
      <c r="K134" s="21" t="str">
        <f>_xlfn.XLOOKUP(F134,'04_Account_Mapping'!$A$6:$A$14,'04_Account_Mapping'!$D$6:$D$14,"Unmapped",0)</f>
        <v>Expense</v>
      </c>
    </row>
    <row r="135" spans="1:11">
      <c r="A135" s="16">
        <v>45658</v>
      </c>
      <c r="B135" s="13">
        <v>2025</v>
      </c>
      <c r="C135" s="13">
        <v>1</v>
      </c>
      <c r="D135" s="13" t="s">
        <v>73</v>
      </c>
      <c r="E135" s="13" t="s">
        <v>74</v>
      </c>
      <c r="F135" s="13" t="s">
        <v>61</v>
      </c>
      <c r="G135" s="19">
        <v>-119.25962502084393</v>
      </c>
      <c r="H135" s="13" t="s">
        <v>71</v>
      </c>
      <c r="I135" s="13" t="s">
        <v>70</v>
      </c>
      <c r="J135" s="21" t="str">
        <f>_xlfn.XLOOKUP(F135,'04_Account_Mapping'!$A$6:$A$14,'04_Account_Mapping'!$C$6:$C$14,"Unmapped",0)</f>
        <v>G&amp;A</v>
      </c>
      <c r="K135" s="21" t="str">
        <f>_xlfn.XLOOKUP(F135,'04_Account_Mapping'!$A$6:$A$14,'04_Account_Mapping'!$D$6:$D$14,"Unmapped",0)</f>
        <v>Expense</v>
      </c>
    </row>
    <row r="136" spans="1:11">
      <c r="A136" s="16">
        <v>45658</v>
      </c>
      <c r="B136" s="13">
        <v>2025</v>
      </c>
      <c r="C136" s="13">
        <v>1</v>
      </c>
      <c r="D136" s="13" t="s">
        <v>73</v>
      </c>
      <c r="E136" s="13" t="s">
        <v>74</v>
      </c>
      <c r="F136" s="13" t="s">
        <v>62</v>
      </c>
      <c r="G136" s="19">
        <v>68.073404736169877</v>
      </c>
      <c r="H136" s="13" t="s">
        <v>71</v>
      </c>
      <c r="I136" s="13" t="s">
        <v>70</v>
      </c>
      <c r="J136" s="21" t="str">
        <f>_xlfn.XLOOKUP(F136,'04_Account_Mapping'!$A$6:$A$14,'04_Account_Mapping'!$C$6:$C$14,"Unmapped",0)</f>
        <v>Finance Income</v>
      </c>
      <c r="K136" s="21" t="str">
        <f>_xlfn.XLOOKUP(F136,'04_Account_Mapping'!$A$6:$A$14,'04_Account_Mapping'!$D$6:$D$14,"Unmapped",0)</f>
        <v>Income</v>
      </c>
    </row>
    <row r="137" spans="1:11">
      <c r="A137" s="16">
        <v>45658</v>
      </c>
      <c r="B137" s="13">
        <v>2025</v>
      </c>
      <c r="C137" s="13">
        <v>1</v>
      </c>
      <c r="D137" s="13" t="s">
        <v>73</v>
      </c>
      <c r="E137" s="13" t="s">
        <v>74</v>
      </c>
      <c r="F137" s="13" t="s">
        <v>63</v>
      </c>
      <c r="G137" s="19">
        <v>-33.288146188651936</v>
      </c>
      <c r="H137" s="13" t="s">
        <v>71</v>
      </c>
      <c r="I137" s="13" t="s">
        <v>70</v>
      </c>
      <c r="J137" s="21" t="str">
        <f>_xlfn.XLOOKUP(F137,'04_Account_Mapping'!$A$6:$A$14,'04_Account_Mapping'!$C$6:$C$14,"Unmapped",0)</f>
        <v>Finance Expense</v>
      </c>
      <c r="K137" s="21" t="str">
        <f>_xlfn.XLOOKUP(F137,'04_Account_Mapping'!$A$6:$A$14,'04_Account_Mapping'!$D$6:$D$14,"Unmapped",0)</f>
        <v>Expense</v>
      </c>
    </row>
    <row r="138" spans="1:11">
      <c r="A138" s="16">
        <v>45658</v>
      </c>
      <c r="B138" s="13">
        <v>2025</v>
      </c>
      <c r="C138" s="13">
        <v>1</v>
      </c>
      <c r="D138" s="13" t="s">
        <v>73</v>
      </c>
      <c r="E138" s="13" t="s">
        <v>74</v>
      </c>
      <c r="F138" s="13" t="s">
        <v>64</v>
      </c>
      <c r="G138" s="19">
        <v>0.30730757038728213</v>
      </c>
      <c r="H138" s="13" t="s">
        <v>71</v>
      </c>
      <c r="I138" s="13" t="s">
        <v>70</v>
      </c>
      <c r="J138" s="21" t="str">
        <f>_xlfn.XLOOKUP(F138,'04_Account_Mapping'!$A$6:$A$14,'04_Account_Mapping'!$C$6:$C$14,"Unmapped",0)</f>
        <v>JV Profit/(Loss)</v>
      </c>
      <c r="K138" s="21" t="str">
        <f>_xlfn.XLOOKUP(F138,'04_Account_Mapping'!$A$6:$A$14,'04_Account_Mapping'!$D$6:$D$14,"Unmapped",0)</f>
        <v>Income</v>
      </c>
    </row>
    <row r="139" spans="1:11">
      <c r="A139" s="16">
        <v>45658</v>
      </c>
      <c r="B139" s="13">
        <v>2025</v>
      </c>
      <c r="C139" s="13">
        <v>1</v>
      </c>
      <c r="D139" s="13" t="s">
        <v>73</v>
      </c>
      <c r="E139" s="13" t="s">
        <v>74</v>
      </c>
      <c r="F139" s="13" t="s">
        <v>65</v>
      </c>
      <c r="G139" s="19">
        <v>-0.54429540244174746</v>
      </c>
      <c r="H139" s="13" t="s">
        <v>71</v>
      </c>
      <c r="I139" s="13" t="s">
        <v>70</v>
      </c>
      <c r="J139" s="21" t="str">
        <f>_xlfn.XLOOKUP(F139,'04_Account_Mapping'!$A$6:$A$14,'04_Account_Mapping'!$C$6:$C$14,"Unmapped",0)</f>
        <v>Other Net</v>
      </c>
      <c r="K139" s="21" t="str">
        <f>_xlfn.XLOOKUP(F139,'04_Account_Mapping'!$A$6:$A$14,'04_Account_Mapping'!$D$6:$D$14,"Unmapped",0)</f>
        <v>Income</v>
      </c>
    </row>
    <row r="140" spans="1:11">
      <c r="A140" s="16">
        <v>45658</v>
      </c>
      <c r="B140" s="13">
        <v>2025</v>
      </c>
      <c r="C140" s="13">
        <v>1</v>
      </c>
      <c r="D140" s="13" t="s">
        <v>73</v>
      </c>
      <c r="E140" s="13" t="s">
        <v>74</v>
      </c>
      <c r="F140" s="13" t="s">
        <v>66</v>
      </c>
      <c r="G140" s="19">
        <v>-37.981989823820527</v>
      </c>
      <c r="H140" s="13" t="s">
        <v>71</v>
      </c>
      <c r="I140" s="13" t="s">
        <v>70</v>
      </c>
      <c r="J140" s="21" t="str">
        <f>_xlfn.XLOOKUP(F140,'04_Account_Mapping'!$A$6:$A$14,'04_Account_Mapping'!$C$6:$C$14,"Unmapped",0)</f>
        <v>Tax Expense</v>
      </c>
      <c r="K140" s="21" t="str">
        <f>_xlfn.XLOOKUP(F140,'04_Account_Mapping'!$A$6:$A$14,'04_Account_Mapping'!$D$6:$D$14,"Unmapped",0)</f>
        <v>Expense</v>
      </c>
    </row>
    <row r="141" spans="1:11">
      <c r="A141" s="16">
        <v>45658</v>
      </c>
      <c r="B141" s="13">
        <v>2025</v>
      </c>
      <c r="C141" s="13">
        <v>1</v>
      </c>
      <c r="D141" s="13" t="s">
        <v>75</v>
      </c>
      <c r="E141" s="13" t="s">
        <v>76</v>
      </c>
      <c r="F141" s="13" t="s">
        <v>55</v>
      </c>
      <c r="G141" s="19">
        <v>270.09256941425099</v>
      </c>
      <c r="H141" s="13" t="s">
        <v>69</v>
      </c>
      <c r="I141" s="13" t="s">
        <v>70</v>
      </c>
      <c r="J141" s="21" t="str">
        <f>_xlfn.XLOOKUP(F141,'04_Account_Mapping'!$A$6:$A$14,'04_Account_Mapping'!$C$6:$C$14,"Unmapped",0)</f>
        <v>Revenue</v>
      </c>
      <c r="K141" s="21" t="str">
        <f>_xlfn.XLOOKUP(F141,'04_Account_Mapping'!$A$6:$A$14,'04_Account_Mapping'!$D$6:$D$14,"Unmapped",0)</f>
        <v>Income</v>
      </c>
    </row>
    <row r="142" spans="1:11">
      <c r="A142" s="16">
        <v>45658</v>
      </c>
      <c r="B142" s="13">
        <v>2025</v>
      </c>
      <c r="C142" s="13">
        <v>1</v>
      </c>
      <c r="D142" s="13" t="s">
        <v>75</v>
      </c>
      <c r="E142" s="13" t="s">
        <v>76</v>
      </c>
      <c r="F142" s="13" t="s">
        <v>58</v>
      </c>
      <c r="G142" s="19">
        <v>-216.27273706823229</v>
      </c>
      <c r="H142" s="13" t="s">
        <v>71</v>
      </c>
      <c r="I142" s="13" t="s">
        <v>70</v>
      </c>
      <c r="J142" s="21" t="str">
        <f>_xlfn.XLOOKUP(F142,'04_Account_Mapping'!$A$6:$A$14,'04_Account_Mapping'!$C$6:$C$14,"Unmapped",0)</f>
        <v>COGS</v>
      </c>
      <c r="K142" s="21" t="str">
        <f>_xlfn.XLOOKUP(F142,'04_Account_Mapping'!$A$6:$A$14,'04_Account_Mapping'!$D$6:$D$14,"Unmapped",0)</f>
        <v>Expense</v>
      </c>
    </row>
    <row r="143" spans="1:11">
      <c r="A143" s="16">
        <v>45658</v>
      </c>
      <c r="B143" s="13">
        <v>2025</v>
      </c>
      <c r="C143" s="13">
        <v>1</v>
      </c>
      <c r="D143" s="13" t="s">
        <v>75</v>
      </c>
      <c r="E143" s="13" t="s">
        <v>76</v>
      </c>
      <c r="F143" s="13" t="s">
        <v>60</v>
      </c>
      <c r="G143" s="19">
        <v>-32.910493012534289</v>
      </c>
      <c r="H143" s="13" t="s">
        <v>71</v>
      </c>
      <c r="I143" s="13" t="s">
        <v>70</v>
      </c>
      <c r="J143" s="21" t="str">
        <f>_xlfn.XLOOKUP(F143,'04_Account_Mapping'!$A$6:$A$14,'04_Account_Mapping'!$C$6:$C$14,"Unmapped",0)</f>
        <v>Selling Expense</v>
      </c>
      <c r="K143" s="21" t="str">
        <f>_xlfn.XLOOKUP(F143,'04_Account_Mapping'!$A$6:$A$14,'04_Account_Mapping'!$D$6:$D$14,"Unmapped",0)</f>
        <v>Expense</v>
      </c>
    </row>
    <row r="144" spans="1:11">
      <c r="A144" s="16">
        <v>45658</v>
      </c>
      <c r="B144" s="13">
        <v>2025</v>
      </c>
      <c r="C144" s="13">
        <v>1</v>
      </c>
      <c r="D144" s="13" t="s">
        <v>75</v>
      </c>
      <c r="E144" s="13" t="s">
        <v>76</v>
      </c>
      <c r="F144" s="13" t="s">
        <v>61</v>
      </c>
      <c r="G144" s="19">
        <v>-9.0785873718289505</v>
      </c>
      <c r="H144" s="13" t="s">
        <v>71</v>
      </c>
      <c r="I144" s="13" t="s">
        <v>70</v>
      </c>
      <c r="J144" s="21" t="str">
        <f>_xlfn.XLOOKUP(F144,'04_Account_Mapping'!$A$6:$A$14,'04_Account_Mapping'!$C$6:$C$14,"Unmapped",0)</f>
        <v>G&amp;A</v>
      </c>
      <c r="K144" s="21" t="str">
        <f>_xlfn.XLOOKUP(F144,'04_Account_Mapping'!$A$6:$A$14,'04_Account_Mapping'!$D$6:$D$14,"Unmapped",0)</f>
        <v>Expense</v>
      </c>
    </row>
    <row r="145" spans="1:11">
      <c r="A145" s="16">
        <v>45658</v>
      </c>
      <c r="B145" s="13">
        <v>2025</v>
      </c>
      <c r="C145" s="13">
        <v>1</v>
      </c>
      <c r="D145" s="13" t="s">
        <v>75</v>
      </c>
      <c r="E145" s="13" t="s">
        <v>76</v>
      </c>
      <c r="F145" s="13" t="s">
        <v>62</v>
      </c>
      <c r="G145" s="19">
        <v>5.1820584920267736</v>
      </c>
      <c r="H145" s="13" t="s">
        <v>71</v>
      </c>
      <c r="I145" s="13" t="s">
        <v>70</v>
      </c>
      <c r="J145" s="21" t="str">
        <f>_xlfn.XLOOKUP(F145,'04_Account_Mapping'!$A$6:$A$14,'04_Account_Mapping'!$C$6:$C$14,"Unmapped",0)</f>
        <v>Finance Income</v>
      </c>
      <c r="K145" s="21" t="str">
        <f>_xlfn.XLOOKUP(F145,'04_Account_Mapping'!$A$6:$A$14,'04_Account_Mapping'!$D$6:$D$14,"Unmapped",0)</f>
        <v>Income</v>
      </c>
    </row>
    <row r="146" spans="1:11">
      <c r="A146" s="16">
        <v>45658</v>
      </c>
      <c r="B146" s="13">
        <v>2025</v>
      </c>
      <c r="C146" s="13">
        <v>1</v>
      </c>
      <c r="D146" s="13" t="s">
        <v>75</v>
      </c>
      <c r="E146" s="13" t="s">
        <v>76</v>
      </c>
      <c r="F146" s="13" t="s">
        <v>63</v>
      </c>
      <c r="G146" s="19">
        <v>-2.5340457306240234</v>
      </c>
      <c r="H146" s="13" t="s">
        <v>71</v>
      </c>
      <c r="I146" s="13" t="s">
        <v>70</v>
      </c>
      <c r="J146" s="21" t="str">
        <f>_xlfn.XLOOKUP(F146,'04_Account_Mapping'!$A$6:$A$14,'04_Account_Mapping'!$C$6:$C$14,"Unmapped",0)</f>
        <v>Finance Expense</v>
      </c>
      <c r="K146" s="21" t="str">
        <f>_xlfn.XLOOKUP(F146,'04_Account_Mapping'!$A$6:$A$14,'04_Account_Mapping'!$D$6:$D$14,"Unmapped",0)</f>
        <v>Expense</v>
      </c>
    </row>
    <row r="147" spans="1:11">
      <c r="A147" s="16">
        <v>45658</v>
      </c>
      <c r="B147" s="13">
        <v>2025</v>
      </c>
      <c r="C147" s="13">
        <v>1</v>
      </c>
      <c r="D147" s="13" t="s">
        <v>75</v>
      </c>
      <c r="E147" s="13" t="s">
        <v>76</v>
      </c>
      <c r="F147" s="13" t="s">
        <v>64</v>
      </c>
      <c r="G147" s="19">
        <v>2.339365587723255E-2</v>
      </c>
      <c r="H147" s="13" t="s">
        <v>71</v>
      </c>
      <c r="I147" s="13" t="s">
        <v>70</v>
      </c>
      <c r="J147" s="21" t="str">
        <f>_xlfn.XLOOKUP(F147,'04_Account_Mapping'!$A$6:$A$14,'04_Account_Mapping'!$C$6:$C$14,"Unmapped",0)</f>
        <v>JV Profit/(Loss)</v>
      </c>
      <c r="K147" s="21" t="str">
        <f>_xlfn.XLOOKUP(F147,'04_Account_Mapping'!$A$6:$A$14,'04_Account_Mapping'!$D$6:$D$14,"Unmapped",0)</f>
        <v>Income</v>
      </c>
    </row>
    <row r="148" spans="1:11">
      <c r="A148" s="16">
        <v>45658</v>
      </c>
      <c r="B148" s="13">
        <v>2025</v>
      </c>
      <c r="C148" s="13">
        <v>1</v>
      </c>
      <c r="D148" s="13" t="s">
        <v>75</v>
      </c>
      <c r="E148" s="13" t="s">
        <v>76</v>
      </c>
      <c r="F148" s="13" t="s">
        <v>65</v>
      </c>
      <c r="G148" s="19">
        <v>-4.1434252088991166E-2</v>
      </c>
      <c r="H148" s="13" t="s">
        <v>71</v>
      </c>
      <c r="I148" s="13" t="s">
        <v>70</v>
      </c>
      <c r="J148" s="21" t="str">
        <f>_xlfn.XLOOKUP(F148,'04_Account_Mapping'!$A$6:$A$14,'04_Account_Mapping'!$C$6:$C$14,"Unmapped",0)</f>
        <v>Other Net</v>
      </c>
      <c r="K148" s="21" t="str">
        <f>_xlfn.XLOOKUP(F148,'04_Account_Mapping'!$A$6:$A$14,'04_Account_Mapping'!$D$6:$D$14,"Unmapped",0)</f>
        <v>Income</v>
      </c>
    </row>
    <row r="149" spans="1:11">
      <c r="A149" s="16">
        <v>45658</v>
      </c>
      <c r="B149" s="13">
        <v>2025</v>
      </c>
      <c r="C149" s="13">
        <v>1</v>
      </c>
      <c r="D149" s="13" t="s">
        <v>75</v>
      </c>
      <c r="E149" s="13" t="s">
        <v>76</v>
      </c>
      <c r="F149" s="13" t="s">
        <v>66</v>
      </c>
      <c r="G149" s="19">
        <v>-2.8913625471420472</v>
      </c>
      <c r="H149" s="13" t="s">
        <v>71</v>
      </c>
      <c r="I149" s="13" t="s">
        <v>70</v>
      </c>
      <c r="J149" s="21" t="str">
        <f>_xlfn.XLOOKUP(F149,'04_Account_Mapping'!$A$6:$A$14,'04_Account_Mapping'!$C$6:$C$14,"Unmapped",0)</f>
        <v>Tax Expense</v>
      </c>
      <c r="K149" s="21" t="str">
        <f>_xlfn.XLOOKUP(F149,'04_Account_Mapping'!$A$6:$A$14,'04_Account_Mapping'!$D$6:$D$14,"Unmapped",0)</f>
        <v>Expense</v>
      </c>
    </row>
    <row r="150" spans="1:11">
      <c r="A150" s="16">
        <v>45689</v>
      </c>
      <c r="B150" s="13">
        <v>2025</v>
      </c>
      <c r="C150" s="13">
        <v>2</v>
      </c>
      <c r="D150" s="13" t="s">
        <v>67</v>
      </c>
      <c r="E150" s="13" t="s">
        <v>68</v>
      </c>
      <c r="F150" s="13" t="s">
        <v>55</v>
      </c>
      <c r="G150" s="19">
        <v>2823.6950438762606</v>
      </c>
      <c r="H150" s="13" t="s">
        <v>69</v>
      </c>
      <c r="I150" s="13" t="s">
        <v>70</v>
      </c>
      <c r="J150" s="21" t="str">
        <f>_xlfn.XLOOKUP(F150,'04_Account_Mapping'!$A$6:$A$14,'04_Account_Mapping'!$C$6:$C$14,"Unmapped",0)</f>
        <v>Revenue</v>
      </c>
      <c r="K150" s="21" t="str">
        <f>_xlfn.XLOOKUP(F150,'04_Account_Mapping'!$A$6:$A$14,'04_Account_Mapping'!$D$6:$D$14,"Unmapped",0)</f>
        <v>Income</v>
      </c>
    </row>
    <row r="151" spans="1:11">
      <c r="A151" s="16">
        <v>45689</v>
      </c>
      <c r="B151" s="13">
        <v>2025</v>
      </c>
      <c r="C151" s="13">
        <v>2</v>
      </c>
      <c r="D151" s="13" t="s">
        <v>67</v>
      </c>
      <c r="E151" s="13" t="s">
        <v>68</v>
      </c>
      <c r="F151" s="13" t="s">
        <v>58</v>
      </c>
      <c r="G151" s="19">
        <v>-2261.0331602587926</v>
      </c>
      <c r="H151" s="13" t="s">
        <v>71</v>
      </c>
      <c r="I151" s="13" t="s">
        <v>70</v>
      </c>
      <c r="J151" s="21" t="str">
        <f>_xlfn.XLOOKUP(F151,'04_Account_Mapping'!$A$6:$A$14,'04_Account_Mapping'!$C$6:$C$14,"Unmapped",0)</f>
        <v>COGS</v>
      </c>
      <c r="K151" s="21" t="str">
        <f>_xlfn.XLOOKUP(F151,'04_Account_Mapping'!$A$6:$A$14,'04_Account_Mapping'!$D$6:$D$14,"Unmapped",0)</f>
        <v>Expense</v>
      </c>
    </row>
    <row r="152" spans="1:11">
      <c r="A152" s="16">
        <v>45689</v>
      </c>
      <c r="B152" s="13">
        <v>2025</v>
      </c>
      <c r="C152" s="13">
        <v>2</v>
      </c>
      <c r="D152" s="13" t="s">
        <v>67</v>
      </c>
      <c r="E152" s="13" t="s">
        <v>68</v>
      </c>
      <c r="F152" s="13" t="s">
        <v>60</v>
      </c>
      <c r="G152" s="19">
        <v>-344.06424513104037</v>
      </c>
      <c r="H152" s="13" t="s">
        <v>71</v>
      </c>
      <c r="I152" s="13" t="s">
        <v>70</v>
      </c>
      <c r="J152" s="21" t="str">
        <f>_xlfn.XLOOKUP(F152,'04_Account_Mapping'!$A$6:$A$14,'04_Account_Mapping'!$C$6:$C$14,"Unmapped",0)</f>
        <v>Selling Expense</v>
      </c>
      <c r="K152" s="21" t="str">
        <f>_xlfn.XLOOKUP(F152,'04_Account_Mapping'!$A$6:$A$14,'04_Account_Mapping'!$D$6:$D$14,"Unmapped",0)</f>
        <v>Expense</v>
      </c>
    </row>
    <row r="153" spans="1:11">
      <c r="A153" s="16">
        <v>45689</v>
      </c>
      <c r="B153" s="13">
        <v>2025</v>
      </c>
      <c r="C153" s="13">
        <v>2</v>
      </c>
      <c r="D153" s="13" t="s">
        <v>67</v>
      </c>
      <c r="E153" s="13" t="s">
        <v>68</v>
      </c>
      <c r="F153" s="13" t="s">
        <v>61</v>
      </c>
      <c r="G153" s="19">
        <v>-94.912504341848134</v>
      </c>
      <c r="H153" s="13" t="s">
        <v>71</v>
      </c>
      <c r="I153" s="13" t="s">
        <v>70</v>
      </c>
      <c r="J153" s="21" t="str">
        <f>_xlfn.XLOOKUP(F153,'04_Account_Mapping'!$A$6:$A$14,'04_Account_Mapping'!$C$6:$C$14,"Unmapped",0)</f>
        <v>G&amp;A</v>
      </c>
      <c r="K153" s="21" t="str">
        <f>_xlfn.XLOOKUP(F153,'04_Account_Mapping'!$A$6:$A$14,'04_Account_Mapping'!$D$6:$D$14,"Unmapped",0)</f>
        <v>Expense</v>
      </c>
    </row>
    <row r="154" spans="1:11">
      <c r="A154" s="16">
        <v>45689</v>
      </c>
      <c r="B154" s="13">
        <v>2025</v>
      </c>
      <c r="C154" s="13">
        <v>2</v>
      </c>
      <c r="D154" s="13" t="s">
        <v>67</v>
      </c>
      <c r="E154" s="13" t="s">
        <v>68</v>
      </c>
      <c r="F154" s="13" t="s">
        <v>62</v>
      </c>
      <c r="G154" s="19">
        <v>54.176066053007183</v>
      </c>
      <c r="H154" s="13" t="s">
        <v>71</v>
      </c>
      <c r="I154" s="13" t="s">
        <v>70</v>
      </c>
      <c r="J154" s="21" t="str">
        <f>_xlfn.XLOOKUP(F154,'04_Account_Mapping'!$A$6:$A$14,'04_Account_Mapping'!$C$6:$C$14,"Unmapped",0)</f>
        <v>Finance Income</v>
      </c>
      <c r="K154" s="21" t="str">
        <f>_xlfn.XLOOKUP(F154,'04_Account_Mapping'!$A$6:$A$14,'04_Account_Mapping'!$D$6:$D$14,"Unmapped",0)</f>
        <v>Income</v>
      </c>
    </row>
    <row r="155" spans="1:11">
      <c r="A155" s="16">
        <v>45689</v>
      </c>
      <c r="B155" s="13">
        <v>2025</v>
      </c>
      <c r="C155" s="13">
        <v>2</v>
      </c>
      <c r="D155" s="13" t="s">
        <v>67</v>
      </c>
      <c r="E155" s="13" t="s">
        <v>68</v>
      </c>
      <c r="F155" s="13" t="s">
        <v>63</v>
      </c>
      <c r="G155" s="19">
        <v>-26.492296274705701</v>
      </c>
      <c r="H155" s="13" t="s">
        <v>71</v>
      </c>
      <c r="I155" s="13" t="s">
        <v>70</v>
      </c>
      <c r="J155" s="21" t="str">
        <f>_xlfn.XLOOKUP(F155,'04_Account_Mapping'!$A$6:$A$14,'04_Account_Mapping'!$C$6:$C$14,"Unmapped",0)</f>
        <v>Finance Expense</v>
      </c>
      <c r="K155" s="21" t="str">
        <f>_xlfn.XLOOKUP(F155,'04_Account_Mapping'!$A$6:$A$14,'04_Account_Mapping'!$D$6:$D$14,"Unmapped",0)</f>
        <v>Expense</v>
      </c>
    </row>
    <row r="156" spans="1:11">
      <c r="A156" s="16">
        <v>45689</v>
      </c>
      <c r="B156" s="13">
        <v>2025</v>
      </c>
      <c r="C156" s="13">
        <v>2</v>
      </c>
      <c r="D156" s="13" t="s">
        <v>67</v>
      </c>
      <c r="E156" s="13" t="s">
        <v>68</v>
      </c>
      <c r="F156" s="13" t="s">
        <v>64</v>
      </c>
      <c r="G156" s="19">
        <v>0.24457003871652216</v>
      </c>
      <c r="H156" s="13" t="s">
        <v>71</v>
      </c>
      <c r="I156" s="13" t="s">
        <v>70</v>
      </c>
      <c r="J156" s="21" t="str">
        <f>_xlfn.XLOOKUP(F156,'04_Account_Mapping'!$A$6:$A$14,'04_Account_Mapping'!$C$6:$C$14,"Unmapped",0)</f>
        <v>JV Profit/(Loss)</v>
      </c>
      <c r="K156" s="21" t="str">
        <f>_xlfn.XLOOKUP(F156,'04_Account_Mapping'!$A$6:$A$14,'04_Account_Mapping'!$D$6:$D$14,"Unmapped",0)</f>
        <v>Income</v>
      </c>
    </row>
    <row r="157" spans="1:11">
      <c r="A157" s="16">
        <v>45689</v>
      </c>
      <c r="B157" s="13">
        <v>2025</v>
      </c>
      <c r="C157" s="13">
        <v>2</v>
      </c>
      <c r="D157" s="13" t="s">
        <v>67</v>
      </c>
      <c r="E157" s="13" t="s">
        <v>68</v>
      </c>
      <c r="F157" s="13" t="s">
        <v>65</v>
      </c>
      <c r="G157" s="19">
        <v>-0.43317627183945312</v>
      </c>
      <c r="H157" s="13" t="s">
        <v>71</v>
      </c>
      <c r="I157" s="13" t="s">
        <v>70</v>
      </c>
      <c r="J157" s="21" t="str">
        <f>_xlfn.XLOOKUP(F157,'04_Account_Mapping'!$A$6:$A$14,'04_Account_Mapping'!$C$6:$C$14,"Unmapped",0)</f>
        <v>Other Net</v>
      </c>
      <c r="K157" s="21" t="str">
        <f>_xlfn.XLOOKUP(F157,'04_Account_Mapping'!$A$6:$A$14,'04_Account_Mapping'!$D$6:$D$14,"Unmapped",0)</f>
        <v>Income</v>
      </c>
    </row>
    <row r="158" spans="1:11">
      <c r="A158" s="16">
        <v>45689</v>
      </c>
      <c r="B158" s="13">
        <v>2025</v>
      </c>
      <c r="C158" s="13">
        <v>2</v>
      </c>
      <c r="D158" s="13" t="s">
        <v>67</v>
      </c>
      <c r="E158" s="13" t="s">
        <v>68</v>
      </c>
      <c r="F158" s="13" t="s">
        <v>66</v>
      </c>
      <c r="G158" s="19">
        <v>-30.227881174666862</v>
      </c>
      <c r="H158" s="13" t="s">
        <v>71</v>
      </c>
      <c r="I158" s="13" t="s">
        <v>70</v>
      </c>
      <c r="J158" s="21" t="str">
        <f>_xlfn.XLOOKUP(F158,'04_Account_Mapping'!$A$6:$A$14,'04_Account_Mapping'!$C$6:$C$14,"Unmapped",0)</f>
        <v>Tax Expense</v>
      </c>
      <c r="K158" s="21" t="str">
        <f>_xlfn.XLOOKUP(F158,'04_Account_Mapping'!$A$6:$A$14,'04_Account_Mapping'!$D$6:$D$14,"Unmapped",0)</f>
        <v>Expense</v>
      </c>
    </row>
    <row r="159" spans="1:11">
      <c r="A159" s="16">
        <v>45689</v>
      </c>
      <c r="B159" s="13">
        <v>2025</v>
      </c>
      <c r="C159" s="13">
        <v>2</v>
      </c>
      <c r="D159" s="13" t="s">
        <v>72</v>
      </c>
      <c r="E159" s="13" t="s">
        <v>68</v>
      </c>
      <c r="F159" s="13" t="s">
        <v>55</v>
      </c>
      <c r="G159" s="19">
        <v>5635.1131527791449</v>
      </c>
      <c r="H159" s="13" t="s">
        <v>69</v>
      </c>
      <c r="I159" s="13" t="s">
        <v>70</v>
      </c>
      <c r="J159" s="21" t="str">
        <f>_xlfn.XLOOKUP(F159,'04_Account_Mapping'!$A$6:$A$14,'04_Account_Mapping'!$C$6:$C$14,"Unmapped",0)</f>
        <v>Revenue</v>
      </c>
      <c r="K159" s="21" t="str">
        <f>_xlfn.XLOOKUP(F159,'04_Account_Mapping'!$A$6:$A$14,'04_Account_Mapping'!$D$6:$D$14,"Unmapped",0)</f>
        <v>Income</v>
      </c>
    </row>
    <row r="160" spans="1:11">
      <c r="A160" s="16">
        <v>45689</v>
      </c>
      <c r="B160" s="13">
        <v>2025</v>
      </c>
      <c r="C160" s="13">
        <v>2</v>
      </c>
      <c r="D160" s="13" t="s">
        <v>72</v>
      </c>
      <c r="E160" s="13" t="s">
        <v>68</v>
      </c>
      <c r="F160" s="13" t="s">
        <v>58</v>
      </c>
      <c r="G160" s="19">
        <v>-4512.2357415599372</v>
      </c>
      <c r="H160" s="13" t="s">
        <v>71</v>
      </c>
      <c r="I160" s="13" t="s">
        <v>70</v>
      </c>
      <c r="J160" s="21" t="str">
        <f>_xlfn.XLOOKUP(F160,'04_Account_Mapping'!$A$6:$A$14,'04_Account_Mapping'!$C$6:$C$14,"Unmapped",0)</f>
        <v>COGS</v>
      </c>
      <c r="K160" s="21" t="str">
        <f>_xlfn.XLOOKUP(F160,'04_Account_Mapping'!$A$6:$A$14,'04_Account_Mapping'!$D$6:$D$14,"Unmapped",0)</f>
        <v>Expense</v>
      </c>
    </row>
    <row r="161" spans="1:11">
      <c r="A161" s="16">
        <v>45689</v>
      </c>
      <c r="B161" s="13">
        <v>2025</v>
      </c>
      <c r="C161" s="13">
        <v>2</v>
      </c>
      <c r="D161" s="13" t="s">
        <v>72</v>
      </c>
      <c r="E161" s="13" t="s">
        <v>68</v>
      </c>
      <c r="F161" s="13" t="s">
        <v>60</v>
      </c>
      <c r="G161" s="19">
        <v>-686.63255876151095</v>
      </c>
      <c r="H161" s="13" t="s">
        <v>71</v>
      </c>
      <c r="I161" s="13" t="s">
        <v>70</v>
      </c>
      <c r="J161" s="21" t="str">
        <f>_xlfn.XLOOKUP(F161,'04_Account_Mapping'!$A$6:$A$14,'04_Account_Mapping'!$C$6:$C$14,"Unmapped",0)</f>
        <v>Selling Expense</v>
      </c>
      <c r="K161" s="21" t="str">
        <f>_xlfn.XLOOKUP(F161,'04_Account_Mapping'!$A$6:$A$14,'04_Account_Mapping'!$D$6:$D$14,"Unmapped",0)</f>
        <v>Expense</v>
      </c>
    </row>
    <row r="162" spans="1:11">
      <c r="A162" s="16">
        <v>45689</v>
      </c>
      <c r="B162" s="13">
        <v>2025</v>
      </c>
      <c r="C162" s="13">
        <v>2</v>
      </c>
      <c r="D162" s="13" t="s">
        <v>72</v>
      </c>
      <c r="E162" s="13" t="s">
        <v>68</v>
      </c>
      <c r="F162" s="13" t="s">
        <v>61</v>
      </c>
      <c r="G162" s="19">
        <v>-189.41234562134036</v>
      </c>
      <c r="H162" s="13" t="s">
        <v>71</v>
      </c>
      <c r="I162" s="13" t="s">
        <v>70</v>
      </c>
      <c r="J162" s="21" t="str">
        <f>_xlfn.XLOOKUP(F162,'04_Account_Mapping'!$A$6:$A$14,'04_Account_Mapping'!$C$6:$C$14,"Unmapped",0)</f>
        <v>G&amp;A</v>
      </c>
      <c r="K162" s="21" t="str">
        <f>_xlfn.XLOOKUP(F162,'04_Account_Mapping'!$A$6:$A$14,'04_Account_Mapping'!$D$6:$D$14,"Unmapped",0)</f>
        <v>Expense</v>
      </c>
    </row>
    <row r="163" spans="1:11">
      <c r="A163" s="16">
        <v>45689</v>
      </c>
      <c r="B163" s="13">
        <v>2025</v>
      </c>
      <c r="C163" s="13">
        <v>2</v>
      </c>
      <c r="D163" s="13" t="s">
        <v>72</v>
      </c>
      <c r="E163" s="13" t="s">
        <v>68</v>
      </c>
      <c r="F163" s="13" t="s">
        <v>62</v>
      </c>
      <c r="G163" s="19">
        <v>108.1165839927404</v>
      </c>
      <c r="H163" s="13" t="s">
        <v>71</v>
      </c>
      <c r="I163" s="13" t="s">
        <v>70</v>
      </c>
      <c r="J163" s="21" t="str">
        <f>_xlfn.XLOOKUP(F163,'04_Account_Mapping'!$A$6:$A$14,'04_Account_Mapping'!$C$6:$C$14,"Unmapped",0)</f>
        <v>Finance Income</v>
      </c>
      <c r="K163" s="21" t="str">
        <f>_xlfn.XLOOKUP(F163,'04_Account_Mapping'!$A$6:$A$14,'04_Account_Mapping'!$D$6:$D$14,"Unmapped",0)</f>
        <v>Income</v>
      </c>
    </row>
    <row r="164" spans="1:11">
      <c r="A164" s="16">
        <v>45689</v>
      </c>
      <c r="B164" s="13">
        <v>2025</v>
      </c>
      <c r="C164" s="13">
        <v>2</v>
      </c>
      <c r="D164" s="13" t="s">
        <v>72</v>
      </c>
      <c r="E164" s="13" t="s">
        <v>68</v>
      </c>
      <c r="F164" s="13" t="s">
        <v>63</v>
      </c>
      <c r="G164" s="19">
        <v>-52.86940865256485</v>
      </c>
      <c r="H164" s="13" t="s">
        <v>71</v>
      </c>
      <c r="I164" s="13" t="s">
        <v>70</v>
      </c>
      <c r="J164" s="21" t="str">
        <f>_xlfn.XLOOKUP(F164,'04_Account_Mapping'!$A$6:$A$14,'04_Account_Mapping'!$C$6:$C$14,"Unmapped",0)</f>
        <v>Finance Expense</v>
      </c>
      <c r="K164" s="21" t="str">
        <f>_xlfn.XLOOKUP(F164,'04_Account_Mapping'!$A$6:$A$14,'04_Account_Mapping'!$D$6:$D$14,"Unmapped",0)</f>
        <v>Expense</v>
      </c>
    </row>
    <row r="165" spans="1:11">
      <c r="A165" s="16">
        <v>45689</v>
      </c>
      <c r="B165" s="13">
        <v>2025</v>
      </c>
      <c r="C165" s="13">
        <v>2</v>
      </c>
      <c r="D165" s="13" t="s">
        <v>72</v>
      </c>
      <c r="E165" s="13" t="s">
        <v>68</v>
      </c>
      <c r="F165" s="13" t="s">
        <v>64</v>
      </c>
      <c r="G165" s="19">
        <v>0.48807672943862457</v>
      </c>
      <c r="H165" s="13" t="s">
        <v>71</v>
      </c>
      <c r="I165" s="13" t="s">
        <v>70</v>
      </c>
      <c r="J165" s="21" t="str">
        <f>_xlfn.XLOOKUP(F165,'04_Account_Mapping'!$A$6:$A$14,'04_Account_Mapping'!$C$6:$C$14,"Unmapped",0)</f>
        <v>JV Profit/(Loss)</v>
      </c>
      <c r="K165" s="21" t="str">
        <f>_xlfn.XLOOKUP(F165,'04_Account_Mapping'!$A$6:$A$14,'04_Account_Mapping'!$D$6:$D$14,"Unmapped",0)</f>
        <v>Income</v>
      </c>
    </row>
    <row r="166" spans="1:11">
      <c r="A166" s="16">
        <v>45689</v>
      </c>
      <c r="B166" s="13">
        <v>2025</v>
      </c>
      <c r="C166" s="13">
        <v>2</v>
      </c>
      <c r="D166" s="13" t="s">
        <v>72</v>
      </c>
      <c r="E166" s="13" t="s">
        <v>68</v>
      </c>
      <c r="F166" s="13" t="s">
        <v>65</v>
      </c>
      <c r="G166" s="19">
        <v>-0.86446916858395195</v>
      </c>
      <c r="H166" s="13" t="s">
        <v>71</v>
      </c>
      <c r="I166" s="13" t="s">
        <v>70</v>
      </c>
      <c r="J166" s="21" t="str">
        <f>_xlfn.XLOOKUP(F166,'04_Account_Mapping'!$A$6:$A$14,'04_Account_Mapping'!$C$6:$C$14,"Unmapped",0)</f>
        <v>Other Net</v>
      </c>
      <c r="K166" s="21" t="str">
        <f>_xlfn.XLOOKUP(F166,'04_Account_Mapping'!$A$6:$A$14,'04_Account_Mapping'!$D$6:$D$14,"Unmapped",0)</f>
        <v>Income</v>
      </c>
    </row>
    <row r="167" spans="1:11">
      <c r="A167" s="16">
        <v>45689</v>
      </c>
      <c r="B167" s="13">
        <v>2025</v>
      </c>
      <c r="C167" s="13">
        <v>2</v>
      </c>
      <c r="D167" s="13" t="s">
        <v>72</v>
      </c>
      <c r="E167" s="13" t="s">
        <v>68</v>
      </c>
      <c r="F167" s="13" t="s">
        <v>66</v>
      </c>
      <c r="G167" s="19">
        <v>-60.324336779009073</v>
      </c>
      <c r="H167" s="13" t="s">
        <v>71</v>
      </c>
      <c r="I167" s="13" t="s">
        <v>70</v>
      </c>
      <c r="J167" s="21" t="str">
        <f>_xlfn.XLOOKUP(F167,'04_Account_Mapping'!$A$6:$A$14,'04_Account_Mapping'!$C$6:$C$14,"Unmapped",0)</f>
        <v>Tax Expense</v>
      </c>
      <c r="K167" s="21" t="str">
        <f>_xlfn.XLOOKUP(F167,'04_Account_Mapping'!$A$6:$A$14,'04_Account_Mapping'!$D$6:$D$14,"Unmapped",0)</f>
        <v>Expense</v>
      </c>
    </row>
    <row r="168" spans="1:11">
      <c r="A168" s="16">
        <v>45689</v>
      </c>
      <c r="B168" s="13">
        <v>2025</v>
      </c>
      <c r="C168" s="13">
        <v>2</v>
      </c>
      <c r="D168" s="13" t="s">
        <v>73</v>
      </c>
      <c r="E168" s="13" t="s">
        <v>74</v>
      </c>
      <c r="F168" s="13" t="s">
        <v>55</v>
      </c>
      <c r="G168" s="19">
        <v>3548.0342073053876</v>
      </c>
      <c r="H168" s="13" t="s">
        <v>69</v>
      </c>
      <c r="I168" s="13" t="s">
        <v>70</v>
      </c>
      <c r="J168" s="21" t="str">
        <f>_xlfn.XLOOKUP(F168,'04_Account_Mapping'!$A$6:$A$14,'04_Account_Mapping'!$C$6:$C$14,"Unmapped",0)</f>
        <v>Revenue</v>
      </c>
      <c r="K168" s="21" t="str">
        <f>_xlfn.XLOOKUP(F168,'04_Account_Mapping'!$A$6:$A$14,'04_Account_Mapping'!$D$6:$D$14,"Unmapped",0)</f>
        <v>Income</v>
      </c>
    </row>
    <row r="169" spans="1:11">
      <c r="A169" s="16">
        <v>45689</v>
      </c>
      <c r="B169" s="13">
        <v>2025</v>
      </c>
      <c r="C169" s="13">
        <v>2</v>
      </c>
      <c r="D169" s="13" t="s">
        <v>73</v>
      </c>
      <c r="E169" s="13" t="s">
        <v>74</v>
      </c>
      <c r="F169" s="13" t="s">
        <v>58</v>
      </c>
      <c r="G169" s="19">
        <v>-2841.0373187599603</v>
      </c>
      <c r="H169" s="13" t="s">
        <v>71</v>
      </c>
      <c r="I169" s="13" t="s">
        <v>70</v>
      </c>
      <c r="J169" s="21" t="str">
        <f>_xlfn.XLOOKUP(F169,'04_Account_Mapping'!$A$6:$A$14,'04_Account_Mapping'!$C$6:$C$14,"Unmapped",0)</f>
        <v>COGS</v>
      </c>
      <c r="K169" s="21" t="str">
        <f>_xlfn.XLOOKUP(F169,'04_Account_Mapping'!$A$6:$A$14,'04_Account_Mapping'!$D$6:$D$14,"Unmapped",0)</f>
        <v>Expense</v>
      </c>
    </row>
    <row r="170" spans="1:11">
      <c r="A170" s="16">
        <v>45689</v>
      </c>
      <c r="B170" s="13">
        <v>2025</v>
      </c>
      <c r="C170" s="13">
        <v>2</v>
      </c>
      <c r="D170" s="13" t="s">
        <v>73</v>
      </c>
      <c r="E170" s="13" t="s">
        <v>74</v>
      </c>
      <c r="F170" s="13" t="s">
        <v>60</v>
      </c>
      <c r="G170" s="19">
        <v>-432.32420366465499</v>
      </c>
      <c r="H170" s="13" t="s">
        <v>71</v>
      </c>
      <c r="I170" s="13" t="s">
        <v>70</v>
      </c>
      <c r="J170" s="21" t="str">
        <f>_xlfn.XLOOKUP(F170,'04_Account_Mapping'!$A$6:$A$14,'04_Account_Mapping'!$C$6:$C$14,"Unmapped",0)</f>
        <v>Selling Expense</v>
      </c>
      <c r="K170" s="21" t="str">
        <f>_xlfn.XLOOKUP(F170,'04_Account_Mapping'!$A$6:$A$14,'04_Account_Mapping'!$D$6:$D$14,"Unmapped",0)</f>
        <v>Expense</v>
      </c>
    </row>
    <row r="171" spans="1:11">
      <c r="A171" s="16">
        <v>45689</v>
      </c>
      <c r="B171" s="13">
        <v>2025</v>
      </c>
      <c r="C171" s="13">
        <v>2</v>
      </c>
      <c r="D171" s="13" t="s">
        <v>73</v>
      </c>
      <c r="E171" s="13" t="s">
        <v>74</v>
      </c>
      <c r="F171" s="13" t="s">
        <v>61</v>
      </c>
      <c r="G171" s="19">
        <v>-119.25962502084393</v>
      </c>
      <c r="H171" s="13" t="s">
        <v>71</v>
      </c>
      <c r="I171" s="13" t="s">
        <v>70</v>
      </c>
      <c r="J171" s="21" t="str">
        <f>_xlfn.XLOOKUP(F171,'04_Account_Mapping'!$A$6:$A$14,'04_Account_Mapping'!$C$6:$C$14,"Unmapped",0)</f>
        <v>G&amp;A</v>
      </c>
      <c r="K171" s="21" t="str">
        <f>_xlfn.XLOOKUP(F171,'04_Account_Mapping'!$A$6:$A$14,'04_Account_Mapping'!$D$6:$D$14,"Unmapped",0)</f>
        <v>Expense</v>
      </c>
    </row>
    <row r="172" spans="1:11">
      <c r="A172" s="16">
        <v>45689</v>
      </c>
      <c r="B172" s="13">
        <v>2025</v>
      </c>
      <c r="C172" s="13">
        <v>2</v>
      </c>
      <c r="D172" s="13" t="s">
        <v>73</v>
      </c>
      <c r="E172" s="13" t="s">
        <v>74</v>
      </c>
      <c r="F172" s="13" t="s">
        <v>62</v>
      </c>
      <c r="G172" s="19">
        <v>68.073404736169877</v>
      </c>
      <c r="H172" s="13" t="s">
        <v>71</v>
      </c>
      <c r="I172" s="13" t="s">
        <v>70</v>
      </c>
      <c r="J172" s="21" t="str">
        <f>_xlfn.XLOOKUP(F172,'04_Account_Mapping'!$A$6:$A$14,'04_Account_Mapping'!$C$6:$C$14,"Unmapped",0)</f>
        <v>Finance Income</v>
      </c>
      <c r="K172" s="21" t="str">
        <f>_xlfn.XLOOKUP(F172,'04_Account_Mapping'!$A$6:$A$14,'04_Account_Mapping'!$D$6:$D$14,"Unmapped",0)</f>
        <v>Income</v>
      </c>
    </row>
    <row r="173" spans="1:11">
      <c r="A173" s="16">
        <v>45689</v>
      </c>
      <c r="B173" s="13">
        <v>2025</v>
      </c>
      <c r="C173" s="13">
        <v>2</v>
      </c>
      <c r="D173" s="13" t="s">
        <v>73</v>
      </c>
      <c r="E173" s="13" t="s">
        <v>74</v>
      </c>
      <c r="F173" s="13" t="s">
        <v>63</v>
      </c>
      <c r="G173" s="19">
        <v>-33.288146188651936</v>
      </c>
      <c r="H173" s="13" t="s">
        <v>71</v>
      </c>
      <c r="I173" s="13" t="s">
        <v>70</v>
      </c>
      <c r="J173" s="21" t="str">
        <f>_xlfn.XLOOKUP(F173,'04_Account_Mapping'!$A$6:$A$14,'04_Account_Mapping'!$C$6:$C$14,"Unmapped",0)</f>
        <v>Finance Expense</v>
      </c>
      <c r="K173" s="21" t="str">
        <f>_xlfn.XLOOKUP(F173,'04_Account_Mapping'!$A$6:$A$14,'04_Account_Mapping'!$D$6:$D$14,"Unmapped",0)</f>
        <v>Expense</v>
      </c>
    </row>
    <row r="174" spans="1:11">
      <c r="A174" s="16">
        <v>45689</v>
      </c>
      <c r="B174" s="13">
        <v>2025</v>
      </c>
      <c r="C174" s="13">
        <v>2</v>
      </c>
      <c r="D174" s="13" t="s">
        <v>73</v>
      </c>
      <c r="E174" s="13" t="s">
        <v>74</v>
      </c>
      <c r="F174" s="13" t="s">
        <v>64</v>
      </c>
      <c r="G174" s="19">
        <v>0.30730757038728213</v>
      </c>
      <c r="H174" s="13" t="s">
        <v>71</v>
      </c>
      <c r="I174" s="13" t="s">
        <v>70</v>
      </c>
      <c r="J174" s="21" t="str">
        <f>_xlfn.XLOOKUP(F174,'04_Account_Mapping'!$A$6:$A$14,'04_Account_Mapping'!$C$6:$C$14,"Unmapped",0)</f>
        <v>JV Profit/(Loss)</v>
      </c>
      <c r="K174" s="21" t="str">
        <f>_xlfn.XLOOKUP(F174,'04_Account_Mapping'!$A$6:$A$14,'04_Account_Mapping'!$D$6:$D$14,"Unmapped",0)</f>
        <v>Income</v>
      </c>
    </row>
    <row r="175" spans="1:11">
      <c r="A175" s="16">
        <v>45689</v>
      </c>
      <c r="B175" s="13">
        <v>2025</v>
      </c>
      <c r="C175" s="13">
        <v>2</v>
      </c>
      <c r="D175" s="13" t="s">
        <v>73</v>
      </c>
      <c r="E175" s="13" t="s">
        <v>74</v>
      </c>
      <c r="F175" s="13" t="s">
        <v>65</v>
      </c>
      <c r="G175" s="19">
        <v>-0.54429540244174746</v>
      </c>
      <c r="H175" s="13" t="s">
        <v>71</v>
      </c>
      <c r="I175" s="13" t="s">
        <v>70</v>
      </c>
      <c r="J175" s="21" t="str">
        <f>_xlfn.XLOOKUP(F175,'04_Account_Mapping'!$A$6:$A$14,'04_Account_Mapping'!$C$6:$C$14,"Unmapped",0)</f>
        <v>Other Net</v>
      </c>
      <c r="K175" s="21" t="str">
        <f>_xlfn.XLOOKUP(F175,'04_Account_Mapping'!$A$6:$A$14,'04_Account_Mapping'!$D$6:$D$14,"Unmapped",0)</f>
        <v>Income</v>
      </c>
    </row>
    <row r="176" spans="1:11">
      <c r="A176" s="16">
        <v>45689</v>
      </c>
      <c r="B176" s="13">
        <v>2025</v>
      </c>
      <c r="C176" s="13">
        <v>2</v>
      </c>
      <c r="D176" s="13" t="s">
        <v>73</v>
      </c>
      <c r="E176" s="13" t="s">
        <v>74</v>
      </c>
      <c r="F176" s="13" t="s">
        <v>66</v>
      </c>
      <c r="G176" s="19">
        <v>-37.981989823820527</v>
      </c>
      <c r="H176" s="13" t="s">
        <v>71</v>
      </c>
      <c r="I176" s="13" t="s">
        <v>70</v>
      </c>
      <c r="J176" s="21" t="str">
        <f>_xlfn.XLOOKUP(F176,'04_Account_Mapping'!$A$6:$A$14,'04_Account_Mapping'!$C$6:$C$14,"Unmapped",0)</f>
        <v>Tax Expense</v>
      </c>
      <c r="K176" s="21" t="str">
        <f>_xlfn.XLOOKUP(F176,'04_Account_Mapping'!$A$6:$A$14,'04_Account_Mapping'!$D$6:$D$14,"Unmapped",0)</f>
        <v>Expense</v>
      </c>
    </row>
    <row r="177" spans="1:11">
      <c r="A177" s="16">
        <v>45689</v>
      </c>
      <c r="B177" s="13">
        <v>2025</v>
      </c>
      <c r="C177" s="13">
        <v>2</v>
      </c>
      <c r="D177" s="13" t="s">
        <v>75</v>
      </c>
      <c r="E177" s="13" t="s">
        <v>76</v>
      </c>
      <c r="F177" s="13" t="s">
        <v>55</v>
      </c>
      <c r="G177" s="19">
        <v>270.09256941425099</v>
      </c>
      <c r="H177" s="13" t="s">
        <v>69</v>
      </c>
      <c r="I177" s="13" t="s">
        <v>70</v>
      </c>
      <c r="J177" s="21" t="str">
        <f>_xlfn.XLOOKUP(F177,'04_Account_Mapping'!$A$6:$A$14,'04_Account_Mapping'!$C$6:$C$14,"Unmapped",0)</f>
        <v>Revenue</v>
      </c>
      <c r="K177" s="21" t="str">
        <f>_xlfn.XLOOKUP(F177,'04_Account_Mapping'!$A$6:$A$14,'04_Account_Mapping'!$D$6:$D$14,"Unmapped",0)</f>
        <v>Income</v>
      </c>
    </row>
    <row r="178" spans="1:11">
      <c r="A178" s="16">
        <v>45689</v>
      </c>
      <c r="B178" s="13">
        <v>2025</v>
      </c>
      <c r="C178" s="13">
        <v>2</v>
      </c>
      <c r="D178" s="13" t="s">
        <v>75</v>
      </c>
      <c r="E178" s="13" t="s">
        <v>76</v>
      </c>
      <c r="F178" s="13" t="s">
        <v>58</v>
      </c>
      <c r="G178" s="19">
        <v>-216.27273706823229</v>
      </c>
      <c r="H178" s="13" t="s">
        <v>71</v>
      </c>
      <c r="I178" s="13" t="s">
        <v>70</v>
      </c>
      <c r="J178" s="21" t="str">
        <f>_xlfn.XLOOKUP(F178,'04_Account_Mapping'!$A$6:$A$14,'04_Account_Mapping'!$C$6:$C$14,"Unmapped",0)</f>
        <v>COGS</v>
      </c>
      <c r="K178" s="21" t="str">
        <f>_xlfn.XLOOKUP(F178,'04_Account_Mapping'!$A$6:$A$14,'04_Account_Mapping'!$D$6:$D$14,"Unmapped",0)</f>
        <v>Expense</v>
      </c>
    </row>
    <row r="179" spans="1:11">
      <c r="A179" s="16">
        <v>45689</v>
      </c>
      <c r="B179" s="13">
        <v>2025</v>
      </c>
      <c r="C179" s="13">
        <v>2</v>
      </c>
      <c r="D179" s="13" t="s">
        <v>75</v>
      </c>
      <c r="E179" s="13" t="s">
        <v>76</v>
      </c>
      <c r="F179" s="13" t="s">
        <v>60</v>
      </c>
      <c r="G179" s="19">
        <v>-32.910493012534289</v>
      </c>
      <c r="H179" s="13" t="s">
        <v>71</v>
      </c>
      <c r="I179" s="13" t="s">
        <v>70</v>
      </c>
      <c r="J179" s="21" t="str">
        <f>_xlfn.XLOOKUP(F179,'04_Account_Mapping'!$A$6:$A$14,'04_Account_Mapping'!$C$6:$C$14,"Unmapped",0)</f>
        <v>Selling Expense</v>
      </c>
      <c r="K179" s="21" t="str">
        <f>_xlfn.XLOOKUP(F179,'04_Account_Mapping'!$A$6:$A$14,'04_Account_Mapping'!$D$6:$D$14,"Unmapped",0)</f>
        <v>Expense</v>
      </c>
    </row>
    <row r="180" spans="1:11">
      <c r="A180" s="16">
        <v>45689</v>
      </c>
      <c r="B180" s="13">
        <v>2025</v>
      </c>
      <c r="C180" s="13">
        <v>2</v>
      </c>
      <c r="D180" s="13" t="s">
        <v>75</v>
      </c>
      <c r="E180" s="13" t="s">
        <v>76</v>
      </c>
      <c r="F180" s="13" t="s">
        <v>61</v>
      </c>
      <c r="G180" s="19">
        <v>-9.0785873718289505</v>
      </c>
      <c r="H180" s="13" t="s">
        <v>71</v>
      </c>
      <c r="I180" s="13" t="s">
        <v>70</v>
      </c>
      <c r="J180" s="21" t="str">
        <f>_xlfn.XLOOKUP(F180,'04_Account_Mapping'!$A$6:$A$14,'04_Account_Mapping'!$C$6:$C$14,"Unmapped",0)</f>
        <v>G&amp;A</v>
      </c>
      <c r="K180" s="21" t="str">
        <f>_xlfn.XLOOKUP(F180,'04_Account_Mapping'!$A$6:$A$14,'04_Account_Mapping'!$D$6:$D$14,"Unmapped",0)</f>
        <v>Expense</v>
      </c>
    </row>
    <row r="181" spans="1:11">
      <c r="A181" s="16">
        <v>45689</v>
      </c>
      <c r="B181" s="13">
        <v>2025</v>
      </c>
      <c r="C181" s="13">
        <v>2</v>
      </c>
      <c r="D181" s="13" t="s">
        <v>75</v>
      </c>
      <c r="E181" s="13" t="s">
        <v>76</v>
      </c>
      <c r="F181" s="13" t="s">
        <v>62</v>
      </c>
      <c r="G181" s="19">
        <v>5.1820584920267736</v>
      </c>
      <c r="H181" s="13" t="s">
        <v>71</v>
      </c>
      <c r="I181" s="13" t="s">
        <v>70</v>
      </c>
      <c r="J181" s="21" t="str">
        <f>_xlfn.XLOOKUP(F181,'04_Account_Mapping'!$A$6:$A$14,'04_Account_Mapping'!$C$6:$C$14,"Unmapped",0)</f>
        <v>Finance Income</v>
      </c>
      <c r="K181" s="21" t="str">
        <f>_xlfn.XLOOKUP(F181,'04_Account_Mapping'!$A$6:$A$14,'04_Account_Mapping'!$D$6:$D$14,"Unmapped",0)</f>
        <v>Income</v>
      </c>
    </row>
    <row r="182" spans="1:11">
      <c r="A182" s="16">
        <v>45689</v>
      </c>
      <c r="B182" s="13">
        <v>2025</v>
      </c>
      <c r="C182" s="13">
        <v>2</v>
      </c>
      <c r="D182" s="13" t="s">
        <v>75</v>
      </c>
      <c r="E182" s="13" t="s">
        <v>76</v>
      </c>
      <c r="F182" s="13" t="s">
        <v>63</v>
      </c>
      <c r="G182" s="19">
        <v>-2.5340457306240234</v>
      </c>
      <c r="H182" s="13" t="s">
        <v>71</v>
      </c>
      <c r="I182" s="13" t="s">
        <v>70</v>
      </c>
      <c r="J182" s="21" t="str">
        <f>_xlfn.XLOOKUP(F182,'04_Account_Mapping'!$A$6:$A$14,'04_Account_Mapping'!$C$6:$C$14,"Unmapped",0)</f>
        <v>Finance Expense</v>
      </c>
      <c r="K182" s="21" t="str">
        <f>_xlfn.XLOOKUP(F182,'04_Account_Mapping'!$A$6:$A$14,'04_Account_Mapping'!$D$6:$D$14,"Unmapped",0)</f>
        <v>Expense</v>
      </c>
    </row>
    <row r="183" spans="1:11">
      <c r="A183" s="16">
        <v>45689</v>
      </c>
      <c r="B183" s="13">
        <v>2025</v>
      </c>
      <c r="C183" s="13">
        <v>2</v>
      </c>
      <c r="D183" s="13" t="s">
        <v>75</v>
      </c>
      <c r="E183" s="13" t="s">
        <v>76</v>
      </c>
      <c r="F183" s="13" t="s">
        <v>64</v>
      </c>
      <c r="G183" s="19">
        <v>2.339365587723255E-2</v>
      </c>
      <c r="H183" s="13" t="s">
        <v>71</v>
      </c>
      <c r="I183" s="13" t="s">
        <v>70</v>
      </c>
      <c r="J183" s="21" t="str">
        <f>_xlfn.XLOOKUP(F183,'04_Account_Mapping'!$A$6:$A$14,'04_Account_Mapping'!$C$6:$C$14,"Unmapped",0)</f>
        <v>JV Profit/(Loss)</v>
      </c>
      <c r="K183" s="21" t="str">
        <f>_xlfn.XLOOKUP(F183,'04_Account_Mapping'!$A$6:$A$14,'04_Account_Mapping'!$D$6:$D$14,"Unmapped",0)</f>
        <v>Income</v>
      </c>
    </row>
    <row r="184" spans="1:11">
      <c r="A184" s="16">
        <v>45689</v>
      </c>
      <c r="B184" s="13">
        <v>2025</v>
      </c>
      <c r="C184" s="13">
        <v>2</v>
      </c>
      <c r="D184" s="13" t="s">
        <v>75</v>
      </c>
      <c r="E184" s="13" t="s">
        <v>76</v>
      </c>
      <c r="F184" s="13" t="s">
        <v>65</v>
      </c>
      <c r="G184" s="19">
        <v>-4.1434252088991166E-2</v>
      </c>
      <c r="H184" s="13" t="s">
        <v>71</v>
      </c>
      <c r="I184" s="13" t="s">
        <v>70</v>
      </c>
      <c r="J184" s="21" t="str">
        <f>_xlfn.XLOOKUP(F184,'04_Account_Mapping'!$A$6:$A$14,'04_Account_Mapping'!$C$6:$C$14,"Unmapped",0)</f>
        <v>Other Net</v>
      </c>
      <c r="K184" s="21" t="str">
        <f>_xlfn.XLOOKUP(F184,'04_Account_Mapping'!$A$6:$A$14,'04_Account_Mapping'!$D$6:$D$14,"Unmapped",0)</f>
        <v>Income</v>
      </c>
    </row>
    <row r="185" spans="1:11">
      <c r="A185" s="16">
        <v>45689</v>
      </c>
      <c r="B185" s="13">
        <v>2025</v>
      </c>
      <c r="C185" s="13">
        <v>2</v>
      </c>
      <c r="D185" s="13" t="s">
        <v>75</v>
      </c>
      <c r="E185" s="13" t="s">
        <v>76</v>
      </c>
      <c r="F185" s="13" t="s">
        <v>66</v>
      </c>
      <c r="G185" s="19">
        <v>-2.8913625471420472</v>
      </c>
      <c r="H185" s="13" t="s">
        <v>71</v>
      </c>
      <c r="I185" s="13" t="s">
        <v>70</v>
      </c>
      <c r="J185" s="21" t="str">
        <f>_xlfn.XLOOKUP(F185,'04_Account_Mapping'!$A$6:$A$14,'04_Account_Mapping'!$C$6:$C$14,"Unmapped",0)</f>
        <v>Tax Expense</v>
      </c>
      <c r="K185" s="21" t="str">
        <f>_xlfn.XLOOKUP(F185,'04_Account_Mapping'!$A$6:$A$14,'04_Account_Mapping'!$D$6:$D$14,"Unmapped",0)</f>
        <v>Expense</v>
      </c>
    </row>
    <row r="186" spans="1:11">
      <c r="A186" s="16">
        <v>45717</v>
      </c>
      <c r="B186" s="13">
        <v>2025</v>
      </c>
      <c r="C186" s="13">
        <v>3</v>
      </c>
      <c r="D186" s="13" t="s">
        <v>67</v>
      </c>
      <c r="E186" s="13" t="s">
        <v>68</v>
      </c>
      <c r="F186" s="13" t="s">
        <v>55</v>
      </c>
      <c r="G186" s="19">
        <v>2663.6503484355489</v>
      </c>
      <c r="H186" s="13" t="s">
        <v>69</v>
      </c>
      <c r="I186" s="13" t="s">
        <v>70</v>
      </c>
      <c r="J186" s="21" t="str">
        <f>_xlfn.XLOOKUP(F186,'04_Account_Mapping'!$A$6:$A$14,'04_Account_Mapping'!$C$6:$C$14,"Unmapped",0)</f>
        <v>Revenue</v>
      </c>
      <c r="K186" s="21" t="str">
        <f>_xlfn.XLOOKUP(F186,'04_Account_Mapping'!$A$6:$A$14,'04_Account_Mapping'!$D$6:$D$14,"Unmapped",0)</f>
        <v>Income</v>
      </c>
    </row>
    <row r="187" spans="1:11">
      <c r="A187" s="16">
        <v>45717</v>
      </c>
      <c r="B187" s="13">
        <v>2025</v>
      </c>
      <c r="C187" s="13">
        <v>3</v>
      </c>
      <c r="D187" s="13" t="s">
        <v>67</v>
      </c>
      <c r="E187" s="13" t="s">
        <v>68</v>
      </c>
      <c r="F187" s="13" t="s">
        <v>58</v>
      </c>
      <c r="G187" s="19">
        <v>-2132.8796741733358</v>
      </c>
      <c r="H187" s="13" t="s">
        <v>71</v>
      </c>
      <c r="I187" s="13" t="s">
        <v>70</v>
      </c>
      <c r="J187" s="21" t="str">
        <f>_xlfn.XLOOKUP(F187,'04_Account_Mapping'!$A$6:$A$14,'04_Account_Mapping'!$C$6:$C$14,"Unmapped",0)</f>
        <v>COGS</v>
      </c>
      <c r="K187" s="21" t="str">
        <f>_xlfn.XLOOKUP(F187,'04_Account_Mapping'!$A$6:$A$14,'04_Account_Mapping'!$D$6:$D$14,"Unmapped",0)</f>
        <v>Expense</v>
      </c>
    </row>
    <row r="188" spans="1:11">
      <c r="A188" s="16">
        <v>45717</v>
      </c>
      <c r="B188" s="13">
        <v>2025</v>
      </c>
      <c r="C188" s="13">
        <v>3</v>
      </c>
      <c r="D188" s="13" t="s">
        <v>67</v>
      </c>
      <c r="E188" s="13" t="s">
        <v>68</v>
      </c>
      <c r="F188" s="13" t="s">
        <v>60</v>
      </c>
      <c r="G188" s="19">
        <v>-324.56296880041941</v>
      </c>
      <c r="H188" s="13" t="s">
        <v>71</v>
      </c>
      <c r="I188" s="13" t="s">
        <v>70</v>
      </c>
      <c r="J188" s="21" t="str">
        <f>_xlfn.XLOOKUP(F188,'04_Account_Mapping'!$A$6:$A$14,'04_Account_Mapping'!$C$6:$C$14,"Unmapped",0)</f>
        <v>Selling Expense</v>
      </c>
      <c r="K188" s="21" t="str">
        <f>_xlfn.XLOOKUP(F188,'04_Account_Mapping'!$A$6:$A$14,'04_Account_Mapping'!$D$6:$D$14,"Unmapped",0)</f>
        <v>Expense</v>
      </c>
    </row>
    <row r="189" spans="1:11">
      <c r="A189" s="16">
        <v>45717</v>
      </c>
      <c r="B189" s="13">
        <v>2025</v>
      </c>
      <c r="C189" s="13">
        <v>3</v>
      </c>
      <c r="D189" s="13" t="s">
        <v>67</v>
      </c>
      <c r="E189" s="13" t="s">
        <v>68</v>
      </c>
      <c r="F189" s="13" t="s">
        <v>61</v>
      </c>
      <c r="G189" s="19">
        <v>-89.532942237983775</v>
      </c>
      <c r="H189" s="13" t="s">
        <v>71</v>
      </c>
      <c r="I189" s="13" t="s">
        <v>70</v>
      </c>
      <c r="J189" s="21" t="str">
        <f>_xlfn.XLOOKUP(F189,'04_Account_Mapping'!$A$6:$A$14,'04_Account_Mapping'!$C$6:$C$14,"Unmapped",0)</f>
        <v>G&amp;A</v>
      </c>
      <c r="K189" s="21" t="str">
        <f>_xlfn.XLOOKUP(F189,'04_Account_Mapping'!$A$6:$A$14,'04_Account_Mapping'!$D$6:$D$14,"Unmapped",0)</f>
        <v>Expense</v>
      </c>
    </row>
    <row r="190" spans="1:11">
      <c r="A190" s="16">
        <v>45717</v>
      </c>
      <c r="B190" s="13">
        <v>2025</v>
      </c>
      <c r="C190" s="13">
        <v>3</v>
      </c>
      <c r="D190" s="13" t="s">
        <v>67</v>
      </c>
      <c r="E190" s="13" t="s">
        <v>68</v>
      </c>
      <c r="F190" s="13" t="s">
        <v>62</v>
      </c>
      <c r="G190" s="19">
        <v>51.105411518115638</v>
      </c>
      <c r="H190" s="13" t="s">
        <v>71</v>
      </c>
      <c r="I190" s="13" t="s">
        <v>70</v>
      </c>
      <c r="J190" s="21" t="str">
        <f>_xlfn.XLOOKUP(F190,'04_Account_Mapping'!$A$6:$A$14,'04_Account_Mapping'!$C$6:$C$14,"Unmapped",0)</f>
        <v>Finance Income</v>
      </c>
      <c r="K190" s="21" t="str">
        <f>_xlfn.XLOOKUP(F190,'04_Account_Mapping'!$A$6:$A$14,'04_Account_Mapping'!$D$6:$D$14,"Unmapped",0)</f>
        <v>Income</v>
      </c>
    </row>
    <row r="191" spans="1:11">
      <c r="A191" s="16">
        <v>45717</v>
      </c>
      <c r="B191" s="13">
        <v>2025</v>
      </c>
      <c r="C191" s="13">
        <v>3</v>
      </c>
      <c r="D191" s="13" t="s">
        <v>67</v>
      </c>
      <c r="E191" s="13" t="s">
        <v>68</v>
      </c>
      <c r="F191" s="13" t="s">
        <v>63</v>
      </c>
      <c r="G191" s="19">
        <v>-24.990734872738603</v>
      </c>
      <c r="H191" s="13" t="s">
        <v>71</v>
      </c>
      <c r="I191" s="13" t="s">
        <v>70</v>
      </c>
      <c r="J191" s="21" t="str">
        <f>_xlfn.XLOOKUP(F191,'04_Account_Mapping'!$A$6:$A$14,'04_Account_Mapping'!$C$6:$C$14,"Unmapped",0)</f>
        <v>Finance Expense</v>
      </c>
      <c r="K191" s="21" t="str">
        <f>_xlfn.XLOOKUP(F191,'04_Account_Mapping'!$A$6:$A$14,'04_Account_Mapping'!$D$6:$D$14,"Unmapped",0)</f>
        <v>Expense</v>
      </c>
    </row>
    <row r="192" spans="1:11">
      <c r="A192" s="16">
        <v>45717</v>
      </c>
      <c r="B192" s="13">
        <v>2025</v>
      </c>
      <c r="C192" s="13">
        <v>3</v>
      </c>
      <c r="D192" s="13" t="s">
        <v>67</v>
      </c>
      <c r="E192" s="13" t="s">
        <v>68</v>
      </c>
      <c r="F192" s="13" t="s">
        <v>64</v>
      </c>
      <c r="G192" s="19">
        <v>0.23070801156695572</v>
      </c>
      <c r="H192" s="13" t="s">
        <v>71</v>
      </c>
      <c r="I192" s="13" t="s">
        <v>70</v>
      </c>
      <c r="J192" s="21" t="str">
        <f>_xlfn.XLOOKUP(F192,'04_Account_Mapping'!$A$6:$A$14,'04_Account_Mapping'!$C$6:$C$14,"Unmapped",0)</f>
        <v>JV Profit/(Loss)</v>
      </c>
      <c r="K192" s="21" t="str">
        <f>_xlfn.XLOOKUP(F192,'04_Account_Mapping'!$A$6:$A$14,'04_Account_Mapping'!$D$6:$D$14,"Unmapped",0)</f>
        <v>Income</v>
      </c>
    </row>
    <row r="193" spans="1:11">
      <c r="A193" s="16">
        <v>45717</v>
      </c>
      <c r="B193" s="13">
        <v>2025</v>
      </c>
      <c r="C193" s="13">
        <v>3</v>
      </c>
      <c r="D193" s="13" t="s">
        <v>67</v>
      </c>
      <c r="E193" s="13" t="s">
        <v>68</v>
      </c>
      <c r="F193" s="13" t="s">
        <v>65</v>
      </c>
      <c r="G193" s="19">
        <v>-0.40862419967109387</v>
      </c>
      <c r="H193" s="13" t="s">
        <v>71</v>
      </c>
      <c r="I193" s="13" t="s">
        <v>70</v>
      </c>
      <c r="J193" s="21" t="str">
        <f>_xlfn.XLOOKUP(F193,'04_Account_Mapping'!$A$6:$A$14,'04_Account_Mapping'!$C$6:$C$14,"Unmapped",0)</f>
        <v>Other Net</v>
      </c>
      <c r="K193" s="21" t="str">
        <f>_xlfn.XLOOKUP(F193,'04_Account_Mapping'!$A$6:$A$14,'04_Account_Mapping'!$D$6:$D$14,"Unmapped",0)</f>
        <v>Income</v>
      </c>
    </row>
    <row r="194" spans="1:11">
      <c r="A194" s="16">
        <v>45717</v>
      </c>
      <c r="B194" s="13">
        <v>2025</v>
      </c>
      <c r="C194" s="13">
        <v>3</v>
      </c>
      <c r="D194" s="13" t="s">
        <v>67</v>
      </c>
      <c r="E194" s="13" t="s">
        <v>68</v>
      </c>
      <c r="F194" s="13" t="s">
        <v>66</v>
      </c>
      <c r="G194" s="19">
        <v>-28.514589915786289</v>
      </c>
      <c r="H194" s="13" t="s">
        <v>71</v>
      </c>
      <c r="I194" s="13" t="s">
        <v>70</v>
      </c>
      <c r="J194" s="21" t="str">
        <f>_xlfn.XLOOKUP(F194,'04_Account_Mapping'!$A$6:$A$14,'04_Account_Mapping'!$C$6:$C$14,"Unmapped",0)</f>
        <v>Tax Expense</v>
      </c>
      <c r="K194" s="21" t="str">
        <f>_xlfn.XLOOKUP(F194,'04_Account_Mapping'!$A$6:$A$14,'04_Account_Mapping'!$D$6:$D$14,"Unmapped",0)</f>
        <v>Expense</v>
      </c>
    </row>
    <row r="195" spans="1:11">
      <c r="A195" s="16">
        <v>45717</v>
      </c>
      <c r="B195" s="13">
        <v>2025</v>
      </c>
      <c r="C195" s="13">
        <v>3</v>
      </c>
      <c r="D195" s="13" t="s">
        <v>72</v>
      </c>
      <c r="E195" s="13" t="s">
        <v>68</v>
      </c>
      <c r="F195" s="13" t="s">
        <v>55</v>
      </c>
      <c r="G195" s="19">
        <v>4701.4253152900865</v>
      </c>
      <c r="H195" s="13" t="s">
        <v>69</v>
      </c>
      <c r="I195" s="13" t="s">
        <v>70</v>
      </c>
      <c r="J195" s="21" t="str">
        <f>_xlfn.XLOOKUP(F195,'04_Account_Mapping'!$A$6:$A$14,'04_Account_Mapping'!$C$6:$C$14,"Unmapped",0)</f>
        <v>Revenue</v>
      </c>
      <c r="K195" s="21" t="str">
        <f>_xlfn.XLOOKUP(F195,'04_Account_Mapping'!$A$6:$A$14,'04_Account_Mapping'!$D$6:$D$14,"Unmapped",0)</f>
        <v>Income</v>
      </c>
    </row>
    <row r="196" spans="1:11">
      <c r="A196" s="16">
        <v>45717</v>
      </c>
      <c r="B196" s="13">
        <v>2025</v>
      </c>
      <c r="C196" s="13">
        <v>3</v>
      </c>
      <c r="D196" s="13" t="s">
        <v>72</v>
      </c>
      <c r="E196" s="13" t="s">
        <v>68</v>
      </c>
      <c r="F196" s="13" t="s">
        <v>58</v>
      </c>
      <c r="G196" s="19">
        <v>-3764.5986458078946</v>
      </c>
      <c r="H196" s="13" t="s">
        <v>71</v>
      </c>
      <c r="I196" s="13" t="s">
        <v>70</v>
      </c>
      <c r="J196" s="21" t="str">
        <f>_xlfn.XLOOKUP(F196,'04_Account_Mapping'!$A$6:$A$14,'04_Account_Mapping'!$C$6:$C$14,"Unmapped",0)</f>
        <v>COGS</v>
      </c>
      <c r="K196" s="21" t="str">
        <f>_xlfn.XLOOKUP(F196,'04_Account_Mapping'!$A$6:$A$14,'04_Account_Mapping'!$D$6:$D$14,"Unmapped",0)</f>
        <v>Expense</v>
      </c>
    </row>
    <row r="197" spans="1:11">
      <c r="A197" s="16">
        <v>45717</v>
      </c>
      <c r="B197" s="13">
        <v>2025</v>
      </c>
      <c r="C197" s="13">
        <v>3</v>
      </c>
      <c r="D197" s="13" t="s">
        <v>72</v>
      </c>
      <c r="E197" s="13" t="s">
        <v>68</v>
      </c>
      <c r="F197" s="13" t="s">
        <v>60</v>
      </c>
      <c r="G197" s="19">
        <v>-572.86368641447848</v>
      </c>
      <c r="H197" s="13" t="s">
        <v>71</v>
      </c>
      <c r="I197" s="13" t="s">
        <v>70</v>
      </c>
      <c r="J197" s="21" t="str">
        <f>_xlfn.XLOOKUP(F197,'04_Account_Mapping'!$A$6:$A$14,'04_Account_Mapping'!$C$6:$C$14,"Unmapped",0)</f>
        <v>Selling Expense</v>
      </c>
      <c r="K197" s="21" t="str">
        <f>_xlfn.XLOOKUP(F197,'04_Account_Mapping'!$A$6:$A$14,'04_Account_Mapping'!$D$6:$D$14,"Unmapped",0)</f>
        <v>Expense</v>
      </c>
    </row>
    <row r="198" spans="1:11">
      <c r="A198" s="16">
        <v>45717</v>
      </c>
      <c r="B198" s="13">
        <v>2025</v>
      </c>
      <c r="C198" s="13">
        <v>3</v>
      </c>
      <c r="D198" s="13" t="s">
        <v>72</v>
      </c>
      <c r="E198" s="13" t="s">
        <v>68</v>
      </c>
      <c r="F198" s="13" t="s">
        <v>61</v>
      </c>
      <c r="G198" s="19">
        <v>-158.02841444159131</v>
      </c>
      <c r="H198" s="13" t="s">
        <v>71</v>
      </c>
      <c r="I198" s="13" t="s">
        <v>70</v>
      </c>
      <c r="J198" s="21" t="str">
        <f>_xlfn.XLOOKUP(F198,'04_Account_Mapping'!$A$6:$A$14,'04_Account_Mapping'!$C$6:$C$14,"Unmapped",0)</f>
        <v>G&amp;A</v>
      </c>
      <c r="K198" s="21" t="str">
        <f>_xlfn.XLOOKUP(F198,'04_Account_Mapping'!$A$6:$A$14,'04_Account_Mapping'!$D$6:$D$14,"Unmapped",0)</f>
        <v>Expense</v>
      </c>
    </row>
    <row r="199" spans="1:11">
      <c r="A199" s="16">
        <v>45717</v>
      </c>
      <c r="B199" s="13">
        <v>2025</v>
      </c>
      <c r="C199" s="13">
        <v>3</v>
      </c>
      <c r="D199" s="13" t="s">
        <v>72</v>
      </c>
      <c r="E199" s="13" t="s">
        <v>68</v>
      </c>
      <c r="F199" s="13" t="s">
        <v>62</v>
      </c>
      <c r="G199" s="19">
        <v>90.202633240021186</v>
      </c>
      <c r="H199" s="13" t="s">
        <v>71</v>
      </c>
      <c r="I199" s="13" t="s">
        <v>70</v>
      </c>
      <c r="J199" s="21" t="str">
        <f>_xlfn.XLOOKUP(F199,'04_Account_Mapping'!$A$6:$A$14,'04_Account_Mapping'!$C$6:$C$14,"Unmapped",0)</f>
        <v>Finance Income</v>
      </c>
      <c r="K199" s="21" t="str">
        <f>_xlfn.XLOOKUP(F199,'04_Account_Mapping'!$A$6:$A$14,'04_Account_Mapping'!$D$6:$D$14,"Unmapped",0)</f>
        <v>Income</v>
      </c>
    </row>
    <row r="200" spans="1:11">
      <c r="A200" s="16">
        <v>45717</v>
      </c>
      <c r="B200" s="13">
        <v>2025</v>
      </c>
      <c r="C200" s="13">
        <v>3</v>
      </c>
      <c r="D200" s="13" t="s">
        <v>72</v>
      </c>
      <c r="E200" s="13" t="s">
        <v>68</v>
      </c>
      <c r="F200" s="13" t="s">
        <v>63</v>
      </c>
      <c r="G200" s="19">
        <v>-44.109420610480313</v>
      </c>
      <c r="H200" s="13" t="s">
        <v>71</v>
      </c>
      <c r="I200" s="13" t="s">
        <v>70</v>
      </c>
      <c r="J200" s="21" t="str">
        <f>_xlfn.XLOOKUP(F200,'04_Account_Mapping'!$A$6:$A$14,'04_Account_Mapping'!$C$6:$C$14,"Unmapped",0)</f>
        <v>Finance Expense</v>
      </c>
      <c r="K200" s="21" t="str">
        <f>_xlfn.XLOOKUP(F200,'04_Account_Mapping'!$A$6:$A$14,'04_Account_Mapping'!$D$6:$D$14,"Unmapped",0)</f>
        <v>Expense</v>
      </c>
    </row>
    <row r="201" spans="1:11">
      <c r="A201" s="16">
        <v>45717</v>
      </c>
      <c r="B201" s="13">
        <v>2025</v>
      </c>
      <c r="C201" s="13">
        <v>3</v>
      </c>
      <c r="D201" s="13" t="s">
        <v>72</v>
      </c>
      <c r="E201" s="13" t="s">
        <v>68</v>
      </c>
      <c r="F201" s="13" t="s">
        <v>64</v>
      </c>
      <c r="G201" s="19">
        <v>0.40720678172275088</v>
      </c>
      <c r="H201" s="13" t="s">
        <v>71</v>
      </c>
      <c r="I201" s="13" t="s">
        <v>70</v>
      </c>
      <c r="J201" s="21" t="str">
        <f>_xlfn.XLOOKUP(F201,'04_Account_Mapping'!$A$6:$A$14,'04_Account_Mapping'!$C$6:$C$14,"Unmapped",0)</f>
        <v>JV Profit/(Loss)</v>
      </c>
      <c r="K201" s="21" t="str">
        <f>_xlfn.XLOOKUP(F201,'04_Account_Mapping'!$A$6:$A$14,'04_Account_Mapping'!$D$6:$D$14,"Unmapped",0)</f>
        <v>Income</v>
      </c>
    </row>
    <row r="202" spans="1:11">
      <c r="A202" s="16">
        <v>45717</v>
      </c>
      <c r="B202" s="13">
        <v>2025</v>
      </c>
      <c r="C202" s="13">
        <v>3</v>
      </c>
      <c r="D202" s="13" t="s">
        <v>72</v>
      </c>
      <c r="E202" s="13" t="s">
        <v>68</v>
      </c>
      <c r="F202" s="13" t="s">
        <v>65</v>
      </c>
      <c r="G202" s="19">
        <v>-0.72123436092209625</v>
      </c>
      <c r="H202" s="13" t="s">
        <v>71</v>
      </c>
      <c r="I202" s="13" t="s">
        <v>70</v>
      </c>
      <c r="J202" s="21" t="str">
        <f>_xlfn.XLOOKUP(F202,'04_Account_Mapping'!$A$6:$A$14,'04_Account_Mapping'!$C$6:$C$14,"Unmapped",0)</f>
        <v>Other Net</v>
      </c>
      <c r="K202" s="21" t="str">
        <f>_xlfn.XLOOKUP(F202,'04_Account_Mapping'!$A$6:$A$14,'04_Account_Mapping'!$D$6:$D$14,"Unmapped",0)</f>
        <v>Income</v>
      </c>
    </row>
    <row r="203" spans="1:11">
      <c r="A203" s="16">
        <v>45717</v>
      </c>
      <c r="B203" s="13">
        <v>2025</v>
      </c>
      <c r="C203" s="13">
        <v>3</v>
      </c>
      <c r="D203" s="13" t="s">
        <v>72</v>
      </c>
      <c r="E203" s="13" t="s">
        <v>68</v>
      </c>
      <c r="F203" s="13" t="s">
        <v>66</v>
      </c>
      <c r="G203" s="19">
        <v>-50.329133838429868</v>
      </c>
      <c r="H203" s="13" t="s">
        <v>71</v>
      </c>
      <c r="I203" s="13" t="s">
        <v>70</v>
      </c>
      <c r="J203" s="21" t="str">
        <f>_xlfn.XLOOKUP(F203,'04_Account_Mapping'!$A$6:$A$14,'04_Account_Mapping'!$C$6:$C$14,"Unmapped",0)</f>
        <v>Tax Expense</v>
      </c>
      <c r="K203" s="21" t="str">
        <f>_xlfn.XLOOKUP(F203,'04_Account_Mapping'!$A$6:$A$14,'04_Account_Mapping'!$D$6:$D$14,"Unmapped",0)</f>
        <v>Expense</v>
      </c>
    </row>
    <row r="204" spans="1:11">
      <c r="A204" s="16">
        <v>45717</v>
      </c>
      <c r="B204" s="13">
        <v>2025</v>
      </c>
      <c r="C204" s="13">
        <v>3</v>
      </c>
      <c r="D204" s="13" t="s">
        <v>73</v>
      </c>
      <c r="E204" s="13" t="s">
        <v>74</v>
      </c>
      <c r="F204" s="13" t="s">
        <v>55</v>
      </c>
      <c r="G204" s="19">
        <v>3925.0939029429683</v>
      </c>
      <c r="H204" s="13" t="s">
        <v>69</v>
      </c>
      <c r="I204" s="13" t="s">
        <v>70</v>
      </c>
      <c r="J204" s="21" t="str">
        <f>_xlfn.XLOOKUP(F204,'04_Account_Mapping'!$A$6:$A$14,'04_Account_Mapping'!$C$6:$C$14,"Unmapped",0)</f>
        <v>Revenue</v>
      </c>
      <c r="K204" s="21" t="str">
        <f>_xlfn.XLOOKUP(F204,'04_Account_Mapping'!$A$6:$A$14,'04_Account_Mapping'!$D$6:$D$14,"Unmapped",0)</f>
        <v>Income</v>
      </c>
    </row>
    <row r="205" spans="1:11">
      <c r="A205" s="16">
        <v>45717</v>
      </c>
      <c r="B205" s="13">
        <v>2025</v>
      </c>
      <c r="C205" s="13">
        <v>3</v>
      </c>
      <c r="D205" s="13" t="s">
        <v>73</v>
      </c>
      <c r="E205" s="13" t="s">
        <v>74</v>
      </c>
      <c r="F205" s="13" t="s">
        <v>58</v>
      </c>
      <c r="G205" s="19">
        <v>-3142.9624423962991</v>
      </c>
      <c r="H205" s="13" t="s">
        <v>71</v>
      </c>
      <c r="I205" s="13" t="s">
        <v>70</v>
      </c>
      <c r="J205" s="21" t="str">
        <f>_xlfn.XLOOKUP(F205,'04_Account_Mapping'!$A$6:$A$14,'04_Account_Mapping'!$C$6:$C$14,"Unmapped",0)</f>
        <v>COGS</v>
      </c>
      <c r="K205" s="21" t="str">
        <f>_xlfn.XLOOKUP(F205,'04_Account_Mapping'!$A$6:$A$14,'04_Account_Mapping'!$D$6:$D$14,"Unmapped",0)</f>
        <v>Expense</v>
      </c>
    </row>
    <row r="206" spans="1:11">
      <c r="A206" s="16">
        <v>45717</v>
      </c>
      <c r="B206" s="13">
        <v>2025</v>
      </c>
      <c r="C206" s="13">
        <v>3</v>
      </c>
      <c r="D206" s="13" t="s">
        <v>73</v>
      </c>
      <c r="E206" s="13" t="s">
        <v>74</v>
      </c>
      <c r="F206" s="13" t="s">
        <v>60</v>
      </c>
      <c r="G206" s="19">
        <v>-478.26852751444005</v>
      </c>
      <c r="H206" s="13" t="s">
        <v>71</v>
      </c>
      <c r="I206" s="13" t="s">
        <v>70</v>
      </c>
      <c r="J206" s="21" t="str">
        <f>_xlfn.XLOOKUP(F206,'04_Account_Mapping'!$A$6:$A$14,'04_Account_Mapping'!$C$6:$C$14,"Unmapped",0)</f>
        <v>Selling Expense</v>
      </c>
      <c r="K206" s="21" t="str">
        <f>_xlfn.XLOOKUP(F206,'04_Account_Mapping'!$A$6:$A$14,'04_Account_Mapping'!$D$6:$D$14,"Unmapped",0)</f>
        <v>Expense</v>
      </c>
    </row>
    <row r="207" spans="1:11">
      <c r="A207" s="16">
        <v>45717</v>
      </c>
      <c r="B207" s="13">
        <v>2025</v>
      </c>
      <c r="C207" s="13">
        <v>3</v>
      </c>
      <c r="D207" s="13" t="s">
        <v>73</v>
      </c>
      <c r="E207" s="13" t="s">
        <v>74</v>
      </c>
      <c r="F207" s="13" t="s">
        <v>61</v>
      </c>
      <c r="G207" s="19">
        <v>-131.93368487619213</v>
      </c>
      <c r="H207" s="13" t="s">
        <v>71</v>
      </c>
      <c r="I207" s="13" t="s">
        <v>70</v>
      </c>
      <c r="J207" s="21" t="str">
        <f>_xlfn.XLOOKUP(F207,'04_Account_Mapping'!$A$6:$A$14,'04_Account_Mapping'!$C$6:$C$14,"Unmapped",0)</f>
        <v>G&amp;A</v>
      </c>
      <c r="K207" s="21" t="str">
        <f>_xlfn.XLOOKUP(F207,'04_Account_Mapping'!$A$6:$A$14,'04_Account_Mapping'!$D$6:$D$14,"Unmapped",0)</f>
        <v>Expense</v>
      </c>
    </row>
    <row r="208" spans="1:11">
      <c r="A208" s="16">
        <v>45717</v>
      </c>
      <c r="B208" s="13">
        <v>2025</v>
      </c>
      <c r="C208" s="13">
        <v>3</v>
      </c>
      <c r="D208" s="13" t="s">
        <v>73</v>
      </c>
      <c r="E208" s="13" t="s">
        <v>74</v>
      </c>
      <c r="F208" s="13" t="s">
        <v>62</v>
      </c>
      <c r="G208" s="19">
        <v>75.30775924661522</v>
      </c>
      <c r="H208" s="13" t="s">
        <v>71</v>
      </c>
      <c r="I208" s="13" t="s">
        <v>70</v>
      </c>
      <c r="J208" s="21" t="str">
        <f>_xlfn.XLOOKUP(F208,'04_Account_Mapping'!$A$6:$A$14,'04_Account_Mapping'!$C$6:$C$14,"Unmapped",0)</f>
        <v>Finance Income</v>
      </c>
      <c r="K208" s="21" t="str">
        <f>_xlfn.XLOOKUP(F208,'04_Account_Mapping'!$A$6:$A$14,'04_Account_Mapping'!$D$6:$D$14,"Unmapped",0)</f>
        <v>Income</v>
      </c>
    </row>
    <row r="209" spans="1:11">
      <c r="A209" s="16">
        <v>45717</v>
      </c>
      <c r="B209" s="13">
        <v>2025</v>
      </c>
      <c r="C209" s="13">
        <v>3</v>
      </c>
      <c r="D209" s="13" t="s">
        <v>73</v>
      </c>
      <c r="E209" s="13" t="s">
        <v>74</v>
      </c>
      <c r="F209" s="13" t="s">
        <v>63</v>
      </c>
      <c r="G209" s="19">
        <v>-36.825772247721119</v>
      </c>
      <c r="H209" s="13" t="s">
        <v>71</v>
      </c>
      <c r="I209" s="13" t="s">
        <v>70</v>
      </c>
      <c r="J209" s="21" t="str">
        <f>_xlfn.XLOOKUP(F209,'04_Account_Mapping'!$A$6:$A$14,'04_Account_Mapping'!$C$6:$C$14,"Unmapped",0)</f>
        <v>Finance Expense</v>
      </c>
      <c r="K209" s="21" t="str">
        <f>_xlfn.XLOOKUP(F209,'04_Account_Mapping'!$A$6:$A$14,'04_Account_Mapping'!$D$6:$D$14,"Unmapped",0)</f>
        <v>Expense</v>
      </c>
    </row>
    <row r="210" spans="1:11">
      <c r="A210" s="16">
        <v>45717</v>
      </c>
      <c r="B210" s="13">
        <v>2025</v>
      </c>
      <c r="C210" s="13">
        <v>3</v>
      </c>
      <c r="D210" s="13" t="s">
        <v>73</v>
      </c>
      <c r="E210" s="13" t="s">
        <v>74</v>
      </c>
      <c r="F210" s="13" t="s">
        <v>64</v>
      </c>
      <c r="G210" s="19">
        <v>0.33996602072543569</v>
      </c>
      <c r="H210" s="13" t="s">
        <v>71</v>
      </c>
      <c r="I210" s="13" t="s">
        <v>70</v>
      </c>
      <c r="J210" s="21" t="str">
        <f>_xlfn.XLOOKUP(F210,'04_Account_Mapping'!$A$6:$A$14,'04_Account_Mapping'!$C$6:$C$14,"Unmapped",0)</f>
        <v>JV Profit/(Loss)</v>
      </c>
      <c r="K210" s="21" t="str">
        <f>_xlfn.XLOOKUP(F210,'04_Account_Mapping'!$A$6:$A$14,'04_Account_Mapping'!$D$6:$D$14,"Unmapped",0)</f>
        <v>Income</v>
      </c>
    </row>
    <row r="211" spans="1:11">
      <c r="A211" s="16">
        <v>45717</v>
      </c>
      <c r="B211" s="13">
        <v>2025</v>
      </c>
      <c r="C211" s="13">
        <v>3</v>
      </c>
      <c r="D211" s="13" t="s">
        <v>73</v>
      </c>
      <c r="E211" s="13" t="s">
        <v>74</v>
      </c>
      <c r="F211" s="13" t="s">
        <v>65</v>
      </c>
      <c r="G211" s="19">
        <v>-0.60213922434150491</v>
      </c>
      <c r="H211" s="13" t="s">
        <v>71</v>
      </c>
      <c r="I211" s="13" t="s">
        <v>70</v>
      </c>
      <c r="J211" s="21" t="str">
        <f>_xlfn.XLOOKUP(F211,'04_Account_Mapping'!$A$6:$A$14,'04_Account_Mapping'!$C$6:$C$14,"Unmapped",0)</f>
        <v>Other Net</v>
      </c>
      <c r="K211" s="21" t="str">
        <f>_xlfn.XLOOKUP(F211,'04_Account_Mapping'!$A$6:$A$14,'04_Account_Mapping'!$D$6:$D$14,"Unmapped",0)</f>
        <v>Income</v>
      </c>
    </row>
    <row r="212" spans="1:11">
      <c r="A212" s="16">
        <v>45717</v>
      </c>
      <c r="B212" s="13">
        <v>2025</v>
      </c>
      <c r="C212" s="13">
        <v>3</v>
      </c>
      <c r="D212" s="13" t="s">
        <v>73</v>
      </c>
      <c r="E212" s="13" t="s">
        <v>74</v>
      </c>
      <c r="F212" s="13" t="s">
        <v>66</v>
      </c>
      <c r="G212" s="19">
        <v>-42.018444008278948</v>
      </c>
      <c r="H212" s="13" t="s">
        <v>71</v>
      </c>
      <c r="I212" s="13" t="s">
        <v>70</v>
      </c>
      <c r="J212" s="21" t="str">
        <f>_xlfn.XLOOKUP(F212,'04_Account_Mapping'!$A$6:$A$14,'04_Account_Mapping'!$C$6:$C$14,"Unmapped",0)</f>
        <v>Tax Expense</v>
      </c>
      <c r="K212" s="21" t="str">
        <f>_xlfn.XLOOKUP(F212,'04_Account_Mapping'!$A$6:$A$14,'04_Account_Mapping'!$D$6:$D$14,"Unmapped",0)</f>
        <v>Expense</v>
      </c>
    </row>
    <row r="213" spans="1:11">
      <c r="A213" s="16">
        <v>45717</v>
      </c>
      <c r="B213" s="13">
        <v>2025</v>
      </c>
      <c r="C213" s="13">
        <v>3</v>
      </c>
      <c r="D213" s="13" t="s">
        <v>75</v>
      </c>
      <c r="E213" s="13" t="s">
        <v>76</v>
      </c>
      <c r="F213" s="13" t="s">
        <v>55</v>
      </c>
      <c r="G213" s="19">
        <v>290.91890479030496</v>
      </c>
      <c r="H213" s="13" t="s">
        <v>69</v>
      </c>
      <c r="I213" s="13" t="s">
        <v>70</v>
      </c>
      <c r="J213" s="21" t="str">
        <f>_xlfn.XLOOKUP(F213,'04_Account_Mapping'!$A$6:$A$14,'04_Account_Mapping'!$C$6:$C$14,"Unmapped",0)</f>
        <v>Revenue</v>
      </c>
      <c r="K213" s="21" t="str">
        <f>_xlfn.XLOOKUP(F213,'04_Account_Mapping'!$A$6:$A$14,'04_Account_Mapping'!$D$6:$D$14,"Unmapped",0)</f>
        <v>Income</v>
      </c>
    </row>
    <row r="214" spans="1:11">
      <c r="A214" s="16">
        <v>45717</v>
      </c>
      <c r="B214" s="13">
        <v>2025</v>
      </c>
      <c r="C214" s="13">
        <v>3</v>
      </c>
      <c r="D214" s="13" t="s">
        <v>75</v>
      </c>
      <c r="E214" s="13" t="s">
        <v>76</v>
      </c>
      <c r="F214" s="13" t="s">
        <v>58</v>
      </c>
      <c r="G214" s="19">
        <v>-232.9491253326274</v>
      </c>
      <c r="H214" s="13" t="s">
        <v>71</v>
      </c>
      <c r="I214" s="13" t="s">
        <v>70</v>
      </c>
      <c r="J214" s="21" t="str">
        <f>_xlfn.XLOOKUP(F214,'04_Account_Mapping'!$A$6:$A$14,'04_Account_Mapping'!$C$6:$C$14,"Unmapped",0)</f>
        <v>COGS</v>
      </c>
      <c r="K214" s="21" t="str">
        <f>_xlfn.XLOOKUP(F214,'04_Account_Mapping'!$A$6:$A$14,'04_Account_Mapping'!$D$6:$D$14,"Unmapped",0)</f>
        <v>Expense</v>
      </c>
    </row>
    <row r="215" spans="1:11">
      <c r="A215" s="16">
        <v>45717</v>
      </c>
      <c r="B215" s="13">
        <v>2025</v>
      </c>
      <c r="C215" s="13">
        <v>3</v>
      </c>
      <c r="D215" s="13" t="s">
        <v>75</v>
      </c>
      <c r="E215" s="13" t="s">
        <v>76</v>
      </c>
      <c r="F215" s="13" t="s">
        <v>60</v>
      </c>
      <c r="G215" s="19">
        <v>-35.448159881181418</v>
      </c>
      <c r="H215" s="13" t="s">
        <v>71</v>
      </c>
      <c r="I215" s="13" t="s">
        <v>70</v>
      </c>
      <c r="J215" s="21" t="str">
        <f>_xlfn.XLOOKUP(F215,'04_Account_Mapping'!$A$6:$A$14,'04_Account_Mapping'!$C$6:$C$14,"Unmapped",0)</f>
        <v>Selling Expense</v>
      </c>
      <c r="K215" s="21" t="str">
        <f>_xlfn.XLOOKUP(F215,'04_Account_Mapping'!$A$6:$A$14,'04_Account_Mapping'!$D$6:$D$14,"Unmapped",0)</f>
        <v>Expense</v>
      </c>
    </row>
    <row r="216" spans="1:11">
      <c r="A216" s="16">
        <v>45717</v>
      </c>
      <c r="B216" s="13">
        <v>2025</v>
      </c>
      <c r="C216" s="13">
        <v>3</v>
      </c>
      <c r="D216" s="13" t="s">
        <v>75</v>
      </c>
      <c r="E216" s="13" t="s">
        <v>76</v>
      </c>
      <c r="F216" s="13" t="s">
        <v>61</v>
      </c>
      <c r="G216" s="19">
        <v>-9.7786203485100991</v>
      </c>
      <c r="H216" s="13" t="s">
        <v>71</v>
      </c>
      <c r="I216" s="13" t="s">
        <v>70</v>
      </c>
      <c r="J216" s="21" t="str">
        <f>_xlfn.XLOOKUP(F216,'04_Account_Mapping'!$A$6:$A$14,'04_Account_Mapping'!$C$6:$C$14,"Unmapped",0)</f>
        <v>G&amp;A</v>
      </c>
      <c r="K216" s="21" t="str">
        <f>_xlfn.XLOOKUP(F216,'04_Account_Mapping'!$A$6:$A$14,'04_Account_Mapping'!$D$6:$D$14,"Unmapped",0)</f>
        <v>Expense</v>
      </c>
    </row>
    <row r="217" spans="1:11">
      <c r="A217" s="16">
        <v>45717</v>
      </c>
      <c r="B217" s="13">
        <v>2025</v>
      </c>
      <c r="C217" s="13">
        <v>3</v>
      </c>
      <c r="D217" s="13" t="s">
        <v>75</v>
      </c>
      <c r="E217" s="13" t="s">
        <v>76</v>
      </c>
      <c r="F217" s="13" t="s">
        <v>62</v>
      </c>
      <c r="G217" s="19">
        <v>5.581637378359452</v>
      </c>
      <c r="H217" s="13" t="s">
        <v>71</v>
      </c>
      <c r="I217" s="13" t="s">
        <v>70</v>
      </c>
      <c r="J217" s="21" t="str">
        <f>_xlfn.XLOOKUP(F217,'04_Account_Mapping'!$A$6:$A$14,'04_Account_Mapping'!$C$6:$C$14,"Unmapped",0)</f>
        <v>Finance Income</v>
      </c>
      <c r="K217" s="21" t="str">
        <f>_xlfn.XLOOKUP(F217,'04_Account_Mapping'!$A$6:$A$14,'04_Account_Mapping'!$D$6:$D$14,"Unmapped",0)</f>
        <v>Income</v>
      </c>
    </row>
    <row r="218" spans="1:11">
      <c r="A218" s="16">
        <v>45717</v>
      </c>
      <c r="B218" s="13">
        <v>2025</v>
      </c>
      <c r="C218" s="13">
        <v>3</v>
      </c>
      <c r="D218" s="13" t="s">
        <v>75</v>
      </c>
      <c r="E218" s="13" t="s">
        <v>76</v>
      </c>
      <c r="F218" s="13" t="s">
        <v>63</v>
      </c>
      <c r="G218" s="19">
        <v>-2.7294412809669533</v>
      </c>
      <c r="H218" s="13" t="s">
        <v>71</v>
      </c>
      <c r="I218" s="13" t="s">
        <v>70</v>
      </c>
      <c r="J218" s="21" t="str">
        <f>_xlfn.XLOOKUP(F218,'04_Account_Mapping'!$A$6:$A$14,'04_Account_Mapping'!$C$6:$C$14,"Unmapped",0)</f>
        <v>Finance Expense</v>
      </c>
      <c r="K218" s="21" t="str">
        <f>_xlfn.XLOOKUP(F218,'04_Account_Mapping'!$A$6:$A$14,'04_Account_Mapping'!$D$6:$D$14,"Unmapped",0)</f>
        <v>Expense</v>
      </c>
    </row>
    <row r="219" spans="1:11">
      <c r="A219" s="16">
        <v>45717</v>
      </c>
      <c r="B219" s="13">
        <v>2025</v>
      </c>
      <c r="C219" s="13">
        <v>3</v>
      </c>
      <c r="D219" s="13" t="s">
        <v>75</v>
      </c>
      <c r="E219" s="13" t="s">
        <v>76</v>
      </c>
      <c r="F219" s="13" t="s">
        <v>64</v>
      </c>
      <c r="G219" s="19">
        <v>2.5197497145534892E-2</v>
      </c>
      <c r="H219" s="13" t="s">
        <v>71</v>
      </c>
      <c r="I219" s="13" t="s">
        <v>70</v>
      </c>
      <c r="J219" s="21" t="str">
        <f>_xlfn.XLOOKUP(F219,'04_Account_Mapping'!$A$6:$A$14,'04_Account_Mapping'!$C$6:$C$14,"Unmapped",0)</f>
        <v>JV Profit/(Loss)</v>
      </c>
      <c r="K219" s="21" t="str">
        <f>_xlfn.XLOOKUP(F219,'04_Account_Mapping'!$A$6:$A$14,'04_Account_Mapping'!$D$6:$D$14,"Unmapped",0)</f>
        <v>Income</v>
      </c>
    </row>
    <row r="220" spans="1:11">
      <c r="A220" s="16">
        <v>45717</v>
      </c>
      <c r="B220" s="13">
        <v>2025</v>
      </c>
      <c r="C220" s="13">
        <v>3</v>
      </c>
      <c r="D220" s="13" t="s">
        <v>75</v>
      </c>
      <c r="E220" s="13" t="s">
        <v>76</v>
      </c>
      <c r="F220" s="13" t="s">
        <v>65</v>
      </c>
      <c r="G220" s="19">
        <v>-4.4629170157017672E-2</v>
      </c>
      <c r="H220" s="13" t="s">
        <v>71</v>
      </c>
      <c r="I220" s="13" t="s">
        <v>70</v>
      </c>
      <c r="J220" s="21" t="str">
        <f>_xlfn.XLOOKUP(F220,'04_Account_Mapping'!$A$6:$A$14,'04_Account_Mapping'!$C$6:$C$14,"Unmapped",0)</f>
        <v>Other Net</v>
      </c>
      <c r="K220" s="21" t="str">
        <f>_xlfn.XLOOKUP(F220,'04_Account_Mapping'!$A$6:$A$14,'04_Account_Mapping'!$D$6:$D$14,"Unmapped",0)</f>
        <v>Income</v>
      </c>
    </row>
    <row r="221" spans="1:11">
      <c r="A221" s="16">
        <v>45717</v>
      </c>
      <c r="B221" s="13">
        <v>2025</v>
      </c>
      <c r="C221" s="13">
        <v>3</v>
      </c>
      <c r="D221" s="13" t="s">
        <v>75</v>
      </c>
      <c r="E221" s="13" t="s">
        <v>76</v>
      </c>
      <c r="F221" s="13" t="s">
        <v>66</v>
      </c>
      <c r="G221" s="19">
        <v>-3.1143101322279061</v>
      </c>
      <c r="H221" s="13" t="s">
        <v>71</v>
      </c>
      <c r="I221" s="13" t="s">
        <v>70</v>
      </c>
      <c r="J221" s="21" t="str">
        <f>_xlfn.XLOOKUP(F221,'04_Account_Mapping'!$A$6:$A$14,'04_Account_Mapping'!$C$6:$C$14,"Unmapped",0)</f>
        <v>Tax Expense</v>
      </c>
      <c r="K221" s="21" t="str">
        <f>_xlfn.XLOOKUP(F221,'04_Account_Mapping'!$A$6:$A$14,'04_Account_Mapping'!$D$6:$D$14,"Unmapped",0)</f>
        <v>Expense</v>
      </c>
    </row>
    <row r="222" spans="1:11">
      <c r="A222" s="16">
        <v>45748</v>
      </c>
      <c r="B222" s="13">
        <v>2025</v>
      </c>
      <c r="C222" s="13">
        <v>4</v>
      </c>
      <c r="D222" s="13" t="s">
        <v>67</v>
      </c>
      <c r="E222" s="13" t="s">
        <v>68</v>
      </c>
      <c r="F222" s="13" t="s">
        <v>55</v>
      </c>
      <c r="G222" s="19">
        <v>2645.8813784837735</v>
      </c>
      <c r="H222" s="13" t="s">
        <v>69</v>
      </c>
      <c r="I222" s="13" t="s">
        <v>77</v>
      </c>
      <c r="J222" s="21" t="str">
        <f>_xlfn.XLOOKUP(F222,'04_Account_Mapping'!$A$6:$A$14,'04_Account_Mapping'!$C$6:$C$14,"Unmapped",0)</f>
        <v>Revenue</v>
      </c>
      <c r="K222" s="21" t="str">
        <f>_xlfn.XLOOKUP(F222,'04_Account_Mapping'!$A$6:$A$14,'04_Account_Mapping'!$D$6:$D$14,"Unmapped",0)</f>
        <v>Income</v>
      </c>
    </row>
    <row r="223" spans="1:11">
      <c r="A223" s="16">
        <v>45748</v>
      </c>
      <c r="B223" s="13">
        <v>2025</v>
      </c>
      <c r="C223" s="13">
        <v>4</v>
      </c>
      <c r="D223" s="13" t="s">
        <v>67</v>
      </c>
      <c r="E223" s="13" t="s">
        <v>68</v>
      </c>
      <c r="F223" s="13" t="s">
        <v>58</v>
      </c>
      <c r="G223" s="19">
        <v>-2113.5607825516081</v>
      </c>
      <c r="H223" s="13" t="s">
        <v>71</v>
      </c>
      <c r="I223" s="13" t="s">
        <v>77</v>
      </c>
      <c r="J223" s="21" t="str">
        <f>_xlfn.XLOOKUP(F223,'04_Account_Mapping'!$A$6:$A$14,'04_Account_Mapping'!$C$6:$C$14,"Unmapped",0)</f>
        <v>COGS</v>
      </c>
      <c r="K223" s="21" t="str">
        <f>_xlfn.XLOOKUP(F223,'04_Account_Mapping'!$A$6:$A$14,'04_Account_Mapping'!$D$6:$D$14,"Unmapped",0)</f>
        <v>Expense</v>
      </c>
    </row>
    <row r="224" spans="1:11">
      <c r="A224" s="16">
        <v>45748</v>
      </c>
      <c r="B224" s="13">
        <v>2025</v>
      </c>
      <c r="C224" s="13">
        <v>4</v>
      </c>
      <c r="D224" s="13" t="s">
        <v>67</v>
      </c>
      <c r="E224" s="13" t="s">
        <v>68</v>
      </c>
      <c r="F224" s="13" t="s">
        <v>60</v>
      </c>
      <c r="G224" s="19">
        <v>-330.79053209362041</v>
      </c>
      <c r="H224" s="13" t="s">
        <v>71</v>
      </c>
      <c r="I224" s="13" t="s">
        <v>77</v>
      </c>
      <c r="J224" s="21" t="str">
        <f>_xlfn.XLOOKUP(F224,'04_Account_Mapping'!$A$6:$A$14,'04_Account_Mapping'!$C$6:$C$14,"Unmapped",0)</f>
        <v>Selling Expense</v>
      </c>
      <c r="K224" s="21" t="str">
        <f>_xlfn.XLOOKUP(F224,'04_Account_Mapping'!$A$6:$A$14,'04_Account_Mapping'!$D$6:$D$14,"Unmapped",0)</f>
        <v>Expense</v>
      </c>
    </row>
    <row r="225" spans="1:11">
      <c r="A225" s="16">
        <v>45748</v>
      </c>
      <c r="B225" s="13">
        <v>2025</v>
      </c>
      <c r="C225" s="13">
        <v>4</v>
      </c>
      <c r="D225" s="13" t="s">
        <v>67</v>
      </c>
      <c r="E225" s="13" t="s">
        <v>68</v>
      </c>
      <c r="F225" s="13" t="s">
        <v>61</v>
      </c>
      <c r="G225" s="19">
        <v>-84.515379856356773</v>
      </c>
      <c r="H225" s="13" t="s">
        <v>71</v>
      </c>
      <c r="I225" s="13" t="s">
        <v>77</v>
      </c>
      <c r="J225" s="21" t="str">
        <f>_xlfn.XLOOKUP(F225,'04_Account_Mapping'!$A$6:$A$14,'04_Account_Mapping'!$C$6:$C$14,"Unmapped",0)</f>
        <v>G&amp;A</v>
      </c>
      <c r="K225" s="21" t="str">
        <f>_xlfn.XLOOKUP(F225,'04_Account_Mapping'!$A$6:$A$14,'04_Account_Mapping'!$D$6:$D$14,"Unmapped",0)</f>
        <v>Expense</v>
      </c>
    </row>
    <row r="226" spans="1:11">
      <c r="A226" s="16">
        <v>45748</v>
      </c>
      <c r="B226" s="13">
        <v>2025</v>
      </c>
      <c r="C226" s="13">
        <v>4</v>
      </c>
      <c r="D226" s="13" t="s">
        <v>67</v>
      </c>
      <c r="E226" s="13" t="s">
        <v>68</v>
      </c>
      <c r="F226" s="13" t="s">
        <v>62</v>
      </c>
      <c r="G226" s="19">
        <v>54.073381714086565</v>
      </c>
      <c r="H226" s="13" t="s">
        <v>71</v>
      </c>
      <c r="I226" s="13" t="s">
        <v>77</v>
      </c>
      <c r="J226" s="21" t="str">
        <f>_xlfn.XLOOKUP(F226,'04_Account_Mapping'!$A$6:$A$14,'04_Account_Mapping'!$C$6:$C$14,"Unmapped",0)</f>
        <v>Finance Income</v>
      </c>
      <c r="K226" s="21" t="str">
        <f>_xlfn.XLOOKUP(F226,'04_Account_Mapping'!$A$6:$A$14,'04_Account_Mapping'!$D$6:$D$14,"Unmapped",0)</f>
        <v>Income</v>
      </c>
    </row>
    <row r="227" spans="1:11">
      <c r="A227" s="16">
        <v>45748</v>
      </c>
      <c r="B227" s="13">
        <v>2025</v>
      </c>
      <c r="C227" s="13">
        <v>4</v>
      </c>
      <c r="D227" s="13" t="s">
        <v>67</v>
      </c>
      <c r="E227" s="13" t="s">
        <v>68</v>
      </c>
      <c r="F227" s="13" t="s">
        <v>63</v>
      </c>
      <c r="G227" s="19">
        <v>-28.305360748633611</v>
      </c>
      <c r="H227" s="13" t="s">
        <v>71</v>
      </c>
      <c r="I227" s="13" t="s">
        <v>77</v>
      </c>
      <c r="J227" s="21" t="str">
        <f>_xlfn.XLOOKUP(F227,'04_Account_Mapping'!$A$6:$A$14,'04_Account_Mapping'!$C$6:$C$14,"Unmapped",0)</f>
        <v>Finance Expense</v>
      </c>
      <c r="K227" s="21" t="str">
        <f>_xlfn.XLOOKUP(F227,'04_Account_Mapping'!$A$6:$A$14,'04_Account_Mapping'!$D$6:$D$14,"Unmapped",0)</f>
        <v>Expense</v>
      </c>
    </row>
    <row r="228" spans="1:11">
      <c r="A228" s="16">
        <v>45748</v>
      </c>
      <c r="B228" s="13">
        <v>2025</v>
      </c>
      <c r="C228" s="13">
        <v>4</v>
      </c>
      <c r="D228" s="13" t="s">
        <v>67</v>
      </c>
      <c r="E228" s="13" t="s">
        <v>68</v>
      </c>
      <c r="F228" s="13" t="s">
        <v>64</v>
      </c>
      <c r="G228" s="19">
        <v>0.78220468574207846</v>
      </c>
      <c r="H228" s="13" t="s">
        <v>71</v>
      </c>
      <c r="I228" s="13" t="s">
        <v>77</v>
      </c>
      <c r="J228" s="21" t="str">
        <f>_xlfn.XLOOKUP(F228,'04_Account_Mapping'!$A$6:$A$14,'04_Account_Mapping'!$C$6:$C$14,"Unmapped",0)</f>
        <v>JV Profit/(Loss)</v>
      </c>
      <c r="K228" s="21" t="str">
        <f>_xlfn.XLOOKUP(F228,'04_Account_Mapping'!$A$6:$A$14,'04_Account_Mapping'!$D$6:$D$14,"Unmapped",0)</f>
        <v>Income</v>
      </c>
    </row>
    <row r="229" spans="1:11">
      <c r="A229" s="16">
        <v>45748</v>
      </c>
      <c r="B229" s="13">
        <v>2025</v>
      </c>
      <c r="C229" s="13">
        <v>4</v>
      </c>
      <c r="D229" s="13" t="s">
        <v>67</v>
      </c>
      <c r="E229" s="13" t="s">
        <v>68</v>
      </c>
      <c r="F229" s="13" t="s">
        <v>65</v>
      </c>
      <c r="G229" s="19">
        <v>-0.91755012848858841</v>
      </c>
      <c r="H229" s="13" t="s">
        <v>71</v>
      </c>
      <c r="I229" s="13" t="s">
        <v>77</v>
      </c>
      <c r="J229" s="21" t="str">
        <f>_xlfn.XLOOKUP(F229,'04_Account_Mapping'!$A$6:$A$14,'04_Account_Mapping'!$C$6:$C$14,"Unmapped",0)</f>
        <v>Other Net</v>
      </c>
      <c r="K229" s="21" t="str">
        <f>_xlfn.XLOOKUP(F229,'04_Account_Mapping'!$A$6:$A$14,'04_Account_Mapping'!$D$6:$D$14,"Unmapped",0)</f>
        <v>Income</v>
      </c>
    </row>
    <row r="230" spans="1:11">
      <c r="A230" s="16">
        <v>45748</v>
      </c>
      <c r="B230" s="13">
        <v>2025</v>
      </c>
      <c r="C230" s="13">
        <v>4</v>
      </c>
      <c r="D230" s="13" t="s">
        <v>67</v>
      </c>
      <c r="E230" s="13" t="s">
        <v>68</v>
      </c>
      <c r="F230" s="13" t="s">
        <v>66</v>
      </c>
      <c r="G230" s="19">
        <v>-26.070297068982978</v>
      </c>
      <c r="H230" s="13" t="s">
        <v>71</v>
      </c>
      <c r="I230" s="13" t="s">
        <v>77</v>
      </c>
      <c r="J230" s="21" t="str">
        <f>_xlfn.XLOOKUP(F230,'04_Account_Mapping'!$A$6:$A$14,'04_Account_Mapping'!$C$6:$C$14,"Unmapped",0)</f>
        <v>Tax Expense</v>
      </c>
      <c r="K230" s="21" t="str">
        <f>_xlfn.XLOOKUP(F230,'04_Account_Mapping'!$A$6:$A$14,'04_Account_Mapping'!$D$6:$D$14,"Unmapped",0)</f>
        <v>Expense</v>
      </c>
    </row>
    <row r="231" spans="1:11">
      <c r="A231" s="16">
        <v>45748</v>
      </c>
      <c r="B231" s="13">
        <v>2025</v>
      </c>
      <c r="C231" s="13">
        <v>4</v>
      </c>
      <c r="D231" s="13" t="s">
        <v>72</v>
      </c>
      <c r="E231" s="13" t="s">
        <v>68</v>
      </c>
      <c r="F231" s="13" t="s">
        <v>55</v>
      </c>
      <c r="G231" s="19">
        <v>5698.8313684422956</v>
      </c>
      <c r="H231" s="13" t="s">
        <v>69</v>
      </c>
      <c r="I231" s="13" t="s">
        <v>77</v>
      </c>
      <c r="J231" s="21" t="str">
        <f>_xlfn.XLOOKUP(F231,'04_Account_Mapping'!$A$6:$A$14,'04_Account_Mapping'!$C$6:$C$14,"Unmapped",0)</f>
        <v>Revenue</v>
      </c>
      <c r="K231" s="21" t="str">
        <f>_xlfn.XLOOKUP(F231,'04_Account_Mapping'!$A$6:$A$14,'04_Account_Mapping'!$D$6:$D$14,"Unmapped",0)</f>
        <v>Income</v>
      </c>
    </row>
    <row r="232" spans="1:11">
      <c r="A232" s="16">
        <v>45748</v>
      </c>
      <c r="B232" s="13">
        <v>2025</v>
      </c>
      <c r="C232" s="13">
        <v>4</v>
      </c>
      <c r="D232" s="13" t="s">
        <v>72</v>
      </c>
      <c r="E232" s="13" t="s">
        <v>68</v>
      </c>
      <c r="F232" s="13" t="s">
        <v>58</v>
      </c>
      <c r="G232" s="19">
        <v>-4552.2927008983515</v>
      </c>
      <c r="H232" s="13" t="s">
        <v>71</v>
      </c>
      <c r="I232" s="13" t="s">
        <v>77</v>
      </c>
      <c r="J232" s="21" t="str">
        <f>_xlfn.XLOOKUP(F232,'04_Account_Mapping'!$A$6:$A$14,'04_Account_Mapping'!$C$6:$C$14,"Unmapped",0)</f>
        <v>COGS</v>
      </c>
      <c r="K232" s="21" t="str">
        <f>_xlfn.XLOOKUP(F232,'04_Account_Mapping'!$A$6:$A$14,'04_Account_Mapping'!$D$6:$D$14,"Unmapped",0)</f>
        <v>Expense</v>
      </c>
    </row>
    <row r="233" spans="1:11">
      <c r="A233" s="16">
        <v>45748</v>
      </c>
      <c r="B233" s="13">
        <v>2025</v>
      </c>
      <c r="C233" s="13">
        <v>4</v>
      </c>
      <c r="D233" s="13" t="s">
        <v>72</v>
      </c>
      <c r="E233" s="13" t="s">
        <v>68</v>
      </c>
      <c r="F233" s="13" t="s">
        <v>60</v>
      </c>
      <c r="G233" s="19">
        <v>-712.47315771922945</v>
      </c>
      <c r="H233" s="13" t="s">
        <v>71</v>
      </c>
      <c r="I233" s="13" t="s">
        <v>77</v>
      </c>
      <c r="J233" s="21" t="str">
        <f>_xlfn.XLOOKUP(F233,'04_Account_Mapping'!$A$6:$A$14,'04_Account_Mapping'!$C$6:$C$14,"Unmapped",0)</f>
        <v>Selling Expense</v>
      </c>
      <c r="K233" s="21" t="str">
        <f>_xlfn.XLOOKUP(F233,'04_Account_Mapping'!$A$6:$A$14,'04_Account_Mapping'!$D$6:$D$14,"Unmapped",0)</f>
        <v>Expense</v>
      </c>
    </row>
    <row r="234" spans="1:11">
      <c r="A234" s="16">
        <v>45748</v>
      </c>
      <c r="B234" s="13">
        <v>2025</v>
      </c>
      <c r="C234" s="13">
        <v>4</v>
      </c>
      <c r="D234" s="13" t="s">
        <v>72</v>
      </c>
      <c r="E234" s="13" t="s">
        <v>68</v>
      </c>
      <c r="F234" s="13" t="s">
        <v>61</v>
      </c>
      <c r="G234" s="19">
        <v>-182.03344328203633</v>
      </c>
      <c r="H234" s="13" t="s">
        <v>71</v>
      </c>
      <c r="I234" s="13" t="s">
        <v>77</v>
      </c>
      <c r="J234" s="21" t="str">
        <f>_xlfn.XLOOKUP(F234,'04_Account_Mapping'!$A$6:$A$14,'04_Account_Mapping'!$C$6:$C$14,"Unmapped",0)</f>
        <v>G&amp;A</v>
      </c>
      <c r="K234" s="21" t="str">
        <f>_xlfn.XLOOKUP(F234,'04_Account_Mapping'!$A$6:$A$14,'04_Account_Mapping'!$D$6:$D$14,"Unmapped",0)</f>
        <v>Expense</v>
      </c>
    </row>
    <row r="235" spans="1:11">
      <c r="A235" s="16">
        <v>45748</v>
      </c>
      <c r="B235" s="13">
        <v>2025</v>
      </c>
      <c r="C235" s="13">
        <v>4</v>
      </c>
      <c r="D235" s="13" t="s">
        <v>72</v>
      </c>
      <c r="E235" s="13" t="s">
        <v>68</v>
      </c>
      <c r="F235" s="13" t="s">
        <v>62</v>
      </c>
      <c r="G235" s="19">
        <v>116.4659483285601</v>
      </c>
      <c r="H235" s="13" t="s">
        <v>71</v>
      </c>
      <c r="I235" s="13" t="s">
        <v>77</v>
      </c>
      <c r="J235" s="21" t="str">
        <f>_xlfn.XLOOKUP(F235,'04_Account_Mapping'!$A$6:$A$14,'04_Account_Mapping'!$C$6:$C$14,"Unmapped",0)</f>
        <v>Finance Income</v>
      </c>
      <c r="K235" s="21" t="str">
        <f>_xlfn.XLOOKUP(F235,'04_Account_Mapping'!$A$6:$A$14,'04_Account_Mapping'!$D$6:$D$14,"Unmapped",0)</f>
        <v>Income</v>
      </c>
    </row>
    <row r="236" spans="1:11">
      <c r="A236" s="16">
        <v>45748</v>
      </c>
      <c r="B236" s="13">
        <v>2025</v>
      </c>
      <c r="C236" s="13">
        <v>4</v>
      </c>
      <c r="D236" s="13" t="s">
        <v>72</v>
      </c>
      <c r="E236" s="13" t="s">
        <v>68</v>
      </c>
      <c r="F236" s="13" t="s">
        <v>63</v>
      </c>
      <c r="G236" s="19">
        <v>-60.965498695873521</v>
      </c>
      <c r="H236" s="13" t="s">
        <v>71</v>
      </c>
      <c r="I236" s="13" t="s">
        <v>77</v>
      </c>
      <c r="J236" s="21" t="str">
        <f>_xlfn.XLOOKUP(F236,'04_Account_Mapping'!$A$6:$A$14,'04_Account_Mapping'!$C$6:$C$14,"Unmapped",0)</f>
        <v>Finance Expense</v>
      </c>
      <c r="K236" s="21" t="str">
        <f>_xlfn.XLOOKUP(F236,'04_Account_Mapping'!$A$6:$A$14,'04_Account_Mapping'!$D$6:$D$14,"Unmapped",0)</f>
        <v>Expense</v>
      </c>
    </row>
    <row r="237" spans="1:11">
      <c r="A237" s="16">
        <v>45748</v>
      </c>
      <c r="B237" s="13">
        <v>2025</v>
      </c>
      <c r="C237" s="13">
        <v>4</v>
      </c>
      <c r="D237" s="13" t="s">
        <v>72</v>
      </c>
      <c r="E237" s="13" t="s">
        <v>68</v>
      </c>
      <c r="F237" s="13" t="s">
        <v>64</v>
      </c>
      <c r="G237" s="19">
        <v>1.6847514918465356</v>
      </c>
      <c r="H237" s="13" t="s">
        <v>71</v>
      </c>
      <c r="I237" s="13" t="s">
        <v>77</v>
      </c>
      <c r="J237" s="21" t="str">
        <f>_xlfn.XLOOKUP(F237,'04_Account_Mapping'!$A$6:$A$14,'04_Account_Mapping'!$C$6:$C$14,"Unmapped",0)</f>
        <v>JV Profit/(Loss)</v>
      </c>
      <c r="K237" s="21" t="str">
        <f>_xlfn.XLOOKUP(F237,'04_Account_Mapping'!$A$6:$A$14,'04_Account_Mapping'!$D$6:$D$14,"Unmapped",0)</f>
        <v>Income</v>
      </c>
    </row>
    <row r="238" spans="1:11">
      <c r="A238" s="16">
        <v>45748</v>
      </c>
      <c r="B238" s="13">
        <v>2025</v>
      </c>
      <c r="C238" s="13">
        <v>4</v>
      </c>
      <c r="D238" s="13" t="s">
        <v>72</v>
      </c>
      <c r="E238" s="13" t="s">
        <v>68</v>
      </c>
      <c r="F238" s="13" t="s">
        <v>65</v>
      </c>
      <c r="G238" s="19">
        <v>-1.9762652615006848</v>
      </c>
      <c r="H238" s="13" t="s">
        <v>71</v>
      </c>
      <c r="I238" s="13" t="s">
        <v>77</v>
      </c>
      <c r="J238" s="21" t="str">
        <f>_xlfn.XLOOKUP(F238,'04_Account_Mapping'!$A$6:$A$14,'04_Account_Mapping'!$C$6:$C$14,"Unmapped",0)</f>
        <v>Other Net</v>
      </c>
      <c r="K238" s="21" t="str">
        <f>_xlfn.XLOOKUP(F238,'04_Account_Mapping'!$A$6:$A$14,'04_Account_Mapping'!$D$6:$D$14,"Unmapped",0)</f>
        <v>Income</v>
      </c>
    </row>
    <row r="239" spans="1:11">
      <c r="A239" s="16">
        <v>45748</v>
      </c>
      <c r="B239" s="13">
        <v>2025</v>
      </c>
      <c r="C239" s="13">
        <v>4</v>
      </c>
      <c r="D239" s="13" t="s">
        <v>72</v>
      </c>
      <c r="E239" s="13" t="s">
        <v>68</v>
      </c>
      <c r="F239" s="13" t="s">
        <v>66</v>
      </c>
      <c r="G239" s="19">
        <v>-56.151506991015538</v>
      </c>
      <c r="H239" s="13" t="s">
        <v>71</v>
      </c>
      <c r="I239" s="13" t="s">
        <v>77</v>
      </c>
      <c r="J239" s="21" t="str">
        <f>_xlfn.XLOOKUP(F239,'04_Account_Mapping'!$A$6:$A$14,'04_Account_Mapping'!$C$6:$C$14,"Unmapped",0)</f>
        <v>Tax Expense</v>
      </c>
      <c r="K239" s="21" t="str">
        <f>_xlfn.XLOOKUP(F239,'04_Account_Mapping'!$A$6:$A$14,'04_Account_Mapping'!$D$6:$D$14,"Unmapped",0)</f>
        <v>Expense</v>
      </c>
    </row>
    <row r="240" spans="1:11">
      <c r="A240" s="16">
        <v>45748</v>
      </c>
      <c r="B240" s="13">
        <v>2025</v>
      </c>
      <c r="C240" s="13">
        <v>4</v>
      </c>
      <c r="D240" s="13" t="s">
        <v>73</v>
      </c>
      <c r="E240" s="13" t="s">
        <v>74</v>
      </c>
      <c r="F240" s="13" t="s">
        <v>55</v>
      </c>
      <c r="G240" s="19">
        <v>3977.7428394975359</v>
      </c>
      <c r="H240" s="13" t="s">
        <v>69</v>
      </c>
      <c r="I240" s="13" t="s">
        <v>77</v>
      </c>
      <c r="J240" s="21" t="str">
        <f>_xlfn.XLOOKUP(F240,'04_Account_Mapping'!$A$6:$A$14,'04_Account_Mapping'!$C$6:$C$14,"Unmapped",0)</f>
        <v>Revenue</v>
      </c>
      <c r="K240" s="21" t="str">
        <f>_xlfn.XLOOKUP(F240,'04_Account_Mapping'!$A$6:$A$14,'04_Account_Mapping'!$D$6:$D$14,"Unmapped",0)</f>
        <v>Income</v>
      </c>
    </row>
    <row r="241" spans="1:11">
      <c r="A241" s="16">
        <v>45748</v>
      </c>
      <c r="B241" s="13">
        <v>2025</v>
      </c>
      <c r="C241" s="13">
        <v>4</v>
      </c>
      <c r="D241" s="13" t="s">
        <v>73</v>
      </c>
      <c r="E241" s="13" t="s">
        <v>74</v>
      </c>
      <c r="F241" s="13" t="s">
        <v>58</v>
      </c>
      <c r="G241" s="19">
        <v>-3177.4671899521163</v>
      </c>
      <c r="H241" s="13" t="s">
        <v>71</v>
      </c>
      <c r="I241" s="13" t="s">
        <v>77</v>
      </c>
      <c r="J241" s="21" t="str">
        <f>_xlfn.XLOOKUP(F241,'04_Account_Mapping'!$A$6:$A$14,'04_Account_Mapping'!$C$6:$C$14,"Unmapped",0)</f>
        <v>COGS</v>
      </c>
      <c r="K241" s="21" t="str">
        <f>_xlfn.XLOOKUP(F241,'04_Account_Mapping'!$A$6:$A$14,'04_Account_Mapping'!$D$6:$D$14,"Unmapped",0)</f>
        <v>Expense</v>
      </c>
    </row>
    <row r="242" spans="1:11">
      <c r="A242" s="16">
        <v>45748</v>
      </c>
      <c r="B242" s="13">
        <v>2025</v>
      </c>
      <c r="C242" s="13">
        <v>4</v>
      </c>
      <c r="D242" s="13" t="s">
        <v>73</v>
      </c>
      <c r="E242" s="13" t="s">
        <v>74</v>
      </c>
      <c r="F242" s="13" t="s">
        <v>60</v>
      </c>
      <c r="G242" s="19">
        <v>-497.30108126124662</v>
      </c>
      <c r="H242" s="13" t="s">
        <v>71</v>
      </c>
      <c r="I242" s="13" t="s">
        <v>77</v>
      </c>
      <c r="J242" s="21" t="str">
        <f>_xlfn.XLOOKUP(F242,'04_Account_Mapping'!$A$6:$A$14,'04_Account_Mapping'!$C$6:$C$14,"Unmapped",0)</f>
        <v>Selling Expense</v>
      </c>
      <c r="K242" s="21" t="str">
        <f>_xlfn.XLOOKUP(F242,'04_Account_Mapping'!$A$6:$A$14,'04_Account_Mapping'!$D$6:$D$14,"Unmapped",0)</f>
        <v>Expense</v>
      </c>
    </row>
    <row r="243" spans="1:11">
      <c r="A243" s="16">
        <v>45748</v>
      </c>
      <c r="B243" s="13">
        <v>2025</v>
      </c>
      <c r="C243" s="13">
        <v>4</v>
      </c>
      <c r="D243" s="13" t="s">
        <v>73</v>
      </c>
      <c r="E243" s="13" t="s">
        <v>74</v>
      </c>
      <c r="F243" s="13" t="s">
        <v>61</v>
      </c>
      <c r="G243" s="19">
        <v>-127.05801922370615</v>
      </c>
      <c r="H243" s="13" t="s">
        <v>71</v>
      </c>
      <c r="I243" s="13" t="s">
        <v>77</v>
      </c>
      <c r="J243" s="21" t="str">
        <f>_xlfn.XLOOKUP(F243,'04_Account_Mapping'!$A$6:$A$14,'04_Account_Mapping'!$C$6:$C$14,"Unmapped",0)</f>
        <v>G&amp;A</v>
      </c>
      <c r="K243" s="21" t="str">
        <f>_xlfn.XLOOKUP(F243,'04_Account_Mapping'!$A$6:$A$14,'04_Account_Mapping'!$D$6:$D$14,"Unmapped",0)</f>
        <v>Expense</v>
      </c>
    </row>
    <row r="244" spans="1:11">
      <c r="A244" s="16">
        <v>45748</v>
      </c>
      <c r="B244" s="13">
        <v>2025</v>
      </c>
      <c r="C244" s="13">
        <v>4</v>
      </c>
      <c r="D244" s="13" t="s">
        <v>73</v>
      </c>
      <c r="E244" s="13" t="s">
        <v>74</v>
      </c>
      <c r="F244" s="13" t="s">
        <v>62</v>
      </c>
      <c r="G244" s="19">
        <v>81.292384711472778</v>
      </c>
      <c r="H244" s="13" t="s">
        <v>71</v>
      </c>
      <c r="I244" s="13" t="s">
        <v>77</v>
      </c>
      <c r="J244" s="21" t="str">
        <f>_xlfn.XLOOKUP(F244,'04_Account_Mapping'!$A$6:$A$14,'04_Account_Mapping'!$C$6:$C$14,"Unmapped",0)</f>
        <v>Finance Income</v>
      </c>
      <c r="K244" s="21" t="str">
        <f>_xlfn.XLOOKUP(F244,'04_Account_Mapping'!$A$6:$A$14,'04_Account_Mapping'!$D$6:$D$14,"Unmapped",0)</f>
        <v>Income</v>
      </c>
    </row>
    <row r="245" spans="1:11">
      <c r="A245" s="16">
        <v>45748</v>
      </c>
      <c r="B245" s="13">
        <v>2025</v>
      </c>
      <c r="C245" s="13">
        <v>4</v>
      </c>
      <c r="D245" s="13" t="s">
        <v>73</v>
      </c>
      <c r="E245" s="13" t="s">
        <v>74</v>
      </c>
      <c r="F245" s="13" t="s">
        <v>63</v>
      </c>
      <c r="G245" s="19">
        <v>-42.553474601266011</v>
      </c>
      <c r="H245" s="13" t="s">
        <v>71</v>
      </c>
      <c r="I245" s="13" t="s">
        <v>77</v>
      </c>
      <c r="J245" s="21" t="str">
        <f>_xlfn.XLOOKUP(F245,'04_Account_Mapping'!$A$6:$A$14,'04_Account_Mapping'!$C$6:$C$14,"Unmapped",0)</f>
        <v>Finance Expense</v>
      </c>
      <c r="K245" s="21" t="str">
        <f>_xlfn.XLOOKUP(F245,'04_Account_Mapping'!$A$6:$A$14,'04_Account_Mapping'!$D$6:$D$14,"Unmapped",0)</f>
        <v>Expense</v>
      </c>
    </row>
    <row r="246" spans="1:11">
      <c r="A246" s="16">
        <v>45748</v>
      </c>
      <c r="B246" s="13">
        <v>2025</v>
      </c>
      <c r="C246" s="13">
        <v>4</v>
      </c>
      <c r="D246" s="13" t="s">
        <v>73</v>
      </c>
      <c r="E246" s="13" t="s">
        <v>74</v>
      </c>
      <c r="F246" s="13" t="s">
        <v>64</v>
      </c>
      <c r="G246" s="19">
        <v>1.175944285724166</v>
      </c>
      <c r="H246" s="13" t="s">
        <v>71</v>
      </c>
      <c r="I246" s="13" t="s">
        <v>77</v>
      </c>
      <c r="J246" s="21" t="str">
        <f>_xlfn.XLOOKUP(F246,'04_Account_Mapping'!$A$6:$A$14,'04_Account_Mapping'!$C$6:$C$14,"Unmapped",0)</f>
        <v>JV Profit/(Loss)</v>
      </c>
      <c r="K246" s="21" t="str">
        <f>_xlfn.XLOOKUP(F246,'04_Account_Mapping'!$A$6:$A$14,'04_Account_Mapping'!$D$6:$D$14,"Unmapped",0)</f>
        <v>Income</v>
      </c>
    </row>
    <row r="247" spans="1:11">
      <c r="A247" s="16">
        <v>45748</v>
      </c>
      <c r="B247" s="13">
        <v>2025</v>
      </c>
      <c r="C247" s="13">
        <v>4</v>
      </c>
      <c r="D247" s="13" t="s">
        <v>73</v>
      </c>
      <c r="E247" s="13" t="s">
        <v>74</v>
      </c>
      <c r="F247" s="13" t="s">
        <v>65</v>
      </c>
      <c r="G247" s="19">
        <v>-1.3794187763500712</v>
      </c>
      <c r="H247" s="13" t="s">
        <v>71</v>
      </c>
      <c r="I247" s="13" t="s">
        <v>77</v>
      </c>
      <c r="J247" s="21" t="str">
        <f>_xlfn.XLOOKUP(F247,'04_Account_Mapping'!$A$6:$A$14,'04_Account_Mapping'!$C$6:$C$14,"Unmapped",0)</f>
        <v>Other Net</v>
      </c>
      <c r="K247" s="21" t="str">
        <f>_xlfn.XLOOKUP(F247,'04_Account_Mapping'!$A$6:$A$14,'04_Account_Mapping'!$D$6:$D$14,"Unmapped",0)</f>
        <v>Income</v>
      </c>
    </row>
    <row r="248" spans="1:11">
      <c r="A248" s="16">
        <v>45748</v>
      </c>
      <c r="B248" s="13">
        <v>2025</v>
      </c>
      <c r="C248" s="13">
        <v>4</v>
      </c>
      <c r="D248" s="13" t="s">
        <v>73</v>
      </c>
      <c r="E248" s="13" t="s">
        <v>74</v>
      </c>
      <c r="F248" s="13" t="s">
        <v>66</v>
      </c>
      <c r="G248" s="19">
        <v>-39.193343410257725</v>
      </c>
      <c r="H248" s="13" t="s">
        <v>71</v>
      </c>
      <c r="I248" s="13" t="s">
        <v>77</v>
      </c>
      <c r="J248" s="21" t="str">
        <f>_xlfn.XLOOKUP(F248,'04_Account_Mapping'!$A$6:$A$14,'04_Account_Mapping'!$C$6:$C$14,"Unmapped",0)</f>
        <v>Tax Expense</v>
      </c>
      <c r="K248" s="21" t="str">
        <f>_xlfn.XLOOKUP(F248,'04_Account_Mapping'!$A$6:$A$14,'04_Account_Mapping'!$D$6:$D$14,"Unmapped",0)</f>
        <v>Expense</v>
      </c>
    </row>
    <row r="249" spans="1:11">
      <c r="A249" s="16">
        <v>45748</v>
      </c>
      <c r="B249" s="13">
        <v>2025</v>
      </c>
      <c r="C249" s="13">
        <v>4</v>
      </c>
      <c r="D249" s="13" t="s">
        <v>75</v>
      </c>
      <c r="E249" s="13" t="s">
        <v>76</v>
      </c>
      <c r="F249" s="13" t="s">
        <v>55</v>
      </c>
      <c r="G249" s="19">
        <v>240.23440587391198</v>
      </c>
      <c r="H249" s="13" t="s">
        <v>69</v>
      </c>
      <c r="I249" s="13" t="s">
        <v>77</v>
      </c>
      <c r="J249" s="21" t="str">
        <f>_xlfn.XLOOKUP(F249,'04_Account_Mapping'!$A$6:$A$14,'04_Account_Mapping'!$C$6:$C$14,"Unmapped",0)</f>
        <v>Revenue</v>
      </c>
      <c r="K249" s="21" t="str">
        <f>_xlfn.XLOOKUP(F249,'04_Account_Mapping'!$A$6:$A$14,'04_Account_Mapping'!$D$6:$D$14,"Unmapped",0)</f>
        <v>Income</v>
      </c>
    </row>
    <row r="250" spans="1:11">
      <c r="A250" s="16">
        <v>45748</v>
      </c>
      <c r="B250" s="13">
        <v>2025</v>
      </c>
      <c r="C250" s="13">
        <v>4</v>
      </c>
      <c r="D250" s="13" t="s">
        <v>75</v>
      </c>
      <c r="E250" s="13" t="s">
        <v>76</v>
      </c>
      <c r="F250" s="13" t="s">
        <v>58</v>
      </c>
      <c r="G250" s="19">
        <v>-191.90203423467648</v>
      </c>
      <c r="H250" s="13" t="s">
        <v>71</v>
      </c>
      <c r="I250" s="13" t="s">
        <v>77</v>
      </c>
      <c r="J250" s="21" t="str">
        <f>_xlfn.XLOOKUP(F250,'04_Account_Mapping'!$A$6:$A$14,'04_Account_Mapping'!$C$6:$C$14,"Unmapped",0)</f>
        <v>COGS</v>
      </c>
      <c r="K250" s="21" t="str">
        <f>_xlfn.XLOOKUP(F250,'04_Account_Mapping'!$A$6:$A$14,'04_Account_Mapping'!$D$6:$D$14,"Unmapped",0)</f>
        <v>Expense</v>
      </c>
    </row>
    <row r="251" spans="1:11">
      <c r="A251" s="16">
        <v>45748</v>
      </c>
      <c r="B251" s="13">
        <v>2025</v>
      </c>
      <c r="C251" s="13">
        <v>4</v>
      </c>
      <c r="D251" s="13" t="s">
        <v>75</v>
      </c>
      <c r="E251" s="13" t="s">
        <v>76</v>
      </c>
      <c r="F251" s="13" t="s">
        <v>60</v>
      </c>
      <c r="G251" s="19">
        <v>-30.034327159354721</v>
      </c>
      <c r="H251" s="13" t="s">
        <v>71</v>
      </c>
      <c r="I251" s="13" t="s">
        <v>77</v>
      </c>
      <c r="J251" s="21" t="str">
        <f>_xlfn.XLOOKUP(F251,'04_Account_Mapping'!$A$6:$A$14,'04_Account_Mapping'!$C$6:$C$14,"Unmapped",0)</f>
        <v>Selling Expense</v>
      </c>
      <c r="K251" s="21" t="str">
        <f>_xlfn.XLOOKUP(F251,'04_Account_Mapping'!$A$6:$A$14,'04_Account_Mapping'!$D$6:$D$14,"Unmapped",0)</f>
        <v>Expense</v>
      </c>
    </row>
    <row r="252" spans="1:11">
      <c r="A252" s="16">
        <v>45748</v>
      </c>
      <c r="B252" s="13">
        <v>2025</v>
      </c>
      <c r="C252" s="13">
        <v>4</v>
      </c>
      <c r="D252" s="13" t="s">
        <v>75</v>
      </c>
      <c r="E252" s="13" t="s">
        <v>76</v>
      </c>
      <c r="F252" s="13" t="s">
        <v>61</v>
      </c>
      <c r="G252" s="19">
        <v>-7.6736252169531545</v>
      </c>
      <c r="H252" s="13" t="s">
        <v>71</v>
      </c>
      <c r="I252" s="13" t="s">
        <v>77</v>
      </c>
      <c r="J252" s="21" t="str">
        <f>_xlfn.XLOOKUP(F252,'04_Account_Mapping'!$A$6:$A$14,'04_Account_Mapping'!$C$6:$C$14,"Unmapped",0)</f>
        <v>G&amp;A</v>
      </c>
      <c r="K252" s="21" t="str">
        <f>_xlfn.XLOOKUP(F252,'04_Account_Mapping'!$A$6:$A$14,'04_Account_Mapping'!$D$6:$D$14,"Unmapped",0)</f>
        <v>Expense</v>
      </c>
    </row>
    <row r="253" spans="1:11">
      <c r="A253" s="16">
        <v>45748</v>
      </c>
      <c r="B253" s="13">
        <v>2025</v>
      </c>
      <c r="C253" s="13">
        <v>4</v>
      </c>
      <c r="D253" s="13" t="s">
        <v>75</v>
      </c>
      <c r="E253" s="13" t="s">
        <v>76</v>
      </c>
      <c r="F253" s="13" t="s">
        <v>62</v>
      </c>
      <c r="G253" s="19">
        <v>4.9096255165909763</v>
      </c>
      <c r="H253" s="13" t="s">
        <v>71</v>
      </c>
      <c r="I253" s="13" t="s">
        <v>77</v>
      </c>
      <c r="J253" s="21" t="str">
        <f>_xlfn.XLOOKUP(F253,'04_Account_Mapping'!$A$6:$A$14,'04_Account_Mapping'!$C$6:$C$14,"Unmapped",0)</f>
        <v>Finance Income</v>
      </c>
      <c r="K253" s="21" t="str">
        <f>_xlfn.XLOOKUP(F253,'04_Account_Mapping'!$A$6:$A$14,'04_Account_Mapping'!$D$6:$D$14,"Unmapped",0)</f>
        <v>Income</v>
      </c>
    </row>
    <row r="254" spans="1:11">
      <c r="A254" s="16">
        <v>45748</v>
      </c>
      <c r="B254" s="13">
        <v>2025</v>
      </c>
      <c r="C254" s="13">
        <v>4</v>
      </c>
      <c r="D254" s="13" t="s">
        <v>75</v>
      </c>
      <c r="E254" s="13" t="s">
        <v>76</v>
      </c>
      <c r="F254" s="13" t="s">
        <v>63</v>
      </c>
      <c r="G254" s="19">
        <v>-2.5700024112159743</v>
      </c>
      <c r="H254" s="13" t="s">
        <v>71</v>
      </c>
      <c r="I254" s="13" t="s">
        <v>77</v>
      </c>
      <c r="J254" s="21" t="str">
        <f>_xlfn.XLOOKUP(F254,'04_Account_Mapping'!$A$6:$A$14,'04_Account_Mapping'!$C$6:$C$14,"Unmapped",0)</f>
        <v>Finance Expense</v>
      </c>
      <c r="K254" s="21" t="str">
        <f>_xlfn.XLOOKUP(F254,'04_Account_Mapping'!$A$6:$A$14,'04_Account_Mapping'!$D$6:$D$14,"Unmapped",0)</f>
        <v>Expense</v>
      </c>
    </row>
    <row r="255" spans="1:11">
      <c r="A255" s="16">
        <v>45748</v>
      </c>
      <c r="B255" s="13">
        <v>2025</v>
      </c>
      <c r="C255" s="13">
        <v>4</v>
      </c>
      <c r="D255" s="13" t="s">
        <v>75</v>
      </c>
      <c r="E255" s="13" t="s">
        <v>76</v>
      </c>
      <c r="F255" s="13" t="s">
        <v>64</v>
      </c>
      <c r="G255" s="19">
        <v>7.1020749259258859E-2</v>
      </c>
      <c r="H255" s="13" t="s">
        <v>71</v>
      </c>
      <c r="I255" s="13" t="s">
        <v>77</v>
      </c>
      <c r="J255" s="21" t="str">
        <f>_xlfn.XLOOKUP(F255,'04_Account_Mapping'!$A$6:$A$14,'04_Account_Mapping'!$C$6:$C$14,"Unmapped",0)</f>
        <v>JV Profit/(Loss)</v>
      </c>
      <c r="K255" s="21" t="str">
        <f>_xlfn.XLOOKUP(F255,'04_Account_Mapping'!$A$6:$A$14,'04_Account_Mapping'!$D$6:$D$14,"Unmapped",0)</f>
        <v>Income</v>
      </c>
    </row>
    <row r="256" spans="1:11">
      <c r="A256" s="16">
        <v>45748</v>
      </c>
      <c r="B256" s="13">
        <v>2025</v>
      </c>
      <c r="C256" s="13">
        <v>4</v>
      </c>
      <c r="D256" s="13" t="s">
        <v>75</v>
      </c>
      <c r="E256" s="13" t="s">
        <v>76</v>
      </c>
      <c r="F256" s="13" t="s">
        <v>65</v>
      </c>
      <c r="G256" s="19">
        <v>-8.3309520891410388E-2</v>
      </c>
      <c r="H256" s="13" t="s">
        <v>71</v>
      </c>
      <c r="I256" s="13" t="s">
        <v>77</v>
      </c>
      <c r="J256" s="21" t="str">
        <f>_xlfn.XLOOKUP(F256,'04_Account_Mapping'!$A$6:$A$14,'04_Account_Mapping'!$C$6:$C$14,"Unmapped",0)</f>
        <v>Other Net</v>
      </c>
      <c r="K256" s="21" t="str">
        <f>_xlfn.XLOOKUP(F256,'04_Account_Mapping'!$A$6:$A$14,'04_Account_Mapping'!$D$6:$D$14,"Unmapped",0)</f>
        <v>Income</v>
      </c>
    </row>
    <row r="257" spans="1:11">
      <c r="A257" s="16">
        <v>45748</v>
      </c>
      <c r="B257" s="13">
        <v>2025</v>
      </c>
      <c r="C257" s="13">
        <v>4</v>
      </c>
      <c r="D257" s="13" t="s">
        <v>75</v>
      </c>
      <c r="E257" s="13" t="s">
        <v>76</v>
      </c>
      <c r="F257" s="13" t="s">
        <v>66</v>
      </c>
      <c r="G257" s="19">
        <v>-2.3670684476839723</v>
      </c>
      <c r="H257" s="13" t="s">
        <v>71</v>
      </c>
      <c r="I257" s="13" t="s">
        <v>77</v>
      </c>
      <c r="J257" s="21" t="str">
        <f>_xlfn.XLOOKUP(F257,'04_Account_Mapping'!$A$6:$A$14,'04_Account_Mapping'!$C$6:$C$14,"Unmapped",0)</f>
        <v>Tax Expense</v>
      </c>
      <c r="K257" s="21" t="str">
        <f>_xlfn.XLOOKUP(F257,'04_Account_Mapping'!$A$6:$A$14,'04_Account_Mapping'!$D$6:$D$14,"Unmapped",0)</f>
        <v>Expense</v>
      </c>
    </row>
    <row r="258" spans="1:11">
      <c r="A258" s="16">
        <v>45778</v>
      </c>
      <c r="B258" s="13">
        <v>2025</v>
      </c>
      <c r="C258" s="13">
        <v>5</v>
      </c>
      <c r="D258" s="13" t="s">
        <v>67</v>
      </c>
      <c r="E258" s="13" t="s">
        <v>68</v>
      </c>
      <c r="F258" s="13" t="s">
        <v>55</v>
      </c>
      <c r="G258" s="19">
        <v>2715.2315533798705</v>
      </c>
      <c r="H258" s="13" t="s">
        <v>69</v>
      </c>
      <c r="I258" s="13" t="s">
        <v>77</v>
      </c>
      <c r="J258" s="21" t="str">
        <f>_xlfn.XLOOKUP(F258,'04_Account_Mapping'!$A$6:$A$14,'04_Account_Mapping'!$C$6:$C$14,"Unmapped",0)</f>
        <v>Revenue</v>
      </c>
      <c r="K258" s="21" t="str">
        <f>_xlfn.XLOOKUP(F258,'04_Account_Mapping'!$A$6:$A$14,'04_Account_Mapping'!$D$6:$D$14,"Unmapped",0)</f>
        <v>Income</v>
      </c>
    </row>
    <row r="259" spans="1:11">
      <c r="A259" s="16">
        <v>45778</v>
      </c>
      <c r="B259" s="13">
        <v>2025</v>
      </c>
      <c r="C259" s="13">
        <v>5</v>
      </c>
      <c r="D259" s="13" t="s">
        <v>67</v>
      </c>
      <c r="E259" s="13" t="s">
        <v>68</v>
      </c>
      <c r="F259" s="13" t="s">
        <v>58</v>
      </c>
      <c r="G259" s="19">
        <v>-2168.9585079052226</v>
      </c>
      <c r="H259" s="13" t="s">
        <v>71</v>
      </c>
      <c r="I259" s="13" t="s">
        <v>77</v>
      </c>
      <c r="J259" s="21" t="str">
        <f>_xlfn.XLOOKUP(F259,'04_Account_Mapping'!$A$6:$A$14,'04_Account_Mapping'!$C$6:$C$14,"Unmapped",0)</f>
        <v>COGS</v>
      </c>
      <c r="K259" s="21" t="str">
        <f>_xlfn.XLOOKUP(F259,'04_Account_Mapping'!$A$6:$A$14,'04_Account_Mapping'!$D$6:$D$14,"Unmapped",0)</f>
        <v>Expense</v>
      </c>
    </row>
    <row r="260" spans="1:11">
      <c r="A260" s="16">
        <v>45778</v>
      </c>
      <c r="B260" s="13">
        <v>2025</v>
      </c>
      <c r="C260" s="13">
        <v>5</v>
      </c>
      <c r="D260" s="13" t="s">
        <v>67</v>
      </c>
      <c r="E260" s="13" t="s">
        <v>68</v>
      </c>
      <c r="F260" s="13" t="s">
        <v>60</v>
      </c>
      <c r="G260" s="19">
        <v>-339.4607549695271</v>
      </c>
      <c r="H260" s="13" t="s">
        <v>71</v>
      </c>
      <c r="I260" s="13" t="s">
        <v>77</v>
      </c>
      <c r="J260" s="21" t="str">
        <f>_xlfn.XLOOKUP(F260,'04_Account_Mapping'!$A$6:$A$14,'04_Account_Mapping'!$C$6:$C$14,"Unmapped",0)</f>
        <v>Selling Expense</v>
      </c>
      <c r="K260" s="21" t="str">
        <f>_xlfn.XLOOKUP(F260,'04_Account_Mapping'!$A$6:$A$14,'04_Account_Mapping'!$D$6:$D$14,"Unmapped",0)</f>
        <v>Expense</v>
      </c>
    </row>
    <row r="261" spans="1:11">
      <c r="A261" s="16">
        <v>45778</v>
      </c>
      <c r="B261" s="13">
        <v>2025</v>
      </c>
      <c r="C261" s="13">
        <v>5</v>
      </c>
      <c r="D261" s="13" t="s">
        <v>67</v>
      </c>
      <c r="E261" s="13" t="s">
        <v>68</v>
      </c>
      <c r="F261" s="13" t="s">
        <v>61</v>
      </c>
      <c r="G261" s="19">
        <v>-86.730579835505949</v>
      </c>
      <c r="H261" s="13" t="s">
        <v>71</v>
      </c>
      <c r="I261" s="13" t="s">
        <v>77</v>
      </c>
      <c r="J261" s="21" t="str">
        <f>_xlfn.XLOOKUP(F261,'04_Account_Mapping'!$A$6:$A$14,'04_Account_Mapping'!$C$6:$C$14,"Unmapped",0)</f>
        <v>G&amp;A</v>
      </c>
      <c r="K261" s="21" t="str">
        <f>_xlfn.XLOOKUP(F261,'04_Account_Mapping'!$A$6:$A$14,'04_Account_Mapping'!$D$6:$D$14,"Unmapped",0)</f>
        <v>Expense</v>
      </c>
    </row>
    <row r="262" spans="1:11">
      <c r="A262" s="16">
        <v>45778</v>
      </c>
      <c r="B262" s="13">
        <v>2025</v>
      </c>
      <c r="C262" s="13">
        <v>5</v>
      </c>
      <c r="D262" s="13" t="s">
        <v>67</v>
      </c>
      <c r="E262" s="13" t="s">
        <v>68</v>
      </c>
      <c r="F262" s="13" t="s">
        <v>62</v>
      </c>
      <c r="G262" s="19">
        <v>55.490678237502244</v>
      </c>
      <c r="H262" s="13" t="s">
        <v>71</v>
      </c>
      <c r="I262" s="13" t="s">
        <v>77</v>
      </c>
      <c r="J262" s="21" t="str">
        <f>_xlfn.XLOOKUP(F262,'04_Account_Mapping'!$A$6:$A$14,'04_Account_Mapping'!$C$6:$C$14,"Unmapped",0)</f>
        <v>Finance Income</v>
      </c>
      <c r="K262" s="21" t="str">
        <f>_xlfn.XLOOKUP(F262,'04_Account_Mapping'!$A$6:$A$14,'04_Account_Mapping'!$D$6:$D$14,"Unmapped",0)</f>
        <v>Income</v>
      </c>
    </row>
    <row r="263" spans="1:11">
      <c r="A263" s="16">
        <v>45778</v>
      </c>
      <c r="B263" s="13">
        <v>2025</v>
      </c>
      <c r="C263" s="13">
        <v>5</v>
      </c>
      <c r="D263" s="13" t="s">
        <v>67</v>
      </c>
      <c r="E263" s="13" t="s">
        <v>68</v>
      </c>
      <c r="F263" s="13" t="s">
        <v>63</v>
      </c>
      <c r="G263" s="19">
        <v>-29.047261626873194</v>
      </c>
      <c r="H263" s="13" t="s">
        <v>71</v>
      </c>
      <c r="I263" s="13" t="s">
        <v>77</v>
      </c>
      <c r="J263" s="21" t="str">
        <f>_xlfn.XLOOKUP(F263,'04_Account_Mapping'!$A$6:$A$14,'04_Account_Mapping'!$C$6:$C$14,"Unmapped",0)</f>
        <v>Finance Expense</v>
      </c>
      <c r="K263" s="21" t="str">
        <f>_xlfn.XLOOKUP(F263,'04_Account_Mapping'!$A$6:$A$14,'04_Account_Mapping'!$D$6:$D$14,"Unmapped",0)</f>
        <v>Expense</v>
      </c>
    </row>
    <row r="264" spans="1:11">
      <c r="A264" s="16">
        <v>45778</v>
      </c>
      <c r="B264" s="13">
        <v>2025</v>
      </c>
      <c r="C264" s="13">
        <v>5</v>
      </c>
      <c r="D264" s="13" t="s">
        <v>67</v>
      </c>
      <c r="E264" s="13" t="s">
        <v>68</v>
      </c>
      <c r="F264" s="13" t="s">
        <v>64</v>
      </c>
      <c r="G264" s="19">
        <v>0.80270675065016062</v>
      </c>
      <c r="H264" s="13" t="s">
        <v>71</v>
      </c>
      <c r="I264" s="13" t="s">
        <v>77</v>
      </c>
      <c r="J264" s="21" t="str">
        <f>_xlfn.XLOOKUP(F264,'04_Account_Mapping'!$A$6:$A$14,'04_Account_Mapping'!$C$6:$C$14,"Unmapped",0)</f>
        <v>JV Profit/(Loss)</v>
      </c>
      <c r="K264" s="21" t="str">
        <f>_xlfn.XLOOKUP(F264,'04_Account_Mapping'!$A$6:$A$14,'04_Account_Mapping'!$D$6:$D$14,"Unmapped",0)</f>
        <v>Income</v>
      </c>
    </row>
    <row r="265" spans="1:11">
      <c r="A265" s="16">
        <v>45778</v>
      </c>
      <c r="B265" s="13">
        <v>2025</v>
      </c>
      <c r="C265" s="13">
        <v>5</v>
      </c>
      <c r="D265" s="13" t="s">
        <v>67</v>
      </c>
      <c r="E265" s="13" t="s">
        <v>68</v>
      </c>
      <c r="F265" s="13" t="s">
        <v>65</v>
      </c>
      <c r="G265" s="19">
        <v>-0.94159968052220411</v>
      </c>
      <c r="H265" s="13" t="s">
        <v>71</v>
      </c>
      <c r="I265" s="13" t="s">
        <v>77</v>
      </c>
      <c r="J265" s="21" t="str">
        <f>_xlfn.XLOOKUP(F265,'04_Account_Mapping'!$A$6:$A$14,'04_Account_Mapping'!$C$6:$C$14,"Unmapped",0)</f>
        <v>Other Net</v>
      </c>
      <c r="K265" s="21" t="str">
        <f>_xlfn.XLOOKUP(F265,'04_Account_Mapping'!$A$6:$A$14,'04_Account_Mapping'!$D$6:$D$14,"Unmapped",0)</f>
        <v>Income</v>
      </c>
    </row>
    <row r="266" spans="1:11">
      <c r="A266" s="16">
        <v>45778</v>
      </c>
      <c r="B266" s="13">
        <v>2025</v>
      </c>
      <c r="C266" s="13">
        <v>5</v>
      </c>
      <c r="D266" s="13" t="s">
        <v>67</v>
      </c>
      <c r="E266" s="13" t="s">
        <v>68</v>
      </c>
      <c r="F266" s="13" t="s">
        <v>66</v>
      </c>
      <c r="G266" s="19">
        <v>-26.753615556360987</v>
      </c>
      <c r="H266" s="13" t="s">
        <v>71</v>
      </c>
      <c r="I266" s="13" t="s">
        <v>77</v>
      </c>
      <c r="J266" s="21" t="str">
        <f>_xlfn.XLOOKUP(F266,'04_Account_Mapping'!$A$6:$A$14,'04_Account_Mapping'!$C$6:$C$14,"Unmapped",0)</f>
        <v>Tax Expense</v>
      </c>
      <c r="K266" s="21" t="str">
        <f>_xlfn.XLOOKUP(F266,'04_Account_Mapping'!$A$6:$A$14,'04_Account_Mapping'!$D$6:$D$14,"Unmapped",0)</f>
        <v>Expense</v>
      </c>
    </row>
    <row r="267" spans="1:11">
      <c r="A267" s="16">
        <v>45778</v>
      </c>
      <c r="B267" s="13">
        <v>2025</v>
      </c>
      <c r="C267" s="13">
        <v>5</v>
      </c>
      <c r="D267" s="13" t="s">
        <v>72</v>
      </c>
      <c r="E267" s="13" t="s">
        <v>68</v>
      </c>
      <c r="F267" s="13" t="s">
        <v>55</v>
      </c>
      <c r="G267" s="19">
        <v>5674.0004265043954</v>
      </c>
      <c r="H267" s="13" t="s">
        <v>69</v>
      </c>
      <c r="I267" s="13" t="s">
        <v>77</v>
      </c>
      <c r="J267" s="21" t="str">
        <f>_xlfn.XLOOKUP(F267,'04_Account_Mapping'!$A$6:$A$14,'04_Account_Mapping'!$C$6:$C$14,"Unmapped",0)</f>
        <v>Revenue</v>
      </c>
      <c r="K267" s="21" t="str">
        <f>_xlfn.XLOOKUP(F267,'04_Account_Mapping'!$A$6:$A$14,'04_Account_Mapping'!$D$6:$D$14,"Unmapped",0)</f>
        <v>Income</v>
      </c>
    </row>
    <row r="268" spans="1:11">
      <c r="A268" s="16">
        <v>45778</v>
      </c>
      <c r="B268" s="13">
        <v>2025</v>
      </c>
      <c r="C268" s="13">
        <v>5</v>
      </c>
      <c r="D268" s="13" t="s">
        <v>72</v>
      </c>
      <c r="E268" s="13" t="s">
        <v>68</v>
      </c>
      <c r="F268" s="13" t="s">
        <v>58</v>
      </c>
      <c r="G268" s="19">
        <v>-4532.4574560152878</v>
      </c>
      <c r="H268" s="13" t="s">
        <v>71</v>
      </c>
      <c r="I268" s="13" t="s">
        <v>77</v>
      </c>
      <c r="J268" s="21" t="str">
        <f>_xlfn.XLOOKUP(F268,'04_Account_Mapping'!$A$6:$A$14,'04_Account_Mapping'!$C$6:$C$14,"Unmapped",0)</f>
        <v>COGS</v>
      </c>
      <c r="K268" s="21" t="str">
        <f>_xlfn.XLOOKUP(F268,'04_Account_Mapping'!$A$6:$A$14,'04_Account_Mapping'!$D$6:$D$14,"Unmapped",0)</f>
        <v>Expense</v>
      </c>
    </row>
    <row r="269" spans="1:11">
      <c r="A269" s="16">
        <v>45778</v>
      </c>
      <c r="B269" s="13">
        <v>2025</v>
      </c>
      <c r="C269" s="13">
        <v>5</v>
      </c>
      <c r="D269" s="13" t="s">
        <v>72</v>
      </c>
      <c r="E269" s="13" t="s">
        <v>68</v>
      </c>
      <c r="F269" s="13" t="s">
        <v>60</v>
      </c>
      <c r="G269" s="19">
        <v>-709.36877043912739</v>
      </c>
      <c r="H269" s="13" t="s">
        <v>71</v>
      </c>
      <c r="I269" s="13" t="s">
        <v>77</v>
      </c>
      <c r="J269" s="21" t="str">
        <f>_xlfn.XLOOKUP(F269,'04_Account_Mapping'!$A$6:$A$14,'04_Account_Mapping'!$C$6:$C$14,"Unmapped",0)</f>
        <v>Selling Expense</v>
      </c>
      <c r="K269" s="21" t="str">
        <f>_xlfn.XLOOKUP(F269,'04_Account_Mapping'!$A$6:$A$14,'04_Account_Mapping'!$D$6:$D$14,"Unmapped",0)</f>
        <v>Expense</v>
      </c>
    </row>
    <row r="270" spans="1:11">
      <c r="A270" s="16">
        <v>45778</v>
      </c>
      <c r="B270" s="13">
        <v>2025</v>
      </c>
      <c r="C270" s="13">
        <v>5</v>
      </c>
      <c r="D270" s="13" t="s">
        <v>72</v>
      </c>
      <c r="E270" s="13" t="s">
        <v>68</v>
      </c>
      <c r="F270" s="13" t="s">
        <v>61</v>
      </c>
      <c r="G270" s="19">
        <v>-181.2402873578371</v>
      </c>
      <c r="H270" s="13" t="s">
        <v>71</v>
      </c>
      <c r="I270" s="13" t="s">
        <v>77</v>
      </c>
      <c r="J270" s="21" t="str">
        <f>_xlfn.XLOOKUP(F270,'04_Account_Mapping'!$A$6:$A$14,'04_Account_Mapping'!$C$6:$C$14,"Unmapped",0)</f>
        <v>G&amp;A</v>
      </c>
      <c r="K270" s="21" t="str">
        <f>_xlfn.XLOOKUP(F270,'04_Account_Mapping'!$A$6:$A$14,'04_Account_Mapping'!$D$6:$D$14,"Unmapped",0)</f>
        <v>Expense</v>
      </c>
    </row>
    <row r="271" spans="1:11">
      <c r="A271" s="16">
        <v>45778</v>
      </c>
      <c r="B271" s="13">
        <v>2025</v>
      </c>
      <c r="C271" s="13">
        <v>5</v>
      </c>
      <c r="D271" s="13" t="s">
        <v>72</v>
      </c>
      <c r="E271" s="13" t="s">
        <v>68</v>
      </c>
      <c r="F271" s="13" t="s">
        <v>62</v>
      </c>
      <c r="G271" s="19">
        <v>115.95848302318127</v>
      </c>
      <c r="H271" s="13" t="s">
        <v>71</v>
      </c>
      <c r="I271" s="13" t="s">
        <v>77</v>
      </c>
      <c r="J271" s="21" t="str">
        <f>_xlfn.XLOOKUP(F271,'04_Account_Mapping'!$A$6:$A$14,'04_Account_Mapping'!$C$6:$C$14,"Unmapped",0)</f>
        <v>Finance Income</v>
      </c>
      <c r="K271" s="21" t="str">
        <f>_xlfn.XLOOKUP(F271,'04_Account_Mapping'!$A$6:$A$14,'04_Account_Mapping'!$D$6:$D$14,"Unmapped",0)</f>
        <v>Income</v>
      </c>
    </row>
    <row r="272" spans="1:11">
      <c r="A272" s="16">
        <v>45778</v>
      </c>
      <c r="B272" s="13">
        <v>2025</v>
      </c>
      <c r="C272" s="13">
        <v>5</v>
      </c>
      <c r="D272" s="13" t="s">
        <v>72</v>
      </c>
      <c r="E272" s="13" t="s">
        <v>68</v>
      </c>
      <c r="F272" s="13" t="s">
        <v>63</v>
      </c>
      <c r="G272" s="19">
        <v>-60.699859890220246</v>
      </c>
      <c r="H272" s="13" t="s">
        <v>71</v>
      </c>
      <c r="I272" s="13" t="s">
        <v>77</v>
      </c>
      <c r="J272" s="21" t="str">
        <f>_xlfn.XLOOKUP(F272,'04_Account_Mapping'!$A$6:$A$14,'04_Account_Mapping'!$C$6:$C$14,"Unmapped",0)</f>
        <v>Finance Expense</v>
      </c>
      <c r="K272" s="21" t="str">
        <f>_xlfn.XLOOKUP(F272,'04_Account_Mapping'!$A$6:$A$14,'04_Account_Mapping'!$D$6:$D$14,"Unmapped",0)</f>
        <v>Expense</v>
      </c>
    </row>
    <row r="273" spans="1:11">
      <c r="A273" s="16">
        <v>45778</v>
      </c>
      <c r="B273" s="13">
        <v>2025</v>
      </c>
      <c r="C273" s="13">
        <v>5</v>
      </c>
      <c r="D273" s="13" t="s">
        <v>72</v>
      </c>
      <c r="E273" s="13" t="s">
        <v>68</v>
      </c>
      <c r="F273" s="13" t="s">
        <v>64</v>
      </c>
      <c r="G273" s="19">
        <v>1.6774106944498111</v>
      </c>
      <c r="H273" s="13" t="s">
        <v>71</v>
      </c>
      <c r="I273" s="13" t="s">
        <v>77</v>
      </c>
      <c r="J273" s="21" t="str">
        <f>_xlfn.XLOOKUP(F273,'04_Account_Mapping'!$A$6:$A$14,'04_Account_Mapping'!$C$6:$C$14,"Unmapped",0)</f>
        <v>JV Profit/(Loss)</v>
      </c>
      <c r="K273" s="21" t="str">
        <f>_xlfn.XLOOKUP(F273,'04_Account_Mapping'!$A$6:$A$14,'04_Account_Mapping'!$D$6:$D$14,"Unmapped",0)</f>
        <v>Income</v>
      </c>
    </row>
    <row r="274" spans="1:11">
      <c r="A274" s="16">
        <v>45778</v>
      </c>
      <c r="B274" s="13">
        <v>2025</v>
      </c>
      <c r="C274" s="13">
        <v>5</v>
      </c>
      <c r="D274" s="13" t="s">
        <v>72</v>
      </c>
      <c r="E274" s="13" t="s">
        <v>68</v>
      </c>
      <c r="F274" s="13" t="s">
        <v>65</v>
      </c>
      <c r="G274" s="19">
        <v>-1.9676542806188926</v>
      </c>
      <c r="H274" s="13" t="s">
        <v>71</v>
      </c>
      <c r="I274" s="13" t="s">
        <v>77</v>
      </c>
      <c r="J274" s="21" t="str">
        <f>_xlfn.XLOOKUP(F274,'04_Account_Mapping'!$A$6:$A$14,'04_Account_Mapping'!$C$6:$C$14,"Unmapped",0)</f>
        <v>Other Net</v>
      </c>
      <c r="K274" s="21" t="str">
        <f>_xlfn.XLOOKUP(F274,'04_Account_Mapping'!$A$6:$A$14,'04_Account_Mapping'!$D$6:$D$14,"Unmapped",0)</f>
        <v>Income</v>
      </c>
    </row>
    <row r="275" spans="1:11">
      <c r="A275" s="16">
        <v>45778</v>
      </c>
      <c r="B275" s="13">
        <v>2025</v>
      </c>
      <c r="C275" s="13">
        <v>5</v>
      </c>
      <c r="D275" s="13" t="s">
        <v>72</v>
      </c>
      <c r="E275" s="13" t="s">
        <v>68</v>
      </c>
      <c r="F275" s="13" t="s">
        <v>66</v>
      </c>
      <c r="G275" s="19">
        <v>-55.906843704865231</v>
      </c>
      <c r="H275" s="13" t="s">
        <v>71</v>
      </c>
      <c r="I275" s="13" t="s">
        <v>77</v>
      </c>
      <c r="J275" s="21" t="str">
        <f>_xlfn.XLOOKUP(F275,'04_Account_Mapping'!$A$6:$A$14,'04_Account_Mapping'!$C$6:$C$14,"Unmapped",0)</f>
        <v>Tax Expense</v>
      </c>
      <c r="K275" s="21" t="str">
        <f>_xlfn.XLOOKUP(F275,'04_Account_Mapping'!$A$6:$A$14,'04_Account_Mapping'!$D$6:$D$14,"Unmapped",0)</f>
        <v>Expense</v>
      </c>
    </row>
    <row r="276" spans="1:11">
      <c r="A276" s="16">
        <v>45778</v>
      </c>
      <c r="B276" s="13">
        <v>2025</v>
      </c>
      <c r="C276" s="13">
        <v>5</v>
      </c>
      <c r="D276" s="13" t="s">
        <v>73</v>
      </c>
      <c r="E276" s="13" t="s">
        <v>74</v>
      </c>
      <c r="F276" s="13" t="s">
        <v>55</v>
      </c>
      <c r="G276" s="19">
        <v>3884.7314629306779</v>
      </c>
      <c r="H276" s="13" t="s">
        <v>69</v>
      </c>
      <c r="I276" s="13" t="s">
        <v>77</v>
      </c>
      <c r="J276" s="21" t="str">
        <f>_xlfn.XLOOKUP(F276,'04_Account_Mapping'!$A$6:$A$14,'04_Account_Mapping'!$C$6:$C$14,"Unmapped",0)</f>
        <v>Revenue</v>
      </c>
      <c r="K276" s="21" t="str">
        <f>_xlfn.XLOOKUP(F276,'04_Account_Mapping'!$A$6:$A$14,'04_Account_Mapping'!$D$6:$D$14,"Unmapped",0)</f>
        <v>Income</v>
      </c>
    </row>
    <row r="277" spans="1:11">
      <c r="A277" s="16">
        <v>45778</v>
      </c>
      <c r="B277" s="13">
        <v>2025</v>
      </c>
      <c r="C277" s="13">
        <v>5</v>
      </c>
      <c r="D277" s="13" t="s">
        <v>73</v>
      </c>
      <c r="E277" s="13" t="s">
        <v>74</v>
      </c>
      <c r="F277" s="13" t="s">
        <v>58</v>
      </c>
      <c r="G277" s="19">
        <v>-3103.1686218297978</v>
      </c>
      <c r="H277" s="13" t="s">
        <v>71</v>
      </c>
      <c r="I277" s="13" t="s">
        <v>77</v>
      </c>
      <c r="J277" s="21" t="str">
        <f>_xlfn.XLOOKUP(F277,'04_Account_Mapping'!$A$6:$A$14,'04_Account_Mapping'!$C$6:$C$14,"Unmapped",0)</f>
        <v>COGS</v>
      </c>
      <c r="K277" s="21" t="str">
        <f>_xlfn.XLOOKUP(F277,'04_Account_Mapping'!$A$6:$A$14,'04_Account_Mapping'!$D$6:$D$14,"Unmapped",0)</f>
        <v>Expense</v>
      </c>
    </row>
    <row r="278" spans="1:11">
      <c r="A278" s="16">
        <v>45778</v>
      </c>
      <c r="B278" s="13">
        <v>2025</v>
      </c>
      <c r="C278" s="13">
        <v>5</v>
      </c>
      <c r="D278" s="13" t="s">
        <v>73</v>
      </c>
      <c r="E278" s="13" t="s">
        <v>74</v>
      </c>
      <c r="F278" s="13" t="s">
        <v>60</v>
      </c>
      <c r="G278" s="19">
        <v>-485.67271311310907</v>
      </c>
      <c r="H278" s="13" t="s">
        <v>71</v>
      </c>
      <c r="I278" s="13" t="s">
        <v>77</v>
      </c>
      <c r="J278" s="21" t="str">
        <f>_xlfn.XLOOKUP(F278,'04_Account_Mapping'!$A$6:$A$14,'04_Account_Mapping'!$C$6:$C$14,"Unmapped",0)</f>
        <v>Selling Expense</v>
      </c>
      <c r="K278" s="21" t="str">
        <f>_xlfn.XLOOKUP(F278,'04_Account_Mapping'!$A$6:$A$14,'04_Account_Mapping'!$D$6:$D$14,"Unmapped",0)</f>
        <v>Expense</v>
      </c>
    </row>
    <row r="279" spans="1:11">
      <c r="A279" s="16">
        <v>45778</v>
      </c>
      <c r="B279" s="13">
        <v>2025</v>
      </c>
      <c r="C279" s="13">
        <v>5</v>
      </c>
      <c r="D279" s="13" t="s">
        <v>73</v>
      </c>
      <c r="E279" s="13" t="s">
        <v>74</v>
      </c>
      <c r="F279" s="13" t="s">
        <v>61</v>
      </c>
      <c r="G279" s="19">
        <v>-124.08702744552774</v>
      </c>
      <c r="H279" s="13" t="s">
        <v>71</v>
      </c>
      <c r="I279" s="13" t="s">
        <v>77</v>
      </c>
      <c r="J279" s="21" t="str">
        <f>_xlfn.XLOOKUP(F279,'04_Account_Mapping'!$A$6:$A$14,'04_Account_Mapping'!$C$6:$C$14,"Unmapped",0)</f>
        <v>G&amp;A</v>
      </c>
      <c r="K279" s="21" t="str">
        <f>_xlfn.XLOOKUP(F279,'04_Account_Mapping'!$A$6:$A$14,'04_Account_Mapping'!$D$6:$D$14,"Unmapped",0)</f>
        <v>Expense</v>
      </c>
    </row>
    <row r="280" spans="1:11">
      <c r="A280" s="16">
        <v>45778</v>
      </c>
      <c r="B280" s="13">
        <v>2025</v>
      </c>
      <c r="C280" s="13">
        <v>5</v>
      </c>
      <c r="D280" s="13" t="s">
        <v>73</v>
      </c>
      <c r="E280" s="13" t="s">
        <v>74</v>
      </c>
      <c r="F280" s="13" t="s">
        <v>62</v>
      </c>
      <c r="G280" s="19">
        <v>79.391528645228988</v>
      </c>
      <c r="H280" s="13" t="s">
        <v>71</v>
      </c>
      <c r="I280" s="13" t="s">
        <v>77</v>
      </c>
      <c r="J280" s="21" t="str">
        <f>_xlfn.XLOOKUP(F280,'04_Account_Mapping'!$A$6:$A$14,'04_Account_Mapping'!$C$6:$C$14,"Unmapped",0)</f>
        <v>Finance Income</v>
      </c>
      <c r="K280" s="21" t="str">
        <f>_xlfn.XLOOKUP(F280,'04_Account_Mapping'!$A$6:$A$14,'04_Account_Mapping'!$D$6:$D$14,"Unmapped",0)</f>
        <v>Income</v>
      </c>
    </row>
    <row r="281" spans="1:11">
      <c r="A281" s="16">
        <v>45778</v>
      </c>
      <c r="B281" s="13">
        <v>2025</v>
      </c>
      <c r="C281" s="13">
        <v>5</v>
      </c>
      <c r="D281" s="13" t="s">
        <v>73</v>
      </c>
      <c r="E281" s="13" t="s">
        <v>74</v>
      </c>
      <c r="F281" s="13" t="s">
        <v>63</v>
      </c>
      <c r="G281" s="19">
        <v>-41.558448675742241</v>
      </c>
      <c r="H281" s="13" t="s">
        <v>71</v>
      </c>
      <c r="I281" s="13" t="s">
        <v>77</v>
      </c>
      <c r="J281" s="21" t="str">
        <f>_xlfn.XLOOKUP(F281,'04_Account_Mapping'!$A$6:$A$14,'04_Account_Mapping'!$C$6:$C$14,"Unmapped",0)</f>
        <v>Finance Expense</v>
      </c>
      <c r="K281" s="21" t="str">
        <f>_xlfn.XLOOKUP(F281,'04_Account_Mapping'!$A$6:$A$14,'04_Account_Mapping'!$D$6:$D$14,"Unmapped",0)</f>
        <v>Expense</v>
      </c>
    </row>
    <row r="282" spans="1:11">
      <c r="A282" s="16">
        <v>45778</v>
      </c>
      <c r="B282" s="13">
        <v>2025</v>
      </c>
      <c r="C282" s="13">
        <v>5</v>
      </c>
      <c r="D282" s="13" t="s">
        <v>73</v>
      </c>
      <c r="E282" s="13" t="s">
        <v>74</v>
      </c>
      <c r="F282" s="13" t="s">
        <v>64</v>
      </c>
      <c r="G282" s="19">
        <v>1.1484472349608363</v>
      </c>
      <c r="H282" s="13" t="s">
        <v>71</v>
      </c>
      <c r="I282" s="13" t="s">
        <v>77</v>
      </c>
      <c r="J282" s="21" t="str">
        <f>_xlfn.XLOOKUP(F282,'04_Account_Mapping'!$A$6:$A$14,'04_Account_Mapping'!$C$6:$C$14,"Unmapped",0)</f>
        <v>JV Profit/(Loss)</v>
      </c>
      <c r="K282" s="21" t="str">
        <f>_xlfn.XLOOKUP(F282,'04_Account_Mapping'!$A$6:$A$14,'04_Account_Mapping'!$D$6:$D$14,"Unmapped",0)</f>
        <v>Income</v>
      </c>
    </row>
    <row r="283" spans="1:11">
      <c r="A283" s="16">
        <v>45778</v>
      </c>
      <c r="B283" s="13">
        <v>2025</v>
      </c>
      <c r="C283" s="13">
        <v>5</v>
      </c>
      <c r="D283" s="13" t="s">
        <v>73</v>
      </c>
      <c r="E283" s="13" t="s">
        <v>74</v>
      </c>
      <c r="F283" s="13" t="s">
        <v>65</v>
      </c>
      <c r="G283" s="19">
        <v>-1.3471638909973775</v>
      </c>
      <c r="H283" s="13" t="s">
        <v>71</v>
      </c>
      <c r="I283" s="13" t="s">
        <v>77</v>
      </c>
      <c r="J283" s="21" t="str">
        <f>_xlfn.XLOOKUP(F283,'04_Account_Mapping'!$A$6:$A$14,'04_Account_Mapping'!$C$6:$C$14,"Unmapped",0)</f>
        <v>Other Net</v>
      </c>
      <c r="K283" s="21" t="str">
        <f>_xlfn.XLOOKUP(F283,'04_Account_Mapping'!$A$6:$A$14,'04_Account_Mapping'!$D$6:$D$14,"Unmapped",0)</f>
        <v>Income</v>
      </c>
    </row>
    <row r="284" spans="1:11">
      <c r="A284" s="16">
        <v>45778</v>
      </c>
      <c r="B284" s="13">
        <v>2025</v>
      </c>
      <c r="C284" s="13">
        <v>5</v>
      </c>
      <c r="D284" s="13" t="s">
        <v>73</v>
      </c>
      <c r="E284" s="13" t="s">
        <v>74</v>
      </c>
      <c r="F284" s="13" t="s">
        <v>66</v>
      </c>
      <c r="G284" s="19">
        <v>-38.276887276731969</v>
      </c>
      <c r="H284" s="13" t="s">
        <v>71</v>
      </c>
      <c r="I284" s="13" t="s">
        <v>77</v>
      </c>
      <c r="J284" s="21" t="str">
        <f>_xlfn.XLOOKUP(F284,'04_Account_Mapping'!$A$6:$A$14,'04_Account_Mapping'!$C$6:$C$14,"Unmapped",0)</f>
        <v>Tax Expense</v>
      </c>
      <c r="K284" s="21" t="str">
        <f>_xlfn.XLOOKUP(F284,'04_Account_Mapping'!$A$6:$A$14,'04_Account_Mapping'!$D$6:$D$14,"Unmapped",0)</f>
        <v>Expense</v>
      </c>
    </row>
    <row r="285" spans="1:11">
      <c r="A285" s="16">
        <v>45778</v>
      </c>
      <c r="B285" s="13">
        <v>2025</v>
      </c>
      <c r="C285" s="13">
        <v>5</v>
      </c>
      <c r="D285" s="13" t="s">
        <v>75</v>
      </c>
      <c r="E285" s="13" t="s">
        <v>76</v>
      </c>
      <c r="F285" s="13" t="s">
        <v>55</v>
      </c>
      <c r="G285" s="19">
        <v>338.80104721972839</v>
      </c>
      <c r="H285" s="13" t="s">
        <v>69</v>
      </c>
      <c r="I285" s="13" t="s">
        <v>77</v>
      </c>
      <c r="J285" s="21" t="str">
        <f>_xlfn.XLOOKUP(F285,'04_Account_Mapping'!$A$6:$A$14,'04_Account_Mapping'!$C$6:$C$14,"Unmapped",0)</f>
        <v>Revenue</v>
      </c>
      <c r="K285" s="21" t="str">
        <f>_xlfn.XLOOKUP(F285,'04_Account_Mapping'!$A$6:$A$14,'04_Account_Mapping'!$D$6:$D$14,"Unmapped",0)</f>
        <v>Income</v>
      </c>
    </row>
    <row r="286" spans="1:11">
      <c r="A286" s="16">
        <v>45778</v>
      </c>
      <c r="B286" s="13">
        <v>2025</v>
      </c>
      <c r="C286" s="13">
        <v>5</v>
      </c>
      <c r="D286" s="13" t="s">
        <v>75</v>
      </c>
      <c r="E286" s="13" t="s">
        <v>76</v>
      </c>
      <c r="F286" s="13" t="s">
        <v>58</v>
      </c>
      <c r="G286" s="19">
        <v>-270.63821239838887</v>
      </c>
      <c r="H286" s="13" t="s">
        <v>71</v>
      </c>
      <c r="I286" s="13" t="s">
        <v>77</v>
      </c>
      <c r="J286" s="21" t="str">
        <f>_xlfn.XLOOKUP(F286,'04_Account_Mapping'!$A$6:$A$14,'04_Account_Mapping'!$C$6:$C$14,"Unmapped",0)</f>
        <v>COGS</v>
      </c>
      <c r="K286" s="21" t="str">
        <f>_xlfn.XLOOKUP(F286,'04_Account_Mapping'!$A$6:$A$14,'04_Account_Mapping'!$D$6:$D$14,"Unmapped",0)</f>
        <v>Expense</v>
      </c>
    </row>
    <row r="287" spans="1:11">
      <c r="A287" s="16">
        <v>45778</v>
      </c>
      <c r="B287" s="13">
        <v>2025</v>
      </c>
      <c r="C287" s="13">
        <v>5</v>
      </c>
      <c r="D287" s="13" t="s">
        <v>75</v>
      </c>
      <c r="E287" s="13" t="s">
        <v>76</v>
      </c>
      <c r="F287" s="13" t="s">
        <v>60</v>
      </c>
      <c r="G287" s="19">
        <v>-42.357219637681901</v>
      </c>
      <c r="H287" s="13" t="s">
        <v>71</v>
      </c>
      <c r="I287" s="13" t="s">
        <v>77</v>
      </c>
      <c r="J287" s="21" t="str">
        <f>_xlfn.XLOOKUP(F287,'04_Account_Mapping'!$A$6:$A$14,'04_Account_Mapping'!$C$6:$C$14,"Unmapped",0)</f>
        <v>Selling Expense</v>
      </c>
      <c r="K287" s="21" t="str">
        <f>_xlfn.XLOOKUP(F287,'04_Account_Mapping'!$A$6:$A$14,'04_Account_Mapping'!$D$6:$D$14,"Unmapped",0)</f>
        <v>Expense</v>
      </c>
    </row>
    <row r="288" spans="1:11">
      <c r="A288" s="16">
        <v>45778</v>
      </c>
      <c r="B288" s="13">
        <v>2025</v>
      </c>
      <c r="C288" s="13">
        <v>5</v>
      </c>
      <c r="D288" s="13" t="s">
        <v>75</v>
      </c>
      <c r="E288" s="13" t="s">
        <v>76</v>
      </c>
      <c r="F288" s="13" t="s">
        <v>61</v>
      </c>
      <c r="G288" s="19">
        <v>-10.822064599855763</v>
      </c>
      <c r="H288" s="13" t="s">
        <v>71</v>
      </c>
      <c r="I288" s="13" t="s">
        <v>77</v>
      </c>
      <c r="J288" s="21" t="str">
        <f>_xlfn.XLOOKUP(F288,'04_Account_Mapping'!$A$6:$A$14,'04_Account_Mapping'!$C$6:$C$14,"Unmapped",0)</f>
        <v>G&amp;A</v>
      </c>
      <c r="K288" s="21" t="str">
        <f>_xlfn.XLOOKUP(F288,'04_Account_Mapping'!$A$6:$A$14,'04_Account_Mapping'!$D$6:$D$14,"Unmapped",0)</f>
        <v>Expense</v>
      </c>
    </row>
    <row r="289" spans="1:11">
      <c r="A289" s="16">
        <v>45778</v>
      </c>
      <c r="B289" s="13">
        <v>2025</v>
      </c>
      <c r="C289" s="13">
        <v>5</v>
      </c>
      <c r="D289" s="13" t="s">
        <v>75</v>
      </c>
      <c r="E289" s="13" t="s">
        <v>76</v>
      </c>
      <c r="F289" s="13" t="s">
        <v>62</v>
      </c>
      <c r="G289" s="19">
        <v>6.9240134876881783</v>
      </c>
      <c r="H289" s="13" t="s">
        <v>71</v>
      </c>
      <c r="I289" s="13" t="s">
        <v>77</v>
      </c>
      <c r="J289" s="21" t="str">
        <f>_xlfn.XLOOKUP(F289,'04_Account_Mapping'!$A$6:$A$14,'04_Account_Mapping'!$C$6:$C$14,"Unmapped",0)</f>
        <v>Finance Income</v>
      </c>
      <c r="K289" s="21" t="str">
        <f>_xlfn.XLOOKUP(F289,'04_Account_Mapping'!$A$6:$A$14,'04_Account_Mapping'!$D$6:$D$14,"Unmapped",0)</f>
        <v>Income</v>
      </c>
    </row>
    <row r="290" spans="1:11">
      <c r="A290" s="16">
        <v>45778</v>
      </c>
      <c r="B290" s="13">
        <v>2025</v>
      </c>
      <c r="C290" s="13">
        <v>5</v>
      </c>
      <c r="D290" s="13" t="s">
        <v>75</v>
      </c>
      <c r="E290" s="13" t="s">
        <v>76</v>
      </c>
      <c r="F290" s="13" t="s">
        <v>63</v>
      </c>
      <c r="G290" s="19">
        <v>-3.624457975158645</v>
      </c>
      <c r="H290" s="13" t="s">
        <v>71</v>
      </c>
      <c r="I290" s="13" t="s">
        <v>77</v>
      </c>
      <c r="J290" s="21" t="str">
        <f>_xlfn.XLOOKUP(F290,'04_Account_Mapping'!$A$6:$A$14,'04_Account_Mapping'!$C$6:$C$14,"Unmapped",0)</f>
        <v>Finance Expense</v>
      </c>
      <c r="K290" s="21" t="str">
        <f>_xlfn.XLOOKUP(F290,'04_Account_Mapping'!$A$6:$A$14,'04_Account_Mapping'!$D$6:$D$14,"Unmapped",0)</f>
        <v>Expense</v>
      </c>
    </row>
    <row r="291" spans="1:11">
      <c r="A291" s="16">
        <v>45778</v>
      </c>
      <c r="B291" s="13">
        <v>2025</v>
      </c>
      <c r="C291" s="13">
        <v>5</v>
      </c>
      <c r="D291" s="13" t="s">
        <v>75</v>
      </c>
      <c r="E291" s="13" t="s">
        <v>76</v>
      </c>
      <c r="F291" s="13" t="s">
        <v>64</v>
      </c>
      <c r="G291" s="19">
        <v>0.10016010877307741</v>
      </c>
      <c r="H291" s="13" t="s">
        <v>71</v>
      </c>
      <c r="I291" s="13" t="s">
        <v>77</v>
      </c>
      <c r="J291" s="21" t="str">
        <f>_xlfn.XLOOKUP(F291,'04_Account_Mapping'!$A$6:$A$14,'04_Account_Mapping'!$C$6:$C$14,"Unmapped",0)</f>
        <v>JV Profit/(Loss)</v>
      </c>
      <c r="K291" s="21" t="str">
        <f>_xlfn.XLOOKUP(F291,'04_Account_Mapping'!$A$6:$A$14,'04_Account_Mapping'!$D$6:$D$14,"Unmapped",0)</f>
        <v>Income</v>
      </c>
    </row>
    <row r="292" spans="1:11">
      <c r="A292" s="16">
        <v>45778</v>
      </c>
      <c r="B292" s="13">
        <v>2025</v>
      </c>
      <c r="C292" s="13">
        <v>5</v>
      </c>
      <c r="D292" s="13" t="s">
        <v>75</v>
      </c>
      <c r="E292" s="13" t="s">
        <v>76</v>
      </c>
      <c r="F292" s="13" t="s">
        <v>65</v>
      </c>
      <c r="G292" s="19">
        <v>-0.11749088486599987</v>
      </c>
      <c r="H292" s="13" t="s">
        <v>71</v>
      </c>
      <c r="I292" s="13" t="s">
        <v>77</v>
      </c>
      <c r="J292" s="21" t="str">
        <f>_xlfn.XLOOKUP(F292,'04_Account_Mapping'!$A$6:$A$14,'04_Account_Mapping'!$C$6:$C$14,"Unmapped",0)</f>
        <v>Other Net</v>
      </c>
      <c r="K292" s="21" t="str">
        <f>_xlfn.XLOOKUP(F292,'04_Account_Mapping'!$A$6:$A$14,'04_Account_Mapping'!$D$6:$D$14,"Unmapped",0)</f>
        <v>Income</v>
      </c>
    </row>
    <row r="293" spans="1:11">
      <c r="A293" s="16">
        <v>45778</v>
      </c>
      <c r="B293" s="13">
        <v>2025</v>
      </c>
      <c r="C293" s="13">
        <v>5</v>
      </c>
      <c r="D293" s="13" t="s">
        <v>75</v>
      </c>
      <c r="E293" s="13" t="s">
        <v>76</v>
      </c>
      <c r="F293" s="13" t="s">
        <v>66</v>
      </c>
      <c r="G293" s="19">
        <v>-3.3382615033794174</v>
      </c>
      <c r="H293" s="13" t="s">
        <v>71</v>
      </c>
      <c r="I293" s="13" t="s">
        <v>77</v>
      </c>
      <c r="J293" s="21" t="str">
        <f>_xlfn.XLOOKUP(F293,'04_Account_Mapping'!$A$6:$A$14,'04_Account_Mapping'!$C$6:$C$14,"Unmapped",0)</f>
        <v>Tax Expense</v>
      </c>
      <c r="K293" s="21" t="str">
        <f>_xlfn.XLOOKUP(F293,'04_Account_Mapping'!$A$6:$A$14,'04_Account_Mapping'!$D$6:$D$14,"Unmapped",0)</f>
        <v>Expense</v>
      </c>
    </row>
    <row r="294" spans="1:11">
      <c r="A294" s="16">
        <v>45809</v>
      </c>
      <c r="B294" s="13">
        <v>2025</v>
      </c>
      <c r="C294" s="13">
        <v>6</v>
      </c>
      <c r="D294" s="13" t="s">
        <v>67</v>
      </c>
      <c r="E294" s="13" t="s">
        <v>68</v>
      </c>
      <c r="F294" s="13" t="s">
        <v>55</v>
      </c>
      <c r="G294" s="19">
        <v>2922.656146846442</v>
      </c>
      <c r="H294" s="13" t="s">
        <v>69</v>
      </c>
      <c r="I294" s="13" t="s">
        <v>77</v>
      </c>
      <c r="J294" s="21" t="str">
        <f>_xlfn.XLOOKUP(F294,'04_Account_Mapping'!$A$6:$A$14,'04_Account_Mapping'!$C$6:$C$14,"Unmapped",0)</f>
        <v>Revenue</v>
      </c>
      <c r="K294" s="21" t="str">
        <f>_xlfn.XLOOKUP(F294,'04_Account_Mapping'!$A$6:$A$14,'04_Account_Mapping'!$D$6:$D$14,"Unmapped",0)</f>
        <v>Income</v>
      </c>
    </row>
    <row r="295" spans="1:11">
      <c r="A295" s="16">
        <v>45809</v>
      </c>
      <c r="B295" s="13">
        <v>2025</v>
      </c>
      <c r="C295" s="13">
        <v>6</v>
      </c>
      <c r="D295" s="13" t="s">
        <v>67</v>
      </c>
      <c r="E295" s="13" t="s">
        <v>68</v>
      </c>
      <c r="F295" s="13" t="s">
        <v>58</v>
      </c>
      <c r="G295" s="19">
        <v>-2334.6516828346607</v>
      </c>
      <c r="H295" s="13" t="s">
        <v>71</v>
      </c>
      <c r="I295" s="13" t="s">
        <v>77</v>
      </c>
      <c r="J295" s="21" t="str">
        <f>_xlfn.XLOOKUP(F295,'04_Account_Mapping'!$A$6:$A$14,'04_Account_Mapping'!$C$6:$C$14,"Unmapped",0)</f>
        <v>COGS</v>
      </c>
      <c r="K295" s="21" t="str">
        <f>_xlfn.XLOOKUP(F295,'04_Account_Mapping'!$A$6:$A$14,'04_Account_Mapping'!$D$6:$D$14,"Unmapped",0)</f>
        <v>Expense</v>
      </c>
    </row>
    <row r="296" spans="1:11">
      <c r="A296" s="16">
        <v>45809</v>
      </c>
      <c r="B296" s="13">
        <v>2025</v>
      </c>
      <c r="C296" s="13">
        <v>6</v>
      </c>
      <c r="D296" s="13" t="s">
        <v>67</v>
      </c>
      <c r="E296" s="13" t="s">
        <v>68</v>
      </c>
      <c r="F296" s="13" t="s">
        <v>60</v>
      </c>
      <c r="G296" s="19">
        <v>-365.39316909817165</v>
      </c>
      <c r="H296" s="13" t="s">
        <v>71</v>
      </c>
      <c r="I296" s="13" t="s">
        <v>77</v>
      </c>
      <c r="J296" s="21" t="str">
        <f>_xlfn.XLOOKUP(F296,'04_Account_Mapping'!$A$6:$A$14,'04_Account_Mapping'!$C$6:$C$14,"Unmapped",0)</f>
        <v>Selling Expense</v>
      </c>
      <c r="K296" s="21" t="str">
        <f>_xlfn.XLOOKUP(F296,'04_Account_Mapping'!$A$6:$A$14,'04_Account_Mapping'!$D$6:$D$14,"Unmapped",0)</f>
        <v>Expense</v>
      </c>
    </row>
    <row r="297" spans="1:11">
      <c r="A297" s="16">
        <v>45809</v>
      </c>
      <c r="B297" s="13">
        <v>2025</v>
      </c>
      <c r="C297" s="13">
        <v>6</v>
      </c>
      <c r="D297" s="13" t="s">
        <v>67</v>
      </c>
      <c r="E297" s="13" t="s">
        <v>68</v>
      </c>
      <c r="F297" s="13" t="s">
        <v>61</v>
      </c>
      <c r="G297" s="19">
        <v>-93.356186127207337</v>
      </c>
      <c r="H297" s="13" t="s">
        <v>71</v>
      </c>
      <c r="I297" s="13" t="s">
        <v>77</v>
      </c>
      <c r="J297" s="21" t="str">
        <f>_xlfn.XLOOKUP(F297,'04_Account_Mapping'!$A$6:$A$14,'04_Account_Mapping'!$C$6:$C$14,"Unmapped",0)</f>
        <v>G&amp;A</v>
      </c>
      <c r="K297" s="21" t="str">
        <f>_xlfn.XLOOKUP(F297,'04_Account_Mapping'!$A$6:$A$14,'04_Account_Mapping'!$D$6:$D$14,"Unmapped",0)</f>
        <v>Expense</v>
      </c>
    </row>
    <row r="298" spans="1:11">
      <c r="A298" s="16">
        <v>45809</v>
      </c>
      <c r="B298" s="13">
        <v>2025</v>
      </c>
      <c r="C298" s="13">
        <v>6</v>
      </c>
      <c r="D298" s="13" t="s">
        <v>67</v>
      </c>
      <c r="E298" s="13" t="s">
        <v>68</v>
      </c>
      <c r="F298" s="13" t="s">
        <v>62</v>
      </c>
      <c r="G298" s="19">
        <v>59.729775768713019</v>
      </c>
      <c r="H298" s="13" t="s">
        <v>71</v>
      </c>
      <c r="I298" s="13" t="s">
        <v>77</v>
      </c>
      <c r="J298" s="21" t="str">
        <f>_xlfn.XLOOKUP(F298,'04_Account_Mapping'!$A$6:$A$14,'04_Account_Mapping'!$C$6:$C$14,"Unmapped",0)</f>
        <v>Finance Income</v>
      </c>
      <c r="K298" s="21" t="str">
        <f>_xlfn.XLOOKUP(F298,'04_Account_Mapping'!$A$6:$A$14,'04_Account_Mapping'!$D$6:$D$14,"Unmapped",0)</f>
        <v>Income</v>
      </c>
    </row>
    <row r="299" spans="1:11">
      <c r="A299" s="16">
        <v>45809</v>
      </c>
      <c r="B299" s="13">
        <v>2025</v>
      </c>
      <c r="C299" s="13">
        <v>6</v>
      </c>
      <c r="D299" s="13" t="s">
        <v>67</v>
      </c>
      <c r="E299" s="13" t="s">
        <v>68</v>
      </c>
      <c r="F299" s="13" t="s">
        <v>63</v>
      </c>
      <c r="G299" s="19">
        <v>-31.266268115204308</v>
      </c>
      <c r="H299" s="13" t="s">
        <v>71</v>
      </c>
      <c r="I299" s="13" t="s">
        <v>77</v>
      </c>
      <c r="J299" s="21" t="str">
        <f>_xlfn.XLOOKUP(F299,'04_Account_Mapping'!$A$6:$A$14,'04_Account_Mapping'!$C$6:$C$14,"Unmapped",0)</f>
        <v>Finance Expense</v>
      </c>
      <c r="K299" s="21" t="str">
        <f>_xlfn.XLOOKUP(F299,'04_Account_Mapping'!$A$6:$A$14,'04_Account_Mapping'!$D$6:$D$14,"Unmapped",0)</f>
        <v>Expense</v>
      </c>
    </row>
    <row r="300" spans="1:11">
      <c r="A300" s="16">
        <v>45809</v>
      </c>
      <c r="B300" s="13">
        <v>2025</v>
      </c>
      <c r="C300" s="13">
        <v>6</v>
      </c>
      <c r="D300" s="13" t="s">
        <v>67</v>
      </c>
      <c r="E300" s="13" t="s">
        <v>68</v>
      </c>
      <c r="F300" s="13" t="s">
        <v>64</v>
      </c>
      <c r="G300" s="19">
        <v>0.86402790067113189</v>
      </c>
      <c r="H300" s="13" t="s">
        <v>71</v>
      </c>
      <c r="I300" s="13" t="s">
        <v>77</v>
      </c>
      <c r="J300" s="21" t="str">
        <f>_xlfn.XLOOKUP(F300,'04_Account_Mapping'!$A$6:$A$14,'04_Account_Mapping'!$C$6:$C$14,"Unmapped",0)</f>
        <v>JV Profit/(Loss)</v>
      </c>
      <c r="K300" s="21" t="str">
        <f>_xlfn.XLOOKUP(F300,'04_Account_Mapping'!$A$6:$A$14,'04_Account_Mapping'!$D$6:$D$14,"Unmapped",0)</f>
        <v>Income</v>
      </c>
    </row>
    <row r="301" spans="1:11">
      <c r="A301" s="16">
        <v>45809</v>
      </c>
      <c r="B301" s="13">
        <v>2025</v>
      </c>
      <c r="C301" s="13">
        <v>6</v>
      </c>
      <c r="D301" s="13" t="s">
        <v>67</v>
      </c>
      <c r="E301" s="13" t="s">
        <v>68</v>
      </c>
      <c r="F301" s="13" t="s">
        <v>65</v>
      </c>
      <c r="G301" s="19">
        <v>-1.0135312735008772</v>
      </c>
      <c r="H301" s="13" t="s">
        <v>71</v>
      </c>
      <c r="I301" s="13" t="s">
        <v>77</v>
      </c>
      <c r="J301" s="21" t="str">
        <f>_xlfn.XLOOKUP(F301,'04_Account_Mapping'!$A$6:$A$14,'04_Account_Mapping'!$C$6:$C$14,"Unmapped",0)</f>
        <v>Other Net</v>
      </c>
      <c r="K301" s="21" t="str">
        <f>_xlfn.XLOOKUP(F301,'04_Account_Mapping'!$A$6:$A$14,'04_Account_Mapping'!$D$6:$D$14,"Unmapped",0)</f>
        <v>Income</v>
      </c>
    </row>
    <row r="302" spans="1:11">
      <c r="A302" s="16">
        <v>45809</v>
      </c>
      <c r="B302" s="13">
        <v>2025</v>
      </c>
      <c r="C302" s="13">
        <v>6</v>
      </c>
      <c r="D302" s="13" t="s">
        <v>67</v>
      </c>
      <c r="E302" s="13" t="s">
        <v>68</v>
      </c>
      <c r="F302" s="13" t="s">
        <v>66</v>
      </c>
      <c r="G302" s="19">
        <v>-28.797403616952497</v>
      </c>
      <c r="H302" s="13" t="s">
        <v>71</v>
      </c>
      <c r="I302" s="13" t="s">
        <v>77</v>
      </c>
      <c r="J302" s="21" t="str">
        <f>_xlfn.XLOOKUP(F302,'04_Account_Mapping'!$A$6:$A$14,'04_Account_Mapping'!$C$6:$C$14,"Unmapped",0)</f>
        <v>Tax Expense</v>
      </c>
      <c r="K302" s="21" t="str">
        <f>_xlfn.XLOOKUP(F302,'04_Account_Mapping'!$A$6:$A$14,'04_Account_Mapping'!$D$6:$D$14,"Unmapped",0)</f>
        <v>Expense</v>
      </c>
    </row>
    <row r="303" spans="1:11">
      <c r="A303" s="16">
        <v>45809</v>
      </c>
      <c r="B303" s="13">
        <v>2025</v>
      </c>
      <c r="C303" s="13">
        <v>6</v>
      </c>
      <c r="D303" s="13" t="s">
        <v>72</v>
      </c>
      <c r="E303" s="13" t="s">
        <v>68</v>
      </c>
      <c r="F303" s="13" t="s">
        <v>55</v>
      </c>
      <c r="G303" s="19">
        <v>5550.2533232264677</v>
      </c>
      <c r="H303" s="13" t="s">
        <v>69</v>
      </c>
      <c r="I303" s="13" t="s">
        <v>77</v>
      </c>
      <c r="J303" s="21" t="str">
        <f>_xlfn.XLOOKUP(F303,'04_Account_Mapping'!$A$6:$A$14,'04_Account_Mapping'!$C$6:$C$14,"Unmapped",0)</f>
        <v>Revenue</v>
      </c>
      <c r="K303" s="21" t="str">
        <f>_xlfn.XLOOKUP(F303,'04_Account_Mapping'!$A$6:$A$14,'04_Account_Mapping'!$D$6:$D$14,"Unmapped",0)</f>
        <v>Income</v>
      </c>
    </row>
    <row r="304" spans="1:11">
      <c r="A304" s="16">
        <v>45809</v>
      </c>
      <c r="B304" s="13">
        <v>2025</v>
      </c>
      <c r="C304" s="13">
        <v>6</v>
      </c>
      <c r="D304" s="13" t="s">
        <v>72</v>
      </c>
      <c r="E304" s="13" t="s">
        <v>68</v>
      </c>
      <c r="F304" s="13" t="s">
        <v>58</v>
      </c>
      <c r="G304" s="19">
        <v>-4433.6068323367354</v>
      </c>
      <c r="H304" s="13" t="s">
        <v>71</v>
      </c>
      <c r="I304" s="13" t="s">
        <v>77</v>
      </c>
      <c r="J304" s="21" t="str">
        <f>_xlfn.XLOOKUP(F304,'04_Account_Mapping'!$A$6:$A$14,'04_Account_Mapping'!$C$6:$C$14,"Unmapped",0)</f>
        <v>COGS</v>
      </c>
      <c r="K304" s="21" t="str">
        <f>_xlfn.XLOOKUP(F304,'04_Account_Mapping'!$A$6:$A$14,'04_Account_Mapping'!$D$6:$D$14,"Unmapped",0)</f>
        <v>Expense</v>
      </c>
    </row>
    <row r="305" spans="1:11">
      <c r="A305" s="16">
        <v>45809</v>
      </c>
      <c r="B305" s="13">
        <v>2025</v>
      </c>
      <c r="C305" s="13">
        <v>6</v>
      </c>
      <c r="D305" s="13" t="s">
        <v>72</v>
      </c>
      <c r="E305" s="13" t="s">
        <v>68</v>
      </c>
      <c r="F305" s="13" t="s">
        <v>60</v>
      </c>
      <c r="G305" s="19">
        <v>-693.89779336841411</v>
      </c>
      <c r="H305" s="13" t="s">
        <v>71</v>
      </c>
      <c r="I305" s="13" t="s">
        <v>77</v>
      </c>
      <c r="J305" s="21" t="str">
        <f>_xlfn.XLOOKUP(F305,'04_Account_Mapping'!$A$6:$A$14,'04_Account_Mapping'!$C$6:$C$14,"Unmapped",0)</f>
        <v>Selling Expense</v>
      </c>
      <c r="K305" s="21" t="str">
        <f>_xlfn.XLOOKUP(F305,'04_Account_Mapping'!$A$6:$A$14,'04_Account_Mapping'!$D$6:$D$14,"Unmapped",0)</f>
        <v>Expense</v>
      </c>
    </row>
    <row r="306" spans="1:11">
      <c r="A306" s="16">
        <v>45809</v>
      </c>
      <c r="B306" s="13">
        <v>2025</v>
      </c>
      <c r="C306" s="13">
        <v>6</v>
      </c>
      <c r="D306" s="13" t="s">
        <v>72</v>
      </c>
      <c r="E306" s="13" t="s">
        <v>68</v>
      </c>
      <c r="F306" s="13" t="s">
        <v>61</v>
      </c>
      <c r="G306" s="19">
        <v>-177.28752759895059</v>
      </c>
      <c r="H306" s="13" t="s">
        <v>71</v>
      </c>
      <c r="I306" s="13" t="s">
        <v>77</v>
      </c>
      <c r="J306" s="21" t="str">
        <f>_xlfn.XLOOKUP(F306,'04_Account_Mapping'!$A$6:$A$14,'04_Account_Mapping'!$C$6:$C$14,"Unmapped",0)</f>
        <v>G&amp;A</v>
      </c>
      <c r="K306" s="21" t="str">
        <f>_xlfn.XLOOKUP(F306,'04_Account_Mapping'!$A$6:$A$14,'04_Account_Mapping'!$D$6:$D$14,"Unmapped",0)</f>
        <v>Expense</v>
      </c>
    </row>
    <row r="307" spans="1:11">
      <c r="A307" s="16">
        <v>45809</v>
      </c>
      <c r="B307" s="13">
        <v>2025</v>
      </c>
      <c r="C307" s="13">
        <v>6</v>
      </c>
      <c r="D307" s="13" t="s">
        <v>72</v>
      </c>
      <c r="E307" s="13" t="s">
        <v>68</v>
      </c>
      <c r="F307" s="13" t="s">
        <v>62</v>
      </c>
      <c r="G307" s="19">
        <v>113.42948667210737</v>
      </c>
      <c r="H307" s="13" t="s">
        <v>71</v>
      </c>
      <c r="I307" s="13" t="s">
        <v>77</v>
      </c>
      <c r="J307" s="21" t="str">
        <f>_xlfn.XLOOKUP(F307,'04_Account_Mapping'!$A$6:$A$14,'04_Account_Mapping'!$C$6:$C$14,"Unmapped",0)</f>
        <v>Finance Income</v>
      </c>
      <c r="K307" s="21" t="str">
        <f>_xlfn.XLOOKUP(F307,'04_Account_Mapping'!$A$6:$A$14,'04_Account_Mapping'!$D$6:$D$14,"Unmapped",0)</f>
        <v>Income</v>
      </c>
    </row>
    <row r="308" spans="1:11">
      <c r="A308" s="16">
        <v>45809</v>
      </c>
      <c r="B308" s="13">
        <v>2025</v>
      </c>
      <c r="C308" s="13">
        <v>6</v>
      </c>
      <c r="D308" s="13" t="s">
        <v>72</v>
      </c>
      <c r="E308" s="13" t="s">
        <v>68</v>
      </c>
      <c r="F308" s="13" t="s">
        <v>63</v>
      </c>
      <c r="G308" s="19">
        <v>-59.376026392481442</v>
      </c>
      <c r="H308" s="13" t="s">
        <v>71</v>
      </c>
      <c r="I308" s="13" t="s">
        <v>77</v>
      </c>
      <c r="J308" s="21" t="str">
        <f>_xlfn.XLOOKUP(F308,'04_Account_Mapping'!$A$6:$A$14,'04_Account_Mapping'!$C$6:$C$14,"Unmapped",0)</f>
        <v>Finance Expense</v>
      </c>
      <c r="K308" s="21" t="str">
        <f>_xlfn.XLOOKUP(F308,'04_Account_Mapping'!$A$6:$A$14,'04_Account_Mapping'!$D$6:$D$14,"Unmapped",0)</f>
        <v>Expense</v>
      </c>
    </row>
    <row r="309" spans="1:11">
      <c r="A309" s="16">
        <v>45809</v>
      </c>
      <c r="B309" s="13">
        <v>2025</v>
      </c>
      <c r="C309" s="13">
        <v>6</v>
      </c>
      <c r="D309" s="13" t="s">
        <v>72</v>
      </c>
      <c r="E309" s="13" t="s">
        <v>68</v>
      </c>
      <c r="F309" s="13" t="s">
        <v>64</v>
      </c>
      <c r="G309" s="19">
        <v>1.6408272085769589</v>
      </c>
      <c r="H309" s="13" t="s">
        <v>71</v>
      </c>
      <c r="I309" s="13" t="s">
        <v>77</v>
      </c>
      <c r="J309" s="21" t="str">
        <f>_xlfn.XLOOKUP(F309,'04_Account_Mapping'!$A$6:$A$14,'04_Account_Mapping'!$C$6:$C$14,"Unmapped",0)</f>
        <v>JV Profit/(Loss)</v>
      </c>
      <c r="K309" s="21" t="str">
        <f>_xlfn.XLOOKUP(F309,'04_Account_Mapping'!$A$6:$A$14,'04_Account_Mapping'!$D$6:$D$14,"Unmapped",0)</f>
        <v>Income</v>
      </c>
    </row>
    <row r="310" spans="1:11">
      <c r="A310" s="16">
        <v>45809</v>
      </c>
      <c r="B310" s="13">
        <v>2025</v>
      </c>
      <c r="C310" s="13">
        <v>6</v>
      </c>
      <c r="D310" s="13" t="s">
        <v>72</v>
      </c>
      <c r="E310" s="13" t="s">
        <v>68</v>
      </c>
      <c r="F310" s="13" t="s">
        <v>65</v>
      </c>
      <c r="G310" s="19">
        <v>-1.9247407277150888</v>
      </c>
      <c r="H310" s="13" t="s">
        <v>71</v>
      </c>
      <c r="I310" s="13" t="s">
        <v>77</v>
      </c>
      <c r="J310" s="21" t="str">
        <f>_xlfn.XLOOKUP(F310,'04_Account_Mapping'!$A$6:$A$14,'04_Account_Mapping'!$C$6:$C$14,"Unmapped",0)</f>
        <v>Other Net</v>
      </c>
      <c r="K310" s="21" t="str">
        <f>_xlfn.XLOOKUP(F310,'04_Account_Mapping'!$A$6:$A$14,'04_Account_Mapping'!$D$6:$D$14,"Unmapped",0)</f>
        <v>Income</v>
      </c>
    </row>
    <row r="311" spans="1:11">
      <c r="A311" s="16">
        <v>45809</v>
      </c>
      <c r="B311" s="13">
        <v>2025</v>
      </c>
      <c r="C311" s="13">
        <v>6</v>
      </c>
      <c r="D311" s="13" t="s">
        <v>72</v>
      </c>
      <c r="E311" s="13" t="s">
        <v>68</v>
      </c>
      <c r="F311" s="13" t="s">
        <v>66</v>
      </c>
      <c r="G311" s="19">
        <v>-54.68754348599812</v>
      </c>
      <c r="H311" s="13" t="s">
        <v>71</v>
      </c>
      <c r="I311" s="13" t="s">
        <v>77</v>
      </c>
      <c r="J311" s="21" t="str">
        <f>_xlfn.XLOOKUP(F311,'04_Account_Mapping'!$A$6:$A$14,'04_Account_Mapping'!$C$6:$C$14,"Unmapped",0)</f>
        <v>Tax Expense</v>
      </c>
      <c r="K311" s="21" t="str">
        <f>_xlfn.XLOOKUP(F311,'04_Account_Mapping'!$A$6:$A$14,'04_Account_Mapping'!$D$6:$D$14,"Unmapped",0)</f>
        <v>Expense</v>
      </c>
    </row>
    <row r="312" spans="1:11">
      <c r="A312" s="16">
        <v>45809</v>
      </c>
      <c r="B312" s="13">
        <v>2025</v>
      </c>
      <c r="C312" s="13">
        <v>6</v>
      </c>
      <c r="D312" s="13" t="s">
        <v>73</v>
      </c>
      <c r="E312" s="13" t="s">
        <v>74</v>
      </c>
      <c r="F312" s="13" t="s">
        <v>55</v>
      </c>
      <c r="G312" s="19">
        <v>3759.1456240958478</v>
      </c>
      <c r="H312" s="13" t="s">
        <v>69</v>
      </c>
      <c r="I312" s="13" t="s">
        <v>77</v>
      </c>
      <c r="J312" s="21" t="str">
        <f>_xlfn.XLOOKUP(F312,'04_Account_Mapping'!$A$6:$A$14,'04_Account_Mapping'!$C$6:$C$14,"Unmapped",0)</f>
        <v>Revenue</v>
      </c>
      <c r="K312" s="21" t="str">
        <f>_xlfn.XLOOKUP(F312,'04_Account_Mapping'!$A$6:$A$14,'04_Account_Mapping'!$D$6:$D$14,"Unmapped",0)</f>
        <v>Income</v>
      </c>
    </row>
    <row r="313" spans="1:11">
      <c r="A313" s="16">
        <v>45809</v>
      </c>
      <c r="B313" s="13">
        <v>2025</v>
      </c>
      <c r="C313" s="13">
        <v>6</v>
      </c>
      <c r="D313" s="13" t="s">
        <v>73</v>
      </c>
      <c r="E313" s="13" t="s">
        <v>74</v>
      </c>
      <c r="F313" s="13" t="s">
        <v>58</v>
      </c>
      <c r="G313" s="19">
        <v>-3002.8491948276505</v>
      </c>
      <c r="H313" s="13" t="s">
        <v>71</v>
      </c>
      <c r="I313" s="13" t="s">
        <v>77</v>
      </c>
      <c r="J313" s="21" t="str">
        <f>_xlfn.XLOOKUP(F313,'04_Account_Mapping'!$A$6:$A$14,'04_Account_Mapping'!$C$6:$C$14,"Unmapped",0)</f>
        <v>COGS</v>
      </c>
      <c r="K313" s="21" t="str">
        <f>_xlfn.XLOOKUP(F313,'04_Account_Mapping'!$A$6:$A$14,'04_Account_Mapping'!$D$6:$D$14,"Unmapped",0)</f>
        <v>Expense</v>
      </c>
    </row>
    <row r="314" spans="1:11">
      <c r="A314" s="16">
        <v>45809</v>
      </c>
      <c r="B314" s="13">
        <v>2025</v>
      </c>
      <c r="C314" s="13">
        <v>6</v>
      </c>
      <c r="D314" s="13" t="s">
        <v>73</v>
      </c>
      <c r="E314" s="13" t="s">
        <v>74</v>
      </c>
      <c r="F314" s="13" t="s">
        <v>60</v>
      </c>
      <c r="G314" s="19">
        <v>-469.97185562591392</v>
      </c>
      <c r="H314" s="13" t="s">
        <v>71</v>
      </c>
      <c r="I314" s="13" t="s">
        <v>77</v>
      </c>
      <c r="J314" s="21" t="str">
        <f>_xlfn.XLOOKUP(F314,'04_Account_Mapping'!$A$6:$A$14,'04_Account_Mapping'!$C$6:$C$14,"Unmapped",0)</f>
        <v>Selling Expense</v>
      </c>
      <c r="K314" s="21" t="str">
        <f>_xlfn.XLOOKUP(F314,'04_Account_Mapping'!$A$6:$A$14,'04_Account_Mapping'!$D$6:$D$14,"Unmapped",0)</f>
        <v>Expense</v>
      </c>
    </row>
    <row r="315" spans="1:11">
      <c r="A315" s="16">
        <v>45809</v>
      </c>
      <c r="B315" s="13">
        <v>2025</v>
      </c>
      <c r="C315" s="13">
        <v>6</v>
      </c>
      <c r="D315" s="13" t="s">
        <v>73</v>
      </c>
      <c r="E315" s="13" t="s">
        <v>74</v>
      </c>
      <c r="F315" s="13" t="s">
        <v>61</v>
      </c>
      <c r="G315" s="19">
        <v>-120.07553435289817</v>
      </c>
      <c r="H315" s="13" t="s">
        <v>71</v>
      </c>
      <c r="I315" s="13" t="s">
        <v>77</v>
      </c>
      <c r="J315" s="21" t="str">
        <f>_xlfn.XLOOKUP(F315,'04_Account_Mapping'!$A$6:$A$14,'04_Account_Mapping'!$C$6:$C$14,"Unmapped",0)</f>
        <v>G&amp;A</v>
      </c>
      <c r="K315" s="21" t="str">
        <f>_xlfn.XLOOKUP(F315,'04_Account_Mapping'!$A$6:$A$14,'04_Account_Mapping'!$D$6:$D$14,"Unmapped",0)</f>
        <v>Expense</v>
      </c>
    </row>
    <row r="316" spans="1:11">
      <c r="A316" s="16">
        <v>45809</v>
      </c>
      <c r="B316" s="13">
        <v>2025</v>
      </c>
      <c r="C316" s="13">
        <v>6</v>
      </c>
      <c r="D316" s="13" t="s">
        <v>73</v>
      </c>
      <c r="E316" s="13" t="s">
        <v>74</v>
      </c>
      <c r="F316" s="13" t="s">
        <v>62</v>
      </c>
      <c r="G316" s="19">
        <v>76.824954400282664</v>
      </c>
      <c r="H316" s="13" t="s">
        <v>71</v>
      </c>
      <c r="I316" s="13" t="s">
        <v>77</v>
      </c>
      <c r="J316" s="21" t="str">
        <f>_xlfn.XLOOKUP(F316,'04_Account_Mapping'!$A$6:$A$14,'04_Account_Mapping'!$C$6:$C$14,"Unmapped",0)</f>
        <v>Finance Income</v>
      </c>
      <c r="K316" s="21" t="str">
        <f>_xlfn.XLOOKUP(F316,'04_Account_Mapping'!$A$6:$A$14,'04_Account_Mapping'!$D$6:$D$14,"Unmapped",0)</f>
        <v>Income</v>
      </c>
    </row>
    <row r="317" spans="1:11">
      <c r="A317" s="16">
        <v>45809</v>
      </c>
      <c r="B317" s="13">
        <v>2025</v>
      </c>
      <c r="C317" s="13">
        <v>6</v>
      </c>
      <c r="D317" s="13" t="s">
        <v>73</v>
      </c>
      <c r="E317" s="13" t="s">
        <v>74</v>
      </c>
      <c r="F317" s="13" t="s">
        <v>63</v>
      </c>
      <c r="G317" s="19">
        <v>-40.214944578375381</v>
      </c>
      <c r="H317" s="13" t="s">
        <v>71</v>
      </c>
      <c r="I317" s="13" t="s">
        <v>77</v>
      </c>
      <c r="J317" s="21" t="str">
        <f>_xlfn.XLOOKUP(F317,'04_Account_Mapping'!$A$6:$A$14,'04_Account_Mapping'!$C$6:$C$14,"Unmapped",0)</f>
        <v>Finance Expense</v>
      </c>
      <c r="K317" s="21" t="str">
        <f>_xlfn.XLOOKUP(F317,'04_Account_Mapping'!$A$6:$A$14,'04_Account_Mapping'!$D$6:$D$14,"Unmapped",0)</f>
        <v>Expense</v>
      </c>
    </row>
    <row r="318" spans="1:11">
      <c r="A318" s="16">
        <v>45809</v>
      </c>
      <c r="B318" s="13">
        <v>2025</v>
      </c>
      <c r="C318" s="13">
        <v>6</v>
      </c>
      <c r="D318" s="13" t="s">
        <v>73</v>
      </c>
      <c r="E318" s="13" t="s">
        <v>74</v>
      </c>
      <c r="F318" s="13" t="s">
        <v>64</v>
      </c>
      <c r="G318" s="19">
        <v>1.1113201617676509</v>
      </c>
      <c r="H318" s="13" t="s">
        <v>71</v>
      </c>
      <c r="I318" s="13" t="s">
        <v>77</v>
      </c>
      <c r="J318" s="21" t="str">
        <f>_xlfn.XLOOKUP(F318,'04_Account_Mapping'!$A$6:$A$14,'04_Account_Mapping'!$C$6:$C$14,"Unmapped",0)</f>
        <v>JV Profit/(Loss)</v>
      </c>
      <c r="K318" s="21" t="str">
        <f>_xlfn.XLOOKUP(F318,'04_Account_Mapping'!$A$6:$A$14,'04_Account_Mapping'!$D$6:$D$14,"Unmapped",0)</f>
        <v>Income</v>
      </c>
    </row>
    <row r="319" spans="1:11">
      <c r="A319" s="16">
        <v>45809</v>
      </c>
      <c r="B319" s="13">
        <v>2025</v>
      </c>
      <c r="C319" s="13">
        <v>6</v>
      </c>
      <c r="D319" s="13" t="s">
        <v>73</v>
      </c>
      <c r="E319" s="13" t="s">
        <v>74</v>
      </c>
      <c r="F319" s="13" t="s">
        <v>65</v>
      </c>
      <c r="G319" s="19">
        <v>-1.3036126934658847</v>
      </c>
      <c r="H319" s="13" t="s">
        <v>71</v>
      </c>
      <c r="I319" s="13" t="s">
        <v>77</v>
      </c>
      <c r="J319" s="21" t="str">
        <f>_xlfn.XLOOKUP(F319,'04_Account_Mapping'!$A$6:$A$14,'04_Account_Mapping'!$C$6:$C$14,"Unmapped",0)</f>
        <v>Other Net</v>
      </c>
      <c r="K319" s="21" t="str">
        <f>_xlfn.XLOOKUP(F319,'04_Account_Mapping'!$A$6:$A$14,'04_Account_Mapping'!$D$6:$D$14,"Unmapped",0)</f>
        <v>Income</v>
      </c>
    </row>
    <row r="320" spans="1:11">
      <c r="A320" s="16">
        <v>45809</v>
      </c>
      <c r="B320" s="13">
        <v>2025</v>
      </c>
      <c r="C320" s="13">
        <v>6</v>
      </c>
      <c r="D320" s="13" t="s">
        <v>73</v>
      </c>
      <c r="E320" s="13" t="s">
        <v>74</v>
      </c>
      <c r="F320" s="13" t="s">
        <v>66</v>
      </c>
      <c r="G320" s="19">
        <v>-37.039469699093758</v>
      </c>
      <c r="H320" s="13" t="s">
        <v>71</v>
      </c>
      <c r="I320" s="13" t="s">
        <v>77</v>
      </c>
      <c r="J320" s="21" t="str">
        <f>_xlfn.XLOOKUP(F320,'04_Account_Mapping'!$A$6:$A$14,'04_Account_Mapping'!$C$6:$C$14,"Unmapped",0)</f>
        <v>Tax Expense</v>
      </c>
      <c r="K320" s="21" t="str">
        <f>_xlfn.XLOOKUP(F320,'04_Account_Mapping'!$A$6:$A$14,'04_Account_Mapping'!$D$6:$D$14,"Unmapped",0)</f>
        <v>Expense</v>
      </c>
    </row>
    <row r="321" spans="1:11">
      <c r="A321" s="16">
        <v>45809</v>
      </c>
      <c r="B321" s="13">
        <v>2025</v>
      </c>
      <c r="C321" s="13">
        <v>6</v>
      </c>
      <c r="D321" s="13" t="s">
        <v>75</v>
      </c>
      <c r="E321" s="13" t="s">
        <v>76</v>
      </c>
      <c r="F321" s="13" t="s">
        <v>55</v>
      </c>
      <c r="G321" s="19">
        <v>212.45908346906643</v>
      </c>
      <c r="H321" s="13" t="s">
        <v>69</v>
      </c>
      <c r="I321" s="13" t="s">
        <v>77</v>
      </c>
      <c r="J321" s="21" t="str">
        <f>_xlfn.XLOOKUP(F321,'04_Account_Mapping'!$A$6:$A$14,'04_Account_Mapping'!$C$6:$C$14,"Unmapped",0)</f>
        <v>Revenue</v>
      </c>
      <c r="K321" s="21" t="str">
        <f>_xlfn.XLOOKUP(F321,'04_Account_Mapping'!$A$6:$A$14,'04_Account_Mapping'!$D$6:$D$14,"Unmapped",0)</f>
        <v>Income</v>
      </c>
    </row>
    <row r="322" spans="1:11">
      <c r="A322" s="16">
        <v>45809</v>
      </c>
      <c r="B322" s="13">
        <v>2025</v>
      </c>
      <c r="C322" s="13">
        <v>6</v>
      </c>
      <c r="D322" s="13" t="s">
        <v>75</v>
      </c>
      <c r="E322" s="13" t="s">
        <v>76</v>
      </c>
      <c r="F322" s="13" t="s">
        <v>58</v>
      </c>
      <c r="G322" s="19">
        <v>-169.71478402951061</v>
      </c>
      <c r="H322" s="13" t="s">
        <v>71</v>
      </c>
      <c r="I322" s="13" t="s">
        <v>77</v>
      </c>
      <c r="J322" s="21" t="str">
        <f>_xlfn.XLOOKUP(F322,'04_Account_Mapping'!$A$6:$A$14,'04_Account_Mapping'!$C$6:$C$14,"Unmapped",0)</f>
        <v>COGS</v>
      </c>
      <c r="K322" s="21" t="str">
        <f>_xlfn.XLOOKUP(F322,'04_Account_Mapping'!$A$6:$A$14,'04_Account_Mapping'!$D$6:$D$14,"Unmapped",0)</f>
        <v>Expense</v>
      </c>
    </row>
    <row r="323" spans="1:11">
      <c r="A323" s="16">
        <v>45809</v>
      </c>
      <c r="B323" s="13">
        <v>2025</v>
      </c>
      <c r="C323" s="13">
        <v>6</v>
      </c>
      <c r="D323" s="13" t="s">
        <v>75</v>
      </c>
      <c r="E323" s="13" t="s">
        <v>76</v>
      </c>
      <c r="F323" s="13" t="s">
        <v>60</v>
      </c>
      <c r="G323" s="19">
        <v>-26.561830715604167</v>
      </c>
      <c r="H323" s="13" t="s">
        <v>71</v>
      </c>
      <c r="I323" s="13" t="s">
        <v>77</v>
      </c>
      <c r="J323" s="21" t="str">
        <f>_xlfn.XLOOKUP(F323,'04_Account_Mapping'!$A$6:$A$14,'04_Account_Mapping'!$C$6:$C$14,"Unmapped",0)</f>
        <v>Selling Expense</v>
      </c>
      <c r="K323" s="21" t="str">
        <f>_xlfn.XLOOKUP(F323,'04_Account_Mapping'!$A$6:$A$14,'04_Account_Mapping'!$D$6:$D$14,"Unmapped",0)</f>
        <v>Expense</v>
      </c>
    </row>
    <row r="324" spans="1:11">
      <c r="A324" s="16">
        <v>45809</v>
      </c>
      <c r="B324" s="13">
        <v>2025</v>
      </c>
      <c r="C324" s="13">
        <v>6</v>
      </c>
      <c r="D324" s="13" t="s">
        <v>75</v>
      </c>
      <c r="E324" s="13" t="s">
        <v>76</v>
      </c>
      <c r="F324" s="13" t="s">
        <v>61</v>
      </c>
      <c r="G324" s="19">
        <v>-6.7864191831650844</v>
      </c>
      <c r="H324" s="13" t="s">
        <v>71</v>
      </c>
      <c r="I324" s="13" t="s">
        <v>77</v>
      </c>
      <c r="J324" s="21" t="str">
        <f>_xlfn.XLOOKUP(F324,'04_Account_Mapping'!$A$6:$A$14,'04_Account_Mapping'!$C$6:$C$14,"Unmapped",0)</f>
        <v>G&amp;A</v>
      </c>
      <c r="K324" s="21" t="str">
        <f>_xlfn.XLOOKUP(F324,'04_Account_Mapping'!$A$6:$A$14,'04_Account_Mapping'!$D$6:$D$14,"Unmapped",0)</f>
        <v>Expense</v>
      </c>
    </row>
    <row r="325" spans="1:11">
      <c r="A325" s="16">
        <v>45809</v>
      </c>
      <c r="B325" s="13">
        <v>2025</v>
      </c>
      <c r="C325" s="13">
        <v>6</v>
      </c>
      <c r="D325" s="13" t="s">
        <v>75</v>
      </c>
      <c r="E325" s="13" t="s">
        <v>76</v>
      </c>
      <c r="F325" s="13" t="s">
        <v>62</v>
      </c>
      <c r="G325" s="19">
        <v>4.341986459586197</v>
      </c>
      <c r="H325" s="13" t="s">
        <v>71</v>
      </c>
      <c r="I325" s="13" t="s">
        <v>77</v>
      </c>
      <c r="J325" s="21" t="str">
        <f>_xlfn.XLOOKUP(F325,'04_Account_Mapping'!$A$6:$A$14,'04_Account_Mapping'!$C$6:$C$14,"Unmapped",0)</f>
        <v>Finance Income</v>
      </c>
      <c r="K325" s="21" t="str">
        <f>_xlfn.XLOOKUP(F325,'04_Account_Mapping'!$A$6:$A$14,'04_Account_Mapping'!$D$6:$D$14,"Unmapped",0)</f>
        <v>Income</v>
      </c>
    </row>
    <row r="326" spans="1:11">
      <c r="A326" s="16">
        <v>45809</v>
      </c>
      <c r="B326" s="13">
        <v>2025</v>
      </c>
      <c r="C326" s="13">
        <v>6</v>
      </c>
      <c r="D326" s="13" t="s">
        <v>75</v>
      </c>
      <c r="E326" s="13" t="s">
        <v>76</v>
      </c>
      <c r="F326" s="13" t="s">
        <v>63</v>
      </c>
      <c r="G326" s="19">
        <v>-2.272864932955597</v>
      </c>
      <c r="H326" s="13" t="s">
        <v>71</v>
      </c>
      <c r="I326" s="13" t="s">
        <v>77</v>
      </c>
      <c r="J326" s="21" t="str">
        <f>_xlfn.XLOOKUP(F326,'04_Account_Mapping'!$A$6:$A$14,'04_Account_Mapping'!$C$6:$C$14,"Unmapped",0)</f>
        <v>Finance Expense</v>
      </c>
      <c r="K326" s="21" t="str">
        <f>_xlfn.XLOOKUP(F326,'04_Account_Mapping'!$A$6:$A$14,'04_Account_Mapping'!$D$6:$D$14,"Unmapped",0)</f>
        <v>Expense</v>
      </c>
    </row>
    <row r="327" spans="1:11">
      <c r="A327" s="16">
        <v>45809</v>
      </c>
      <c r="B327" s="13">
        <v>2025</v>
      </c>
      <c r="C327" s="13">
        <v>6</v>
      </c>
      <c r="D327" s="13" t="s">
        <v>75</v>
      </c>
      <c r="E327" s="13" t="s">
        <v>76</v>
      </c>
      <c r="F327" s="13" t="s">
        <v>64</v>
      </c>
      <c r="G327" s="19">
        <v>6.2809501578337784E-2</v>
      </c>
      <c r="H327" s="13" t="s">
        <v>71</v>
      </c>
      <c r="I327" s="13" t="s">
        <v>77</v>
      </c>
      <c r="J327" s="21" t="str">
        <f>_xlfn.XLOOKUP(F327,'04_Account_Mapping'!$A$6:$A$14,'04_Account_Mapping'!$C$6:$C$14,"Unmapped",0)</f>
        <v>JV Profit/(Loss)</v>
      </c>
      <c r="K327" s="21" t="str">
        <f>_xlfn.XLOOKUP(F327,'04_Account_Mapping'!$A$6:$A$14,'04_Account_Mapping'!$D$6:$D$14,"Unmapped",0)</f>
        <v>Income</v>
      </c>
    </row>
    <row r="328" spans="1:11">
      <c r="A328" s="16">
        <v>45809</v>
      </c>
      <c r="B328" s="13">
        <v>2025</v>
      </c>
      <c r="C328" s="13">
        <v>6</v>
      </c>
      <c r="D328" s="13" t="s">
        <v>75</v>
      </c>
      <c r="E328" s="13" t="s">
        <v>76</v>
      </c>
      <c r="F328" s="13" t="s">
        <v>65</v>
      </c>
      <c r="G328" s="19">
        <v>-7.3677475082923549E-2</v>
      </c>
      <c r="H328" s="13" t="s">
        <v>71</v>
      </c>
      <c r="I328" s="13" t="s">
        <v>77</v>
      </c>
      <c r="J328" s="21" t="str">
        <f>_xlfn.XLOOKUP(F328,'04_Account_Mapping'!$A$6:$A$14,'04_Account_Mapping'!$C$6:$C$14,"Unmapped",0)</f>
        <v>Other Net</v>
      </c>
      <c r="K328" s="21" t="str">
        <f>_xlfn.XLOOKUP(F328,'04_Account_Mapping'!$A$6:$A$14,'04_Account_Mapping'!$D$6:$D$14,"Unmapped",0)</f>
        <v>Income</v>
      </c>
    </row>
    <row r="329" spans="1:11">
      <c r="A329" s="16">
        <v>45809</v>
      </c>
      <c r="B329" s="13">
        <v>2025</v>
      </c>
      <c r="C329" s="13">
        <v>6</v>
      </c>
      <c r="D329" s="13" t="s">
        <v>75</v>
      </c>
      <c r="E329" s="13" t="s">
        <v>76</v>
      </c>
      <c r="F329" s="13" t="s">
        <v>66</v>
      </c>
      <c r="G329" s="19">
        <v>-2.0933937046778985</v>
      </c>
      <c r="H329" s="13" t="s">
        <v>71</v>
      </c>
      <c r="I329" s="13" t="s">
        <v>77</v>
      </c>
      <c r="J329" s="21" t="str">
        <f>_xlfn.XLOOKUP(F329,'04_Account_Mapping'!$A$6:$A$14,'04_Account_Mapping'!$C$6:$C$14,"Unmapped",0)</f>
        <v>Tax Expense</v>
      </c>
      <c r="K329" s="21" t="str">
        <f>_xlfn.XLOOKUP(F329,'04_Account_Mapping'!$A$6:$A$14,'04_Account_Mapping'!$D$6:$D$14,"Unmapped",0)</f>
        <v>Expense</v>
      </c>
    </row>
    <row r="330" spans="1:11">
      <c r="A330" s="16">
        <v>45839</v>
      </c>
      <c r="B330" s="13">
        <v>2025</v>
      </c>
      <c r="C330" s="13">
        <v>7</v>
      </c>
      <c r="D330" s="13" t="s">
        <v>67</v>
      </c>
      <c r="E330" s="13" t="s">
        <v>68</v>
      </c>
      <c r="F330" s="13" t="s">
        <v>55</v>
      </c>
      <c r="G330" s="19">
        <v>3070.2228854431592</v>
      </c>
      <c r="H330" s="13" t="s">
        <v>69</v>
      </c>
      <c r="I330" s="13" t="s">
        <v>78</v>
      </c>
      <c r="J330" s="21" t="str">
        <f>_xlfn.XLOOKUP(F330,'04_Account_Mapping'!$A$6:$A$14,'04_Account_Mapping'!$C$6:$C$14,"Unmapped",0)</f>
        <v>Revenue</v>
      </c>
      <c r="K330" s="21" t="str">
        <f>_xlfn.XLOOKUP(F330,'04_Account_Mapping'!$A$6:$A$14,'04_Account_Mapping'!$D$6:$D$14,"Unmapped",0)</f>
        <v>Income</v>
      </c>
    </row>
    <row r="331" spans="1:11">
      <c r="A331" s="16">
        <v>45839</v>
      </c>
      <c r="B331" s="13">
        <v>2025</v>
      </c>
      <c r="C331" s="13">
        <v>7</v>
      </c>
      <c r="D331" s="13" t="s">
        <v>67</v>
      </c>
      <c r="E331" s="13" t="s">
        <v>68</v>
      </c>
      <c r="F331" s="13" t="s">
        <v>58</v>
      </c>
      <c r="G331" s="19">
        <v>-2494.1060452602474</v>
      </c>
      <c r="H331" s="13" t="s">
        <v>71</v>
      </c>
      <c r="I331" s="13" t="s">
        <v>78</v>
      </c>
      <c r="J331" s="21" t="str">
        <f>_xlfn.XLOOKUP(F331,'04_Account_Mapping'!$A$6:$A$14,'04_Account_Mapping'!$C$6:$C$14,"Unmapped",0)</f>
        <v>COGS</v>
      </c>
      <c r="K331" s="21" t="str">
        <f>_xlfn.XLOOKUP(F331,'04_Account_Mapping'!$A$6:$A$14,'04_Account_Mapping'!$D$6:$D$14,"Unmapped",0)</f>
        <v>Expense</v>
      </c>
    </row>
    <row r="332" spans="1:11">
      <c r="A332" s="16">
        <v>45839</v>
      </c>
      <c r="B332" s="13">
        <v>2025</v>
      </c>
      <c r="C332" s="13">
        <v>7</v>
      </c>
      <c r="D332" s="13" t="s">
        <v>67</v>
      </c>
      <c r="E332" s="13" t="s">
        <v>68</v>
      </c>
      <c r="F332" s="13" t="s">
        <v>60</v>
      </c>
      <c r="G332" s="19">
        <v>-352.13537601099637</v>
      </c>
      <c r="H332" s="13" t="s">
        <v>71</v>
      </c>
      <c r="I332" s="13" t="s">
        <v>78</v>
      </c>
      <c r="J332" s="21" t="str">
        <f>_xlfn.XLOOKUP(F332,'04_Account_Mapping'!$A$6:$A$14,'04_Account_Mapping'!$C$6:$C$14,"Unmapped",0)</f>
        <v>Selling Expense</v>
      </c>
      <c r="K332" s="21" t="str">
        <f>_xlfn.XLOOKUP(F332,'04_Account_Mapping'!$A$6:$A$14,'04_Account_Mapping'!$D$6:$D$14,"Unmapped",0)</f>
        <v>Expense</v>
      </c>
    </row>
    <row r="333" spans="1:11">
      <c r="A333" s="16">
        <v>45839</v>
      </c>
      <c r="B333" s="13">
        <v>2025</v>
      </c>
      <c r="C333" s="13">
        <v>7</v>
      </c>
      <c r="D333" s="13" t="s">
        <v>67</v>
      </c>
      <c r="E333" s="13" t="s">
        <v>68</v>
      </c>
      <c r="F333" s="13" t="s">
        <v>61</v>
      </c>
      <c r="G333" s="19">
        <v>-86.239274078354171</v>
      </c>
      <c r="H333" s="13" t="s">
        <v>71</v>
      </c>
      <c r="I333" s="13" t="s">
        <v>78</v>
      </c>
      <c r="J333" s="21" t="str">
        <f>_xlfn.XLOOKUP(F333,'04_Account_Mapping'!$A$6:$A$14,'04_Account_Mapping'!$C$6:$C$14,"Unmapped",0)</f>
        <v>G&amp;A</v>
      </c>
      <c r="K333" s="21" t="str">
        <f>_xlfn.XLOOKUP(F333,'04_Account_Mapping'!$A$6:$A$14,'04_Account_Mapping'!$D$6:$D$14,"Unmapped",0)</f>
        <v>Expense</v>
      </c>
    </row>
    <row r="334" spans="1:11">
      <c r="A334" s="16">
        <v>45839</v>
      </c>
      <c r="B334" s="13">
        <v>2025</v>
      </c>
      <c r="C334" s="13">
        <v>7</v>
      </c>
      <c r="D334" s="13" t="s">
        <v>67</v>
      </c>
      <c r="E334" s="13" t="s">
        <v>68</v>
      </c>
      <c r="F334" s="13" t="s">
        <v>62</v>
      </c>
      <c r="G334" s="19">
        <v>62.330378243919164</v>
      </c>
      <c r="H334" s="13" t="s">
        <v>71</v>
      </c>
      <c r="I334" s="13" t="s">
        <v>78</v>
      </c>
      <c r="J334" s="21" t="str">
        <f>_xlfn.XLOOKUP(F334,'04_Account_Mapping'!$A$6:$A$14,'04_Account_Mapping'!$C$6:$C$14,"Unmapped",0)</f>
        <v>Finance Income</v>
      </c>
      <c r="K334" s="21" t="str">
        <f>_xlfn.XLOOKUP(F334,'04_Account_Mapping'!$A$6:$A$14,'04_Account_Mapping'!$D$6:$D$14,"Unmapped",0)</f>
        <v>Income</v>
      </c>
    </row>
    <row r="335" spans="1:11">
      <c r="A335" s="16">
        <v>45839</v>
      </c>
      <c r="B335" s="13">
        <v>2025</v>
      </c>
      <c r="C335" s="13">
        <v>7</v>
      </c>
      <c r="D335" s="13" t="s">
        <v>67</v>
      </c>
      <c r="E335" s="13" t="s">
        <v>68</v>
      </c>
      <c r="F335" s="13" t="s">
        <v>63</v>
      </c>
      <c r="G335" s="19">
        <v>-31.643514925404279</v>
      </c>
      <c r="H335" s="13" t="s">
        <v>71</v>
      </c>
      <c r="I335" s="13" t="s">
        <v>78</v>
      </c>
      <c r="J335" s="21" t="str">
        <f>_xlfn.XLOOKUP(F335,'04_Account_Mapping'!$A$6:$A$14,'04_Account_Mapping'!$C$6:$C$14,"Unmapped",0)</f>
        <v>Finance Expense</v>
      </c>
      <c r="K335" s="21" t="str">
        <f>_xlfn.XLOOKUP(F335,'04_Account_Mapping'!$A$6:$A$14,'04_Account_Mapping'!$D$6:$D$14,"Unmapped",0)</f>
        <v>Expense</v>
      </c>
    </row>
    <row r="336" spans="1:11">
      <c r="A336" s="16">
        <v>45839</v>
      </c>
      <c r="B336" s="13">
        <v>2025</v>
      </c>
      <c r="C336" s="13">
        <v>7</v>
      </c>
      <c r="D336" s="13" t="s">
        <v>67</v>
      </c>
      <c r="E336" s="13" t="s">
        <v>68</v>
      </c>
      <c r="F336" s="13" t="s">
        <v>64</v>
      </c>
      <c r="G336" s="19">
        <v>0.32177157729789263</v>
      </c>
      <c r="H336" s="13" t="s">
        <v>71</v>
      </c>
      <c r="I336" s="13" t="s">
        <v>78</v>
      </c>
      <c r="J336" s="21" t="str">
        <f>_xlfn.XLOOKUP(F336,'04_Account_Mapping'!$A$6:$A$14,'04_Account_Mapping'!$C$6:$C$14,"Unmapped",0)</f>
        <v>JV Profit/(Loss)</v>
      </c>
      <c r="K336" s="21" t="str">
        <f>_xlfn.XLOOKUP(F336,'04_Account_Mapping'!$A$6:$A$14,'04_Account_Mapping'!$D$6:$D$14,"Unmapped",0)</f>
        <v>Income</v>
      </c>
    </row>
    <row r="337" spans="1:11">
      <c r="A337" s="16">
        <v>45839</v>
      </c>
      <c r="B337" s="13">
        <v>2025</v>
      </c>
      <c r="C337" s="13">
        <v>7</v>
      </c>
      <c r="D337" s="13" t="s">
        <v>67</v>
      </c>
      <c r="E337" s="13" t="s">
        <v>68</v>
      </c>
      <c r="F337" s="13" t="s">
        <v>65</v>
      </c>
      <c r="G337" s="19">
        <v>-1.3936687691022633</v>
      </c>
      <c r="H337" s="13" t="s">
        <v>71</v>
      </c>
      <c r="I337" s="13" t="s">
        <v>78</v>
      </c>
      <c r="J337" s="21" t="str">
        <f>_xlfn.XLOOKUP(F337,'04_Account_Mapping'!$A$6:$A$14,'04_Account_Mapping'!$C$6:$C$14,"Unmapped",0)</f>
        <v>Other Net</v>
      </c>
      <c r="K337" s="21" t="str">
        <f>_xlfn.XLOOKUP(F337,'04_Account_Mapping'!$A$6:$A$14,'04_Account_Mapping'!$D$6:$D$14,"Unmapped",0)</f>
        <v>Income</v>
      </c>
    </row>
    <row r="338" spans="1:11">
      <c r="A338" s="16">
        <v>45839</v>
      </c>
      <c r="B338" s="13">
        <v>2025</v>
      </c>
      <c r="C338" s="13">
        <v>7</v>
      </c>
      <c r="D338" s="13" t="s">
        <v>67</v>
      </c>
      <c r="E338" s="13" t="s">
        <v>68</v>
      </c>
      <c r="F338" s="13" t="s">
        <v>66</v>
      </c>
      <c r="G338" s="19">
        <v>-29.944194258714738</v>
      </c>
      <c r="H338" s="13" t="s">
        <v>71</v>
      </c>
      <c r="I338" s="13" t="s">
        <v>78</v>
      </c>
      <c r="J338" s="21" t="str">
        <f>_xlfn.XLOOKUP(F338,'04_Account_Mapping'!$A$6:$A$14,'04_Account_Mapping'!$C$6:$C$14,"Unmapped",0)</f>
        <v>Tax Expense</v>
      </c>
      <c r="K338" s="21" t="str">
        <f>_xlfn.XLOOKUP(F338,'04_Account_Mapping'!$A$6:$A$14,'04_Account_Mapping'!$D$6:$D$14,"Unmapped",0)</f>
        <v>Expense</v>
      </c>
    </row>
    <row r="339" spans="1:11">
      <c r="A339" s="16">
        <v>45839</v>
      </c>
      <c r="B339" s="13">
        <v>2025</v>
      </c>
      <c r="C339" s="13">
        <v>7</v>
      </c>
      <c r="D339" s="13" t="s">
        <v>72</v>
      </c>
      <c r="E339" s="13" t="s">
        <v>68</v>
      </c>
      <c r="F339" s="13" t="s">
        <v>55</v>
      </c>
      <c r="G339" s="19">
        <v>5655.6328735490733</v>
      </c>
      <c r="H339" s="13" t="s">
        <v>69</v>
      </c>
      <c r="I339" s="13" t="s">
        <v>78</v>
      </c>
      <c r="J339" s="21" t="str">
        <f>_xlfn.XLOOKUP(F339,'04_Account_Mapping'!$A$6:$A$14,'04_Account_Mapping'!$C$6:$C$14,"Unmapped",0)</f>
        <v>Revenue</v>
      </c>
      <c r="K339" s="21" t="str">
        <f>_xlfn.XLOOKUP(F339,'04_Account_Mapping'!$A$6:$A$14,'04_Account_Mapping'!$D$6:$D$14,"Unmapped",0)</f>
        <v>Income</v>
      </c>
    </row>
    <row r="340" spans="1:11">
      <c r="A340" s="16">
        <v>45839</v>
      </c>
      <c r="B340" s="13">
        <v>2025</v>
      </c>
      <c r="C340" s="13">
        <v>7</v>
      </c>
      <c r="D340" s="13" t="s">
        <v>72</v>
      </c>
      <c r="E340" s="13" t="s">
        <v>68</v>
      </c>
      <c r="F340" s="13" t="s">
        <v>58</v>
      </c>
      <c r="G340" s="19">
        <v>-4594.3726778179134</v>
      </c>
      <c r="H340" s="13" t="s">
        <v>71</v>
      </c>
      <c r="I340" s="13" t="s">
        <v>78</v>
      </c>
      <c r="J340" s="21" t="str">
        <f>_xlfn.XLOOKUP(F340,'04_Account_Mapping'!$A$6:$A$14,'04_Account_Mapping'!$C$6:$C$14,"Unmapped",0)</f>
        <v>COGS</v>
      </c>
      <c r="K340" s="21" t="str">
        <f>_xlfn.XLOOKUP(F340,'04_Account_Mapping'!$A$6:$A$14,'04_Account_Mapping'!$D$6:$D$14,"Unmapped",0)</f>
        <v>Expense</v>
      </c>
    </row>
    <row r="341" spans="1:11">
      <c r="A341" s="16">
        <v>45839</v>
      </c>
      <c r="B341" s="13">
        <v>2025</v>
      </c>
      <c r="C341" s="13">
        <v>7</v>
      </c>
      <c r="D341" s="13" t="s">
        <v>72</v>
      </c>
      <c r="E341" s="13" t="s">
        <v>68</v>
      </c>
      <c r="F341" s="13" t="s">
        <v>60</v>
      </c>
      <c r="G341" s="19">
        <v>-648.66574278690939</v>
      </c>
      <c r="H341" s="13" t="s">
        <v>71</v>
      </c>
      <c r="I341" s="13" t="s">
        <v>78</v>
      </c>
      <c r="J341" s="21" t="str">
        <f>_xlfn.XLOOKUP(F341,'04_Account_Mapping'!$A$6:$A$14,'04_Account_Mapping'!$C$6:$C$14,"Unmapped",0)</f>
        <v>Selling Expense</v>
      </c>
      <c r="K341" s="21" t="str">
        <f>_xlfn.XLOOKUP(F341,'04_Account_Mapping'!$A$6:$A$14,'04_Account_Mapping'!$D$6:$D$14,"Unmapped",0)</f>
        <v>Expense</v>
      </c>
    </row>
    <row r="342" spans="1:11">
      <c r="A342" s="16">
        <v>45839</v>
      </c>
      <c r="B342" s="13">
        <v>2025</v>
      </c>
      <c r="C342" s="13">
        <v>7</v>
      </c>
      <c r="D342" s="13" t="s">
        <v>72</v>
      </c>
      <c r="E342" s="13" t="s">
        <v>68</v>
      </c>
      <c r="F342" s="13" t="s">
        <v>61</v>
      </c>
      <c r="G342" s="19">
        <v>-158.86067287852546</v>
      </c>
      <c r="H342" s="13" t="s">
        <v>71</v>
      </c>
      <c r="I342" s="13" t="s">
        <v>78</v>
      </c>
      <c r="J342" s="21" t="str">
        <f>_xlfn.XLOOKUP(F342,'04_Account_Mapping'!$A$6:$A$14,'04_Account_Mapping'!$C$6:$C$14,"Unmapped",0)</f>
        <v>G&amp;A</v>
      </c>
      <c r="K342" s="21" t="str">
        <f>_xlfn.XLOOKUP(F342,'04_Account_Mapping'!$A$6:$A$14,'04_Account_Mapping'!$D$6:$D$14,"Unmapped",0)</f>
        <v>Expense</v>
      </c>
    </row>
    <row r="343" spans="1:11">
      <c r="A343" s="16">
        <v>45839</v>
      </c>
      <c r="B343" s="13">
        <v>2025</v>
      </c>
      <c r="C343" s="13">
        <v>7</v>
      </c>
      <c r="D343" s="13" t="s">
        <v>72</v>
      </c>
      <c r="E343" s="13" t="s">
        <v>68</v>
      </c>
      <c r="F343" s="13" t="s">
        <v>62</v>
      </c>
      <c r="G343" s="19">
        <v>114.81828823843661</v>
      </c>
      <c r="H343" s="13" t="s">
        <v>71</v>
      </c>
      <c r="I343" s="13" t="s">
        <v>78</v>
      </c>
      <c r="J343" s="21" t="str">
        <f>_xlfn.XLOOKUP(F343,'04_Account_Mapping'!$A$6:$A$14,'04_Account_Mapping'!$C$6:$C$14,"Unmapped",0)</f>
        <v>Finance Income</v>
      </c>
      <c r="K343" s="21" t="str">
        <f>_xlfn.XLOOKUP(F343,'04_Account_Mapping'!$A$6:$A$14,'04_Account_Mapping'!$D$6:$D$14,"Unmapped",0)</f>
        <v>Income</v>
      </c>
    </row>
    <row r="344" spans="1:11">
      <c r="A344" s="16">
        <v>45839</v>
      </c>
      <c r="B344" s="13">
        <v>2025</v>
      </c>
      <c r="C344" s="13">
        <v>7</v>
      </c>
      <c r="D344" s="13" t="s">
        <v>72</v>
      </c>
      <c r="E344" s="13" t="s">
        <v>68</v>
      </c>
      <c r="F344" s="13" t="s">
        <v>63</v>
      </c>
      <c r="G344" s="19">
        <v>-58.290264233023379</v>
      </c>
      <c r="H344" s="13" t="s">
        <v>71</v>
      </c>
      <c r="I344" s="13" t="s">
        <v>78</v>
      </c>
      <c r="J344" s="21" t="str">
        <f>_xlfn.XLOOKUP(F344,'04_Account_Mapping'!$A$6:$A$14,'04_Account_Mapping'!$C$6:$C$14,"Unmapped",0)</f>
        <v>Finance Expense</v>
      </c>
      <c r="K344" s="21" t="str">
        <f>_xlfn.XLOOKUP(F344,'04_Account_Mapping'!$A$6:$A$14,'04_Account_Mapping'!$D$6:$D$14,"Unmapped",0)</f>
        <v>Expense</v>
      </c>
    </row>
    <row r="345" spans="1:11">
      <c r="A345" s="16">
        <v>45839</v>
      </c>
      <c r="B345" s="13">
        <v>2025</v>
      </c>
      <c r="C345" s="13">
        <v>7</v>
      </c>
      <c r="D345" s="13" t="s">
        <v>72</v>
      </c>
      <c r="E345" s="13" t="s">
        <v>68</v>
      </c>
      <c r="F345" s="13" t="s">
        <v>64</v>
      </c>
      <c r="G345" s="19">
        <v>0.59273283349167116</v>
      </c>
      <c r="H345" s="13" t="s">
        <v>71</v>
      </c>
      <c r="I345" s="13" t="s">
        <v>78</v>
      </c>
      <c r="J345" s="21" t="str">
        <f>_xlfn.XLOOKUP(F345,'04_Account_Mapping'!$A$6:$A$14,'04_Account_Mapping'!$C$6:$C$14,"Unmapped",0)</f>
        <v>JV Profit/(Loss)</v>
      </c>
      <c r="K345" s="21" t="str">
        <f>_xlfn.XLOOKUP(F345,'04_Account_Mapping'!$A$6:$A$14,'04_Account_Mapping'!$D$6:$D$14,"Unmapped",0)</f>
        <v>Income</v>
      </c>
    </row>
    <row r="346" spans="1:11">
      <c r="A346" s="16">
        <v>45839</v>
      </c>
      <c r="B346" s="13">
        <v>2025</v>
      </c>
      <c r="C346" s="13">
        <v>7</v>
      </c>
      <c r="D346" s="13" t="s">
        <v>72</v>
      </c>
      <c r="E346" s="13" t="s">
        <v>68</v>
      </c>
      <c r="F346" s="13" t="s">
        <v>65</v>
      </c>
      <c r="G346" s="19">
        <v>-2.5672660257809672</v>
      </c>
      <c r="H346" s="13" t="s">
        <v>71</v>
      </c>
      <c r="I346" s="13" t="s">
        <v>78</v>
      </c>
      <c r="J346" s="21" t="str">
        <f>_xlfn.XLOOKUP(F346,'04_Account_Mapping'!$A$6:$A$14,'04_Account_Mapping'!$C$6:$C$14,"Unmapped",0)</f>
        <v>Other Net</v>
      </c>
      <c r="K346" s="21" t="str">
        <f>_xlfn.XLOOKUP(F346,'04_Account_Mapping'!$A$6:$A$14,'04_Account_Mapping'!$D$6:$D$14,"Unmapped",0)</f>
        <v>Income</v>
      </c>
    </row>
    <row r="347" spans="1:11">
      <c r="A347" s="16">
        <v>45839</v>
      </c>
      <c r="B347" s="13">
        <v>2025</v>
      </c>
      <c r="C347" s="13">
        <v>7</v>
      </c>
      <c r="D347" s="13" t="s">
        <v>72</v>
      </c>
      <c r="E347" s="13" t="s">
        <v>68</v>
      </c>
      <c r="F347" s="13" t="s">
        <v>66</v>
      </c>
      <c r="G347" s="19">
        <v>-55.159959306042971</v>
      </c>
      <c r="H347" s="13" t="s">
        <v>71</v>
      </c>
      <c r="I347" s="13" t="s">
        <v>78</v>
      </c>
      <c r="J347" s="21" t="str">
        <f>_xlfn.XLOOKUP(F347,'04_Account_Mapping'!$A$6:$A$14,'04_Account_Mapping'!$C$6:$C$14,"Unmapped",0)</f>
        <v>Tax Expense</v>
      </c>
      <c r="K347" s="21" t="str">
        <f>_xlfn.XLOOKUP(F347,'04_Account_Mapping'!$A$6:$A$14,'04_Account_Mapping'!$D$6:$D$14,"Unmapped",0)</f>
        <v>Expense</v>
      </c>
    </row>
    <row r="348" spans="1:11">
      <c r="A348" s="16">
        <v>45839</v>
      </c>
      <c r="B348" s="13">
        <v>2025</v>
      </c>
      <c r="C348" s="13">
        <v>7</v>
      </c>
      <c r="D348" s="13" t="s">
        <v>73</v>
      </c>
      <c r="E348" s="13" t="s">
        <v>74</v>
      </c>
      <c r="F348" s="13" t="s">
        <v>55</v>
      </c>
      <c r="G348" s="19">
        <v>3865.993733062734</v>
      </c>
      <c r="H348" s="13" t="s">
        <v>69</v>
      </c>
      <c r="I348" s="13" t="s">
        <v>78</v>
      </c>
      <c r="J348" s="21" t="str">
        <f>_xlfn.XLOOKUP(F348,'04_Account_Mapping'!$A$6:$A$14,'04_Account_Mapping'!$C$6:$C$14,"Unmapped",0)</f>
        <v>Revenue</v>
      </c>
      <c r="K348" s="21" t="str">
        <f>_xlfn.XLOOKUP(F348,'04_Account_Mapping'!$A$6:$A$14,'04_Account_Mapping'!$D$6:$D$14,"Unmapped",0)</f>
        <v>Income</v>
      </c>
    </row>
    <row r="349" spans="1:11">
      <c r="A349" s="16">
        <v>45839</v>
      </c>
      <c r="B349" s="13">
        <v>2025</v>
      </c>
      <c r="C349" s="13">
        <v>7</v>
      </c>
      <c r="D349" s="13" t="s">
        <v>73</v>
      </c>
      <c r="E349" s="13" t="s">
        <v>74</v>
      </c>
      <c r="F349" s="13" t="s">
        <v>58</v>
      </c>
      <c r="G349" s="19">
        <v>-3140.553210741321</v>
      </c>
      <c r="H349" s="13" t="s">
        <v>71</v>
      </c>
      <c r="I349" s="13" t="s">
        <v>78</v>
      </c>
      <c r="J349" s="21" t="str">
        <f>_xlfn.XLOOKUP(F349,'04_Account_Mapping'!$A$6:$A$14,'04_Account_Mapping'!$C$6:$C$14,"Unmapped",0)</f>
        <v>COGS</v>
      </c>
      <c r="K349" s="21" t="str">
        <f>_xlfn.XLOOKUP(F349,'04_Account_Mapping'!$A$6:$A$14,'04_Account_Mapping'!$D$6:$D$14,"Unmapped",0)</f>
        <v>Expense</v>
      </c>
    </row>
    <row r="350" spans="1:11">
      <c r="A350" s="16">
        <v>45839</v>
      </c>
      <c r="B350" s="13">
        <v>2025</v>
      </c>
      <c r="C350" s="13">
        <v>7</v>
      </c>
      <c r="D350" s="13" t="s">
        <v>73</v>
      </c>
      <c r="E350" s="13" t="s">
        <v>74</v>
      </c>
      <c r="F350" s="13" t="s">
        <v>60</v>
      </c>
      <c r="G350" s="19">
        <v>-443.40531865057164</v>
      </c>
      <c r="H350" s="13" t="s">
        <v>71</v>
      </c>
      <c r="I350" s="13" t="s">
        <v>78</v>
      </c>
      <c r="J350" s="21" t="str">
        <f>_xlfn.XLOOKUP(F350,'04_Account_Mapping'!$A$6:$A$14,'04_Account_Mapping'!$C$6:$C$14,"Unmapped",0)</f>
        <v>Selling Expense</v>
      </c>
      <c r="K350" s="21" t="str">
        <f>_xlfn.XLOOKUP(F350,'04_Account_Mapping'!$A$6:$A$14,'04_Account_Mapping'!$D$6:$D$14,"Unmapped",0)</f>
        <v>Expense</v>
      </c>
    </row>
    <row r="351" spans="1:11">
      <c r="A351" s="16">
        <v>45839</v>
      </c>
      <c r="B351" s="13">
        <v>2025</v>
      </c>
      <c r="C351" s="13">
        <v>7</v>
      </c>
      <c r="D351" s="13" t="s">
        <v>73</v>
      </c>
      <c r="E351" s="13" t="s">
        <v>74</v>
      </c>
      <c r="F351" s="13" t="s">
        <v>61</v>
      </c>
      <c r="G351" s="19">
        <v>-108.59162528933899</v>
      </c>
      <c r="H351" s="13" t="s">
        <v>71</v>
      </c>
      <c r="I351" s="13" t="s">
        <v>78</v>
      </c>
      <c r="J351" s="21" t="str">
        <f>_xlfn.XLOOKUP(F351,'04_Account_Mapping'!$A$6:$A$14,'04_Account_Mapping'!$C$6:$C$14,"Unmapped",0)</f>
        <v>G&amp;A</v>
      </c>
      <c r="K351" s="21" t="str">
        <f>_xlfn.XLOOKUP(F351,'04_Account_Mapping'!$A$6:$A$14,'04_Account_Mapping'!$D$6:$D$14,"Unmapped",0)</f>
        <v>Expense</v>
      </c>
    </row>
    <row r="352" spans="1:11">
      <c r="A352" s="16">
        <v>45839</v>
      </c>
      <c r="B352" s="13">
        <v>2025</v>
      </c>
      <c r="C352" s="13">
        <v>7</v>
      </c>
      <c r="D352" s="13" t="s">
        <v>73</v>
      </c>
      <c r="E352" s="13" t="s">
        <v>74</v>
      </c>
      <c r="F352" s="13" t="s">
        <v>62</v>
      </c>
      <c r="G352" s="19">
        <v>78.485784472823241</v>
      </c>
      <c r="H352" s="13" t="s">
        <v>71</v>
      </c>
      <c r="I352" s="13" t="s">
        <v>78</v>
      </c>
      <c r="J352" s="21" t="str">
        <f>_xlfn.XLOOKUP(F352,'04_Account_Mapping'!$A$6:$A$14,'04_Account_Mapping'!$C$6:$C$14,"Unmapped",0)</f>
        <v>Finance Income</v>
      </c>
      <c r="K352" s="21" t="str">
        <f>_xlfn.XLOOKUP(F352,'04_Account_Mapping'!$A$6:$A$14,'04_Account_Mapping'!$D$6:$D$14,"Unmapped",0)</f>
        <v>Income</v>
      </c>
    </row>
    <row r="353" spans="1:11">
      <c r="A353" s="16">
        <v>45839</v>
      </c>
      <c r="B353" s="13">
        <v>2025</v>
      </c>
      <c r="C353" s="13">
        <v>7</v>
      </c>
      <c r="D353" s="13" t="s">
        <v>73</v>
      </c>
      <c r="E353" s="13" t="s">
        <v>74</v>
      </c>
      <c r="F353" s="13" t="s">
        <v>63</v>
      </c>
      <c r="G353" s="19">
        <v>-39.845195270255523</v>
      </c>
      <c r="H353" s="13" t="s">
        <v>71</v>
      </c>
      <c r="I353" s="13" t="s">
        <v>78</v>
      </c>
      <c r="J353" s="21" t="str">
        <f>_xlfn.XLOOKUP(F353,'04_Account_Mapping'!$A$6:$A$14,'04_Account_Mapping'!$C$6:$C$14,"Unmapped",0)</f>
        <v>Finance Expense</v>
      </c>
      <c r="K353" s="21" t="str">
        <f>_xlfn.XLOOKUP(F353,'04_Account_Mapping'!$A$6:$A$14,'04_Account_Mapping'!$D$6:$D$14,"Unmapped",0)</f>
        <v>Expense</v>
      </c>
    </row>
    <row r="354" spans="1:11">
      <c r="A354" s="16">
        <v>45839</v>
      </c>
      <c r="B354" s="13">
        <v>2025</v>
      </c>
      <c r="C354" s="13">
        <v>7</v>
      </c>
      <c r="D354" s="13" t="s">
        <v>73</v>
      </c>
      <c r="E354" s="13" t="s">
        <v>74</v>
      </c>
      <c r="F354" s="13" t="s">
        <v>64</v>
      </c>
      <c r="G354" s="19">
        <v>0.40517152914512544</v>
      </c>
      <c r="H354" s="13" t="s">
        <v>71</v>
      </c>
      <c r="I354" s="13" t="s">
        <v>78</v>
      </c>
      <c r="J354" s="21" t="str">
        <f>_xlfn.XLOOKUP(F354,'04_Account_Mapping'!$A$6:$A$14,'04_Account_Mapping'!$C$6:$C$14,"Unmapped",0)</f>
        <v>JV Profit/(Loss)</v>
      </c>
      <c r="K354" s="21" t="str">
        <f>_xlfn.XLOOKUP(F354,'04_Account_Mapping'!$A$6:$A$14,'04_Account_Mapping'!$D$6:$D$14,"Unmapped",0)</f>
        <v>Income</v>
      </c>
    </row>
    <row r="355" spans="1:11">
      <c r="A355" s="16">
        <v>45839</v>
      </c>
      <c r="B355" s="13">
        <v>2025</v>
      </c>
      <c r="C355" s="13">
        <v>7</v>
      </c>
      <c r="D355" s="13" t="s">
        <v>73</v>
      </c>
      <c r="E355" s="13" t="s">
        <v>74</v>
      </c>
      <c r="F355" s="13" t="s">
        <v>65</v>
      </c>
      <c r="G355" s="19">
        <v>-1.754893676566712</v>
      </c>
      <c r="H355" s="13" t="s">
        <v>71</v>
      </c>
      <c r="I355" s="13" t="s">
        <v>78</v>
      </c>
      <c r="J355" s="21" t="str">
        <f>_xlfn.XLOOKUP(F355,'04_Account_Mapping'!$A$6:$A$14,'04_Account_Mapping'!$C$6:$C$14,"Unmapped",0)</f>
        <v>Other Net</v>
      </c>
      <c r="K355" s="21" t="str">
        <f>_xlfn.XLOOKUP(F355,'04_Account_Mapping'!$A$6:$A$14,'04_Account_Mapping'!$D$6:$D$14,"Unmapped",0)</f>
        <v>Income</v>
      </c>
    </row>
    <row r="356" spans="1:11">
      <c r="A356" s="16">
        <v>45839</v>
      </c>
      <c r="B356" s="13">
        <v>2025</v>
      </c>
      <c r="C356" s="13">
        <v>7</v>
      </c>
      <c r="D356" s="13" t="s">
        <v>73</v>
      </c>
      <c r="E356" s="13" t="s">
        <v>74</v>
      </c>
      <c r="F356" s="13" t="s">
        <v>66</v>
      </c>
      <c r="G356" s="19">
        <v>-37.705427802872613</v>
      </c>
      <c r="H356" s="13" t="s">
        <v>71</v>
      </c>
      <c r="I356" s="13" t="s">
        <v>78</v>
      </c>
      <c r="J356" s="21" t="str">
        <f>_xlfn.XLOOKUP(F356,'04_Account_Mapping'!$A$6:$A$14,'04_Account_Mapping'!$C$6:$C$14,"Unmapped",0)</f>
        <v>Tax Expense</v>
      </c>
      <c r="K356" s="21" t="str">
        <f>_xlfn.XLOOKUP(F356,'04_Account_Mapping'!$A$6:$A$14,'04_Account_Mapping'!$D$6:$D$14,"Unmapped",0)</f>
        <v>Expense</v>
      </c>
    </row>
    <row r="357" spans="1:11">
      <c r="A357" s="16">
        <v>45839</v>
      </c>
      <c r="B357" s="13">
        <v>2025</v>
      </c>
      <c r="C357" s="13">
        <v>7</v>
      </c>
      <c r="D357" s="13" t="s">
        <v>75</v>
      </c>
      <c r="E357" s="13" t="s">
        <v>76</v>
      </c>
      <c r="F357" s="13" t="s">
        <v>55</v>
      </c>
      <c r="G357" s="19">
        <v>283.25223806258629</v>
      </c>
      <c r="H357" s="13" t="s">
        <v>69</v>
      </c>
      <c r="I357" s="13" t="s">
        <v>78</v>
      </c>
      <c r="J357" s="21" t="str">
        <f>_xlfn.XLOOKUP(F357,'04_Account_Mapping'!$A$6:$A$14,'04_Account_Mapping'!$C$6:$C$14,"Unmapped",0)</f>
        <v>Revenue</v>
      </c>
      <c r="K357" s="21" t="str">
        <f>_xlfn.XLOOKUP(F357,'04_Account_Mapping'!$A$6:$A$14,'04_Account_Mapping'!$D$6:$D$14,"Unmapped",0)</f>
        <v>Income</v>
      </c>
    </row>
    <row r="358" spans="1:11">
      <c r="A358" s="16">
        <v>45839</v>
      </c>
      <c r="B358" s="13">
        <v>2025</v>
      </c>
      <c r="C358" s="13">
        <v>7</v>
      </c>
      <c r="D358" s="13" t="s">
        <v>75</v>
      </c>
      <c r="E358" s="13" t="s">
        <v>76</v>
      </c>
      <c r="F358" s="13" t="s">
        <v>58</v>
      </c>
      <c r="G358" s="19">
        <v>-230.10092284665512</v>
      </c>
      <c r="H358" s="13" t="s">
        <v>71</v>
      </c>
      <c r="I358" s="13" t="s">
        <v>78</v>
      </c>
      <c r="J358" s="21" t="str">
        <f>_xlfn.XLOOKUP(F358,'04_Account_Mapping'!$A$6:$A$14,'04_Account_Mapping'!$C$6:$C$14,"Unmapped",0)</f>
        <v>COGS</v>
      </c>
      <c r="K358" s="21" t="str">
        <f>_xlfn.XLOOKUP(F358,'04_Account_Mapping'!$A$6:$A$14,'04_Account_Mapping'!$D$6:$D$14,"Unmapped",0)</f>
        <v>Expense</v>
      </c>
    </row>
    <row r="359" spans="1:11">
      <c r="A359" s="16">
        <v>45839</v>
      </c>
      <c r="B359" s="13">
        <v>2025</v>
      </c>
      <c r="C359" s="13">
        <v>7</v>
      </c>
      <c r="D359" s="13" t="s">
        <v>75</v>
      </c>
      <c r="E359" s="13" t="s">
        <v>76</v>
      </c>
      <c r="F359" s="13" t="s">
        <v>60</v>
      </c>
      <c r="G359" s="19">
        <v>-32.487261374096647</v>
      </c>
      <c r="H359" s="13" t="s">
        <v>71</v>
      </c>
      <c r="I359" s="13" t="s">
        <v>78</v>
      </c>
      <c r="J359" s="21" t="str">
        <f>_xlfn.XLOOKUP(F359,'04_Account_Mapping'!$A$6:$A$14,'04_Account_Mapping'!$C$6:$C$14,"Unmapped",0)</f>
        <v>Selling Expense</v>
      </c>
      <c r="K359" s="21" t="str">
        <f>_xlfn.XLOOKUP(F359,'04_Account_Mapping'!$A$6:$A$14,'04_Account_Mapping'!$D$6:$D$14,"Unmapped",0)</f>
        <v>Expense</v>
      </c>
    </row>
    <row r="360" spans="1:11">
      <c r="A360" s="16">
        <v>45839</v>
      </c>
      <c r="B360" s="13">
        <v>2025</v>
      </c>
      <c r="C360" s="13">
        <v>7</v>
      </c>
      <c r="D360" s="13" t="s">
        <v>75</v>
      </c>
      <c r="E360" s="13" t="s">
        <v>76</v>
      </c>
      <c r="F360" s="13" t="s">
        <v>61</v>
      </c>
      <c r="G360" s="19">
        <v>-7.9562521364180094</v>
      </c>
      <c r="H360" s="13" t="s">
        <v>71</v>
      </c>
      <c r="I360" s="13" t="s">
        <v>78</v>
      </c>
      <c r="J360" s="21" t="str">
        <f>_xlfn.XLOOKUP(F360,'04_Account_Mapping'!$A$6:$A$14,'04_Account_Mapping'!$C$6:$C$14,"Unmapped",0)</f>
        <v>G&amp;A</v>
      </c>
      <c r="K360" s="21" t="str">
        <f>_xlfn.XLOOKUP(F360,'04_Account_Mapping'!$A$6:$A$14,'04_Account_Mapping'!$D$6:$D$14,"Unmapped",0)</f>
        <v>Expense</v>
      </c>
    </row>
    <row r="361" spans="1:11">
      <c r="A361" s="16">
        <v>45839</v>
      </c>
      <c r="B361" s="13">
        <v>2025</v>
      </c>
      <c r="C361" s="13">
        <v>7</v>
      </c>
      <c r="D361" s="13" t="s">
        <v>75</v>
      </c>
      <c r="E361" s="13" t="s">
        <v>76</v>
      </c>
      <c r="F361" s="13" t="s">
        <v>62</v>
      </c>
      <c r="G361" s="19">
        <v>5.7504682218956455</v>
      </c>
      <c r="H361" s="13" t="s">
        <v>71</v>
      </c>
      <c r="I361" s="13" t="s">
        <v>78</v>
      </c>
      <c r="J361" s="21" t="str">
        <f>_xlfn.XLOOKUP(F361,'04_Account_Mapping'!$A$6:$A$14,'04_Account_Mapping'!$C$6:$C$14,"Unmapped",0)</f>
        <v>Finance Income</v>
      </c>
      <c r="K361" s="21" t="str">
        <f>_xlfn.XLOOKUP(F361,'04_Account_Mapping'!$A$6:$A$14,'04_Account_Mapping'!$D$6:$D$14,"Unmapped",0)</f>
        <v>Income</v>
      </c>
    </row>
    <row r="362" spans="1:11">
      <c r="A362" s="16">
        <v>45839</v>
      </c>
      <c r="B362" s="13">
        <v>2025</v>
      </c>
      <c r="C362" s="13">
        <v>7</v>
      </c>
      <c r="D362" s="13" t="s">
        <v>75</v>
      </c>
      <c r="E362" s="13" t="s">
        <v>76</v>
      </c>
      <c r="F362" s="13" t="s">
        <v>63</v>
      </c>
      <c r="G362" s="19">
        <v>-2.9193634329560649</v>
      </c>
      <c r="H362" s="13" t="s">
        <v>71</v>
      </c>
      <c r="I362" s="13" t="s">
        <v>78</v>
      </c>
      <c r="J362" s="21" t="str">
        <f>_xlfn.XLOOKUP(F362,'04_Account_Mapping'!$A$6:$A$14,'04_Account_Mapping'!$C$6:$C$14,"Unmapped",0)</f>
        <v>Finance Expense</v>
      </c>
      <c r="K362" s="21" t="str">
        <f>_xlfn.XLOOKUP(F362,'04_Account_Mapping'!$A$6:$A$14,'04_Account_Mapping'!$D$6:$D$14,"Unmapped",0)</f>
        <v>Expense</v>
      </c>
    </row>
    <row r="363" spans="1:11">
      <c r="A363" s="16">
        <v>45839</v>
      </c>
      <c r="B363" s="13">
        <v>2025</v>
      </c>
      <c r="C363" s="13">
        <v>7</v>
      </c>
      <c r="D363" s="13" t="s">
        <v>75</v>
      </c>
      <c r="E363" s="13" t="s">
        <v>76</v>
      </c>
      <c r="F363" s="13" t="s">
        <v>64</v>
      </c>
      <c r="G363" s="19">
        <v>2.9685961839021655E-2</v>
      </c>
      <c r="H363" s="13" t="s">
        <v>71</v>
      </c>
      <c r="I363" s="13" t="s">
        <v>78</v>
      </c>
      <c r="J363" s="21" t="str">
        <f>_xlfn.XLOOKUP(F363,'04_Account_Mapping'!$A$6:$A$14,'04_Account_Mapping'!$C$6:$C$14,"Unmapped",0)</f>
        <v>JV Profit/(Loss)</v>
      </c>
      <c r="K363" s="21" t="str">
        <f>_xlfn.XLOOKUP(F363,'04_Account_Mapping'!$A$6:$A$14,'04_Account_Mapping'!$D$6:$D$14,"Unmapped",0)</f>
        <v>Income</v>
      </c>
    </row>
    <row r="364" spans="1:11">
      <c r="A364" s="16">
        <v>45839</v>
      </c>
      <c r="B364" s="13">
        <v>2025</v>
      </c>
      <c r="C364" s="13">
        <v>7</v>
      </c>
      <c r="D364" s="13" t="s">
        <v>75</v>
      </c>
      <c r="E364" s="13" t="s">
        <v>76</v>
      </c>
      <c r="F364" s="13" t="s">
        <v>65</v>
      </c>
      <c r="G364" s="19">
        <v>-0.12857691858067363</v>
      </c>
      <c r="H364" s="13" t="s">
        <v>71</v>
      </c>
      <c r="I364" s="13" t="s">
        <v>78</v>
      </c>
      <c r="J364" s="21" t="str">
        <f>_xlfn.XLOOKUP(F364,'04_Account_Mapping'!$A$6:$A$14,'04_Account_Mapping'!$C$6:$C$14,"Unmapped",0)</f>
        <v>Other Net</v>
      </c>
      <c r="K364" s="21" t="str">
        <f>_xlfn.XLOOKUP(F364,'04_Account_Mapping'!$A$6:$A$14,'04_Account_Mapping'!$D$6:$D$14,"Unmapped",0)</f>
        <v>Income</v>
      </c>
    </row>
    <row r="365" spans="1:11">
      <c r="A365" s="16">
        <v>45839</v>
      </c>
      <c r="B365" s="13">
        <v>2025</v>
      </c>
      <c r="C365" s="13">
        <v>7</v>
      </c>
      <c r="D365" s="13" t="s">
        <v>75</v>
      </c>
      <c r="E365" s="13" t="s">
        <v>76</v>
      </c>
      <c r="F365" s="13" t="s">
        <v>66</v>
      </c>
      <c r="G365" s="19">
        <v>-2.7625877199262461</v>
      </c>
      <c r="H365" s="13" t="s">
        <v>71</v>
      </c>
      <c r="I365" s="13" t="s">
        <v>78</v>
      </c>
      <c r="J365" s="21" t="str">
        <f>_xlfn.XLOOKUP(F365,'04_Account_Mapping'!$A$6:$A$14,'04_Account_Mapping'!$C$6:$C$14,"Unmapped",0)</f>
        <v>Tax Expense</v>
      </c>
      <c r="K365" s="21" t="str">
        <f>_xlfn.XLOOKUP(F365,'04_Account_Mapping'!$A$6:$A$14,'04_Account_Mapping'!$D$6:$D$14,"Unmapped",0)</f>
        <v>Expense</v>
      </c>
    </row>
    <row r="366" spans="1:11">
      <c r="A366" s="16">
        <v>45870</v>
      </c>
      <c r="B366" s="13">
        <v>2025</v>
      </c>
      <c r="C366" s="13">
        <v>8</v>
      </c>
      <c r="D366" s="13" t="s">
        <v>67</v>
      </c>
      <c r="E366" s="13" t="s">
        <v>68</v>
      </c>
      <c r="F366" s="13" t="s">
        <v>55</v>
      </c>
      <c r="G366" s="19">
        <v>2923.1820508149735</v>
      </c>
      <c r="H366" s="13" t="s">
        <v>69</v>
      </c>
      <c r="I366" s="13" t="s">
        <v>78</v>
      </c>
      <c r="J366" s="21" t="str">
        <f>_xlfn.XLOOKUP(F366,'04_Account_Mapping'!$A$6:$A$14,'04_Account_Mapping'!$C$6:$C$14,"Unmapped",0)</f>
        <v>Revenue</v>
      </c>
      <c r="K366" s="21" t="str">
        <f>_xlfn.XLOOKUP(F366,'04_Account_Mapping'!$A$6:$A$14,'04_Account_Mapping'!$D$6:$D$14,"Unmapped",0)</f>
        <v>Income</v>
      </c>
    </row>
    <row r="367" spans="1:11">
      <c r="A367" s="16">
        <v>45870</v>
      </c>
      <c r="B367" s="13">
        <v>2025</v>
      </c>
      <c r="C367" s="13">
        <v>8</v>
      </c>
      <c r="D367" s="13" t="s">
        <v>67</v>
      </c>
      <c r="E367" s="13" t="s">
        <v>68</v>
      </c>
      <c r="F367" s="13" t="s">
        <v>58</v>
      </c>
      <c r="G367" s="19">
        <v>-2374.6569211314841</v>
      </c>
      <c r="H367" s="13" t="s">
        <v>71</v>
      </c>
      <c r="I367" s="13" t="s">
        <v>78</v>
      </c>
      <c r="J367" s="21" t="str">
        <f>_xlfn.XLOOKUP(F367,'04_Account_Mapping'!$A$6:$A$14,'04_Account_Mapping'!$C$6:$C$14,"Unmapped",0)</f>
        <v>COGS</v>
      </c>
      <c r="K367" s="21" t="str">
        <f>_xlfn.XLOOKUP(F367,'04_Account_Mapping'!$A$6:$A$14,'04_Account_Mapping'!$D$6:$D$14,"Unmapped",0)</f>
        <v>Expense</v>
      </c>
    </row>
    <row r="368" spans="1:11">
      <c r="A368" s="16">
        <v>45870</v>
      </c>
      <c r="B368" s="13">
        <v>2025</v>
      </c>
      <c r="C368" s="13">
        <v>8</v>
      </c>
      <c r="D368" s="13" t="s">
        <v>67</v>
      </c>
      <c r="E368" s="13" t="s">
        <v>68</v>
      </c>
      <c r="F368" s="13" t="s">
        <v>60</v>
      </c>
      <c r="G368" s="19">
        <v>-335.27071128705626</v>
      </c>
      <c r="H368" s="13" t="s">
        <v>71</v>
      </c>
      <c r="I368" s="13" t="s">
        <v>78</v>
      </c>
      <c r="J368" s="21" t="str">
        <f>_xlfn.XLOOKUP(F368,'04_Account_Mapping'!$A$6:$A$14,'04_Account_Mapping'!$C$6:$C$14,"Unmapped",0)</f>
        <v>Selling Expense</v>
      </c>
      <c r="K368" s="21" t="str">
        <f>_xlfn.XLOOKUP(F368,'04_Account_Mapping'!$A$6:$A$14,'04_Account_Mapping'!$D$6:$D$14,"Unmapped",0)</f>
        <v>Expense</v>
      </c>
    </row>
    <row r="369" spans="1:11">
      <c r="A369" s="16">
        <v>45870</v>
      </c>
      <c r="B369" s="13">
        <v>2025</v>
      </c>
      <c r="C369" s="13">
        <v>8</v>
      </c>
      <c r="D369" s="13" t="s">
        <v>67</v>
      </c>
      <c r="E369" s="13" t="s">
        <v>68</v>
      </c>
      <c r="F369" s="13" t="s">
        <v>61</v>
      </c>
      <c r="G369" s="19">
        <v>-82.109054445658117</v>
      </c>
      <c r="H369" s="13" t="s">
        <v>71</v>
      </c>
      <c r="I369" s="13" t="s">
        <v>78</v>
      </c>
      <c r="J369" s="21" t="str">
        <f>_xlfn.XLOOKUP(F369,'04_Account_Mapping'!$A$6:$A$14,'04_Account_Mapping'!$C$6:$C$14,"Unmapped",0)</f>
        <v>G&amp;A</v>
      </c>
      <c r="K369" s="21" t="str">
        <f>_xlfn.XLOOKUP(F369,'04_Account_Mapping'!$A$6:$A$14,'04_Account_Mapping'!$D$6:$D$14,"Unmapped",0)</f>
        <v>Expense</v>
      </c>
    </row>
    <row r="370" spans="1:11">
      <c r="A370" s="16">
        <v>45870</v>
      </c>
      <c r="B370" s="13">
        <v>2025</v>
      </c>
      <c r="C370" s="13">
        <v>8</v>
      </c>
      <c r="D370" s="13" t="s">
        <v>67</v>
      </c>
      <c r="E370" s="13" t="s">
        <v>68</v>
      </c>
      <c r="F370" s="13" t="s">
        <v>62</v>
      </c>
      <c r="G370" s="19">
        <v>59.345216846311551</v>
      </c>
      <c r="H370" s="13" t="s">
        <v>71</v>
      </c>
      <c r="I370" s="13" t="s">
        <v>78</v>
      </c>
      <c r="J370" s="21" t="str">
        <f>_xlfn.XLOOKUP(F370,'04_Account_Mapping'!$A$6:$A$14,'04_Account_Mapping'!$C$6:$C$14,"Unmapped",0)</f>
        <v>Finance Income</v>
      </c>
      <c r="K370" s="21" t="str">
        <f>_xlfn.XLOOKUP(F370,'04_Account_Mapping'!$A$6:$A$14,'04_Account_Mapping'!$D$6:$D$14,"Unmapped",0)</f>
        <v>Income</v>
      </c>
    </row>
    <row r="371" spans="1:11">
      <c r="A371" s="16">
        <v>45870</v>
      </c>
      <c r="B371" s="13">
        <v>2025</v>
      </c>
      <c r="C371" s="13">
        <v>8</v>
      </c>
      <c r="D371" s="13" t="s">
        <v>67</v>
      </c>
      <c r="E371" s="13" t="s">
        <v>68</v>
      </c>
      <c r="F371" s="13" t="s">
        <v>63</v>
      </c>
      <c r="G371" s="19">
        <v>-30.128025979223327</v>
      </c>
      <c r="H371" s="13" t="s">
        <v>71</v>
      </c>
      <c r="I371" s="13" t="s">
        <v>78</v>
      </c>
      <c r="J371" s="21" t="str">
        <f>_xlfn.XLOOKUP(F371,'04_Account_Mapping'!$A$6:$A$14,'04_Account_Mapping'!$C$6:$C$14,"Unmapped",0)</f>
        <v>Finance Expense</v>
      </c>
      <c r="K371" s="21" t="str">
        <f>_xlfn.XLOOKUP(F371,'04_Account_Mapping'!$A$6:$A$14,'04_Account_Mapping'!$D$6:$D$14,"Unmapped",0)</f>
        <v>Expense</v>
      </c>
    </row>
    <row r="372" spans="1:11">
      <c r="A372" s="16">
        <v>45870</v>
      </c>
      <c r="B372" s="13">
        <v>2025</v>
      </c>
      <c r="C372" s="13">
        <v>8</v>
      </c>
      <c r="D372" s="13" t="s">
        <v>67</v>
      </c>
      <c r="E372" s="13" t="s">
        <v>68</v>
      </c>
      <c r="F372" s="13" t="s">
        <v>64</v>
      </c>
      <c r="G372" s="19">
        <v>0.30636111263428872</v>
      </c>
      <c r="H372" s="13" t="s">
        <v>71</v>
      </c>
      <c r="I372" s="13" t="s">
        <v>78</v>
      </c>
      <c r="J372" s="21" t="str">
        <f>_xlfn.XLOOKUP(F372,'04_Account_Mapping'!$A$6:$A$14,'04_Account_Mapping'!$C$6:$C$14,"Unmapped",0)</f>
        <v>JV Profit/(Loss)</v>
      </c>
      <c r="K372" s="21" t="str">
        <f>_xlfn.XLOOKUP(F372,'04_Account_Mapping'!$A$6:$A$14,'04_Account_Mapping'!$D$6:$D$14,"Unmapped",0)</f>
        <v>Income</v>
      </c>
    </row>
    <row r="373" spans="1:11">
      <c r="A373" s="16">
        <v>45870</v>
      </c>
      <c r="B373" s="13">
        <v>2025</v>
      </c>
      <c r="C373" s="13">
        <v>8</v>
      </c>
      <c r="D373" s="13" t="s">
        <v>67</v>
      </c>
      <c r="E373" s="13" t="s">
        <v>68</v>
      </c>
      <c r="F373" s="13" t="s">
        <v>65</v>
      </c>
      <c r="G373" s="19">
        <v>-1.3269224035612959</v>
      </c>
      <c r="H373" s="13" t="s">
        <v>71</v>
      </c>
      <c r="I373" s="13" t="s">
        <v>78</v>
      </c>
      <c r="J373" s="21" t="str">
        <f>_xlfn.XLOOKUP(F373,'04_Account_Mapping'!$A$6:$A$14,'04_Account_Mapping'!$C$6:$C$14,"Unmapped",0)</f>
        <v>Other Net</v>
      </c>
      <c r="K373" s="21" t="str">
        <f>_xlfn.XLOOKUP(F373,'04_Account_Mapping'!$A$6:$A$14,'04_Account_Mapping'!$D$6:$D$14,"Unmapped",0)</f>
        <v>Income</v>
      </c>
    </row>
    <row r="374" spans="1:11">
      <c r="A374" s="16">
        <v>45870</v>
      </c>
      <c r="B374" s="13">
        <v>2025</v>
      </c>
      <c r="C374" s="13">
        <v>8</v>
      </c>
      <c r="D374" s="13" t="s">
        <v>67</v>
      </c>
      <c r="E374" s="13" t="s">
        <v>68</v>
      </c>
      <c r="F374" s="13" t="s">
        <v>66</v>
      </c>
      <c r="G374" s="19">
        <v>-28.510090130006049</v>
      </c>
      <c r="H374" s="13" t="s">
        <v>71</v>
      </c>
      <c r="I374" s="13" t="s">
        <v>78</v>
      </c>
      <c r="J374" s="21" t="str">
        <f>_xlfn.XLOOKUP(F374,'04_Account_Mapping'!$A$6:$A$14,'04_Account_Mapping'!$C$6:$C$14,"Unmapped",0)</f>
        <v>Tax Expense</v>
      </c>
      <c r="K374" s="21" t="str">
        <f>_xlfn.XLOOKUP(F374,'04_Account_Mapping'!$A$6:$A$14,'04_Account_Mapping'!$D$6:$D$14,"Unmapped",0)</f>
        <v>Expense</v>
      </c>
    </row>
    <row r="375" spans="1:11">
      <c r="A375" s="16">
        <v>45870</v>
      </c>
      <c r="B375" s="13">
        <v>2025</v>
      </c>
      <c r="C375" s="13">
        <v>8</v>
      </c>
      <c r="D375" s="13" t="s">
        <v>72</v>
      </c>
      <c r="E375" s="13" t="s">
        <v>68</v>
      </c>
      <c r="F375" s="13" t="s">
        <v>55</v>
      </c>
      <c r="G375" s="19">
        <v>6026.4442184756299</v>
      </c>
      <c r="H375" s="13" t="s">
        <v>69</v>
      </c>
      <c r="I375" s="13" t="s">
        <v>78</v>
      </c>
      <c r="J375" s="21" t="str">
        <f>_xlfn.XLOOKUP(F375,'04_Account_Mapping'!$A$6:$A$14,'04_Account_Mapping'!$C$6:$C$14,"Unmapped",0)</f>
        <v>Revenue</v>
      </c>
      <c r="K375" s="21" t="str">
        <f>_xlfn.XLOOKUP(F375,'04_Account_Mapping'!$A$6:$A$14,'04_Account_Mapping'!$D$6:$D$14,"Unmapped",0)</f>
        <v>Income</v>
      </c>
    </row>
    <row r="376" spans="1:11">
      <c r="A376" s="16">
        <v>45870</v>
      </c>
      <c r="B376" s="13">
        <v>2025</v>
      </c>
      <c r="C376" s="13">
        <v>8</v>
      </c>
      <c r="D376" s="13" t="s">
        <v>72</v>
      </c>
      <c r="E376" s="13" t="s">
        <v>68</v>
      </c>
      <c r="F376" s="13" t="s">
        <v>58</v>
      </c>
      <c r="G376" s="19">
        <v>-4895.602540124446</v>
      </c>
      <c r="H376" s="13" t="s">
        <v>71</v>
      </c>
      <c r="I376" s="13" t="s">
        <v>78</v>
      </c>
      <c r="J376" s="21" t="str">
        <f>_xlfn.XLOOKUP(F376,'04_Account_Mapping'!$A$6:$A$14,'04_Account_Mapping'!$C$6:$C$14,"Unmapped",0)</f>
        <v>COGS</v>
      </c>
      <c r="K376" s="21" t="str">
        <f>_xlfn.XLOOKUP(F376,'04_Account_Mapping'!$A$6:$A$14,'04_Account_Mapping'!$D$6:$D$14,"Unmapped",0)</f>
        <v>Expense</v>
      </c>
    </row>
    <row r="377" spans="1:11">
      <c r="A377" s="16">
        <v>45870</v>
      </c>
      <c r="B377" s="13">
        <v>2025</v>
      </c>
      <c r="C377" s="13">
        <v>8</v>
      </c>
      <c r="D377" s="13" t="s">
        <v>72</v>
      </c>
      <c r="E377" s="13" t="s">
        <v>68</v>
      </c>
      <c r="F377" s="13" t="s">
        <v>60</v>
      </c>
      <c r="G377" s="19">
        <v>-691.19548647227987</v>
      </c>
      <c r="H377" s="13" t="s">
        <v>71</v>
      </c>
      <c r="I377" s="13" t="s">
        <v>78</v>
      </c>
      <c r="J377" s="21" t="str">
        <f>_xlfn.XLOOKUP(F377,'04_Account_Mapping'!$A$6:$A$14,'04_Account_Mapping'!$C$6:$C$14,"Unmapped",0)</f>
        <v>Selling Expense</v>
      </c>
      <c r="K377" s="21" t="str">
        <f>_xlfn.XLOOKUP(F377,'04_Account_Mapping'!$A$6:$A$14,'04_Account_Mapping'!$D$6:$D$14,"Unmapped",0)</f>
        <v>Expense</v>
      </c>
    </row>
    <row r="378" spans="1:11">
      <c r="A378" s="16">
        <v>45870</v>
      </c>
      <c r="B378" s="13">
        <v>2025</v>
      </c>
      <c r="C378" s="13">
        <v>8</v>
      </c>
      <c r="D378" s="13" t="s">
        <v>72</v>
      </c>
      <c r="E378" s="13" t="s">
        <v>68</v>
      </c>
      <c r="F378" s="13" t="s">
        <v>61</v>
      </c>
      <c r="G378" s="19">
        <v>-169.27636659187246</v>
      </c>
      <c r="H378" s="13" t="s">
        <v>71</v>
      </c>
      <c r="I378" s="13" t="s">
        <v>78</v>
      </c>
      <c r="J378" s="21" t="str">
        <f>_xlfn.XLOOKUP(F378,'04_Account_Mapping'!$A$6:$A$14,'04_Account_Mapping'!$C$6:$C$14,"Unmapped",0)</f>
        <v>G&amp;A</v>
      </c>
      <c r="K378" s="21" t="str">
        <f>_xlfn.XLOOKUP(F378,'04_Account_Mapping'!$A$6:$A$14,'04_Account_Mapping'!$D$6:$D$14,"Unmapped",0)</f>
        <v>Expense</v>
      </c>
    </row>
    <row r="379" spans="1:11">
      <c r="A379" s="16">
        <v>45870</v>
      </c>
      <c r="B379" s="13">
        <v>2025</v>
      </c>
      <c r="C379" s="13">
        <v>8</v>
      </c>
      <c r="D379" s="13" t="s">
        <v>72</v>
      </c>
      <c r="E379" s="13" t="s">
        <v>68</v>
      </c>
      <c r="F379" s="13" t="s">
        <v>62</v>
      </c>
      <c r="G379" s="19">
        <v>122.34634475055283</v>
      </c>
      <c r="H379" s="13" t="s">
        <v>71</v>
      </c>
      <c r="I379" s="13" t="s">
        <v>78</v>
      </c>
      <c r="J379" s="21" t="str">
        <f>_xlfn.XLOOKUP(F379,'04_Account_Mapping'!$A$6:$A$14,'04_Account_Mapping'!$C$6:$C$14,"Unmapped",0)</f>
        <v>Finance Income</v>
      </c>
      <c r="K379" s="21" t="str">
        <f>_xlfn.XLOOKUP(F379,'04_Account_Mapping'!$A$6:$A$14,'04_Account_Mapping'!$D$6:$D$14,"Unmapped",0)</f>
        <v>Income</v>
      </c>
    </row>
    <row r="380" spans="1:11">
      <c r="A380" s="16">
        <v>45870</v>
      </c>
      <c r="B380" s="13">
        <v>2025</v>
      </c>
      <c r="C380" s="13">
        <v>8</v>
      </c>
      <c r="D380" s="13" t="s">
        <v>72</v>
      </c>
      <c r="E380" s="13" t="s">
        <v>68</v>
      </c>
      <c r="F380" s="13" t="s">
        <v>63</v>
      </c>
      <c r="G380" s="19">
        <v>-62.112063094378371</v>
      </c>
      <c r="H380" s="13" t="s">
        <v>71</v>
      </c>
      <c r="I380" s="13" t="s">
        <v>78</v>
      </c>
      <c r="J380" s="21" t="str">
        <f>_xlfn.XLOOKUP(F380,'04_Account_Mapping'!$A$6:$A$14,'04_Account_Mapping'!$C$6:$C$14,"Unmapped",0)</f>
        <v>Finance Expense</v>
      </c>
      <c r="K380" s="21" t="str">
        <f>_xlfn.XLOOKUP(F380,'04_Account_Mapping'!$A$6:$A$14,'04_Account_Mapping'!$D$6:$D$14,"Unmapped",0)</f>
        <v>Expense</v>
      </c>
    </row>
    <row r="381" spans="1:11">
      <c r="A381" s="16">
        <v>45870</v>
      </c>
      <c r="B381" s="13">
        <v>2025</v>
      </c>
      <c r="C381" s="13">
        <v>8</v>
      </c>
      <c r="D381" s="13" t="s">
        <v>72</v>
      </c>
      <c r="E381" s="13" t="s">
        <v>68</v>
      </c>
      <c r="F381" s="13" t="s">
        <v>64</v>
      </c>
      <c r="G381" s="19">
        <v>0.63159533819863767</v>
      </c>
      <c r="H381" s="13" t="s">
        <v>71</v>
      </c>
      <c r="I381" s="13" t="s">
        <v>78</v>
      </c>
      <c r="J381" s="21" t="str">
        <f>_xlfn.XLOOKUP(F381,'04_Account_Mapping'!$A$6:$A$14,'04_Account_Mapping'!$C$6:$C$14,"Unmapped",0)</f>
        <v>JV Profit/(Loss)</v>
      </c>
      <c r="K381" s="21" t="str">
        <f>_xlfn.XLOOKUP(F381,'04_Account_Mapping'!$A$6:$A$14,'04_Account_Mapping'!$D$6:$D$14,"Unmapped",0)</f>
        <v>Income</v>
      </c>
    </row>
    <row r="382" spans="1:11">
      <c r="A382" s="16">
        <v>45870</v>
      </c>
      <c r="B382" s="13">
        <v>2025</v>
      </c>
      <c r="C382" s="13">
        <v>8</v>
      </c>
      <c r="D382" s="13" t="s">
        <v>72</v>
      </c>
      <c r="E382" s="13" t="s">
        <v>68</v>
      </c>
      <c r="F382" s="13" t="s">
        <v>65</v>
      </c>
      <c r="G382" s="19">
        <v>-2.7355887208866534</v>
      </c>
      <c r="H382" s="13" t="s">
        <v>71</v>
      </c>
      <c r="I382" s="13" t="s">
        <v>78</v>
      </c>
      <c r="J382" s="21" t="str">
        <f>_xlfn.XLOOKUP(F382,'04_Account_Mapping'!$A$6:$A$14,'04_Account_Mapping'!$C$6:$C$14,"Unmapped",0)</f>
        <v>Other Net</v>
      </c>
      <c r="K382" s="21" t="str">
        <f>_xlfn.XLOOKUP(F382,'04_Account_Mapping'!$A$6:$A$14,'04_Account_Mapping'!$D$6:$D$14,"Unmapped",0)</f>
        <v>Income</v>
      </c>
    </row>
    <row r="383" spans="1:11">
      <c r="A383" s="16">
        <v>45870</v>
      </c>
      <c r="B383" s="13">
        <v>2025</v>
      </c>
      <c r="C383" s="13">
        <v>8</v>
      </c>
      <c r="D383" s="13" t="s">
        <v>72</v>
      </c>
      <c r="E383" s="13" t="s">
        <v>68</v>
      </c>
      <c r="F383" s="13" t="s">
        <v>66</v>
      </c>
      <c r="G383" s="19">
        <v>-58.776519849077737</v>
      </c>
      <c r="H383" s="13" t="s">
        <v>71</v>
      </c>
      <c r="I383" s="13" t="s">
        <v>78</v>
      </c>
      <c r="J383" s="21" t="str">
        <f>_xlfn.XLOOKUP(F383,'04_Account_Mapping'!$A$6:$A$14,'04_Account_Mapping'!$C$6:$C$14,"Unmapped",0)</f>
        <v>Tax Expense</v>
      </c>
      <c r="K383" s="21" t="str">
        <f>_xlfn.XLOOKUP(F383,'04_Account_Mapping'!$A$6:$A$14,'04_Account_Mapping'!$D$6:$D$14,"Unmapped",0)</f>
        <v>Expense</v>
      </c>
    </row>
    <row r="384" spans="1:11">
      <c r="A384" s="16">
        <v>45870</v>
      </c>
      <c r="B384" s="13">
        <v>2025</v>
      </c>
      <c r="C384" s="13">
        <v>8</v>
      </c>
      <c r="D384" s="13" t="s">
        <v>73</v>
      </c>
      <c r="E384" s="13" t="s">
        <v>74</v>
      </c>
      <c r="F384" s="13" t="s">
        <v>55</v>
      </c>
      <c r="G384" s="19">
        <v>3975.2958533059805</v>
      </c>
      <c r="H384" s="13" t="s">
        <v>69</v>
      </c>
      <c r="I384" s="13" t="s">
        <v>78</v>
      </c>
      <c r="J384" s="21" t="str">
        <f>_xlfn.XLOOKUP(F384,'04_Account_Mapping'!$A$6:$A$14,'04_Account_Mapping'!$C$6:$C$14,"Unmapped",0)</f>
        <v>Revenue</v>
      </c>
      <c r="K384" s="21" t="str">
        <f>_xlfn.XLOOKUP(F384,'04_Account_Mapping'!$A$6:$A$14,'04_Account_Mapping'!$D$6:$D$14,"Unmapped",0)</f>
        <v>Income</v>
      </c>
    </row>
    <row r="385" spans="1:11">
      <c r="A385" s="16">
        <v>45870</v>
      </c>
      <c r="B385" s="13">
        <v>2025</v>
      </c>
      <c r="C385" s="13">
        <v>8</v>
      </c>
      <c r="D385" s="13" t="s">
        <v>73</v>
      </c>
      <c r="E385" s="13" t="s">
        <v>74</v>
      </c>
      <c r="F385" s="13" t="s">
        <v>58</v>
      </c>
      <c r="G385" s="19">
        <v>-3229.3451613684151</v>
      </c>
      <c r="H385" s="13" t="s">
        <v>71</v>
      </c>
      <c r="I385" s="13" t="s">
        <v>78</v>
      </c>
      <c r="J385" s="21" t="str">
        <f>_xlfn.XLOOKUP(F385,'04_Account_Mapping'!$A$6:$A$14,'04_Account_Mapping'!$C$6:$C$14,"Unmapped",0)</f>
        <v>COGS</v>
      </c>
      <c r="K385" s="21" t="str">
        <f>_xlfn.XLOOKUP(F385,'04_Account_Mapping'!$A$6:$A$14,'04_Account_Mapping'!$D$6:$D$14,"Unmapped",0)</f>
        <v>Expense</v>
      </c>
    </row>
    <row r="386" spans="1:11">
      <c r="A386" s="16">
        <v>45870</v>
      </c>
      <c r="B386" s="13">
        <v>2025</v>
      </c>
      <c r="C386" s="13">
        <v>8</v>
      </c>
      <c r="D386" s="13" t="s">
        <v>73</v>
      </c>
      <c r="E386" s="13" t="s">
        <v>74</v>
      </c>
      <c r="F386" s="13" t="s">
        <v>60</v>
      </c>
      <c r="G386" s="19">
        <v>-455.94158870221617</v>
      </c>
      <c r="H386" s="13" t="s">
        <v>71</v>
      </c>
      <c r="I386" s="13" t="s">
        <v>78</v>
      </c>
      <c r="J386" s="21" t="str">
        <f>_xlfn.XLOOKUP(F386,'04_Account_Mapping'!$A$6:$A$14,'04_Account_Mapping'!$C$6:$C$14,"Unmapped",0)</f>
        <v>Selling Expense</v>
      </c>
      <c r="K386" s="21" t="str">
        <f>_xlfn.XLOOKUP(F386,'04_Account_Mapping'!$A$6:$A$14,'04_Account_Mapping'!$D$6:$D$14,"Unmapped",0)</f>
        <v>Expense</v>
      </c>
    </row>
    <row r="387" spans="1:11">
      <c r="A387" s="16">
        <v>45870</v>
      </c>
      <c r="B387" s="13">
        <v>2025</v>
      </c>
      <c r="C387" s="13">
        <v>8</v>
      </c>
      <c r="D387" s="13" t="s">
        <v>73</v>
      </c>
      <c r="E387" s="13" t="s">
        <v>74</v>
      </c>
      <c r="F387" s="13" t="s">
        <v>61</v>
      </c>
      <c r="G387" s="19">
        <v>-111.66180483548682</v>
      </c>
      <c r="H387" s="13" t="s">
        <v>71</v>
      </c>
      <c r="I387" s="13" t="s">
        <v>78</v>
      </c>
      <c r="J387" s="21" t="str">
        <f>_xlfn.XLOOKUP(F387,'04_Account_Mapping'!$A$6:$A$14,'04_Account_Mapping'!$C$6:$C$14,"Unmapped",0)</f>
        <v>G&amp;A</v>
      </c>
      <c r="K387" s="21" t="str">
        <f>_xlfn.XLOOKUP(F387,'04_Account_Mapping'!$A$6:$A$14,'04_Account_Mapping'!$D$6:$D$14,"Unmapped",0)</f>
        <v>Expense</v>
      </c>
    </row>
    <row r="388" spans="1:11">
      <c r="A388" s="16">
        <v>45870</v>
      </c>
      <c r="B388" s="13">
        <v>2025</v>
      </c>
      <c r="C388" s="13">
        <v>8</v>
      </c>
      <c r="D388" s="13" t="s">
        <v>73</v>
      </c>
      <c r="E388" s="13" t="s">
        <v>74</v>
      </c>
      <c r="F388" s="13" t="s">
        <v>62</v>
      </c>
      <c r="G388" s="19">
        <v>80.704790307847659</v>
      </c>
      <c r="H388" s="13" t="s">
        <v>71</v>
      </c>
      <c r="I388" s="13" t="s">
        <v>78</v>
      </c>
      <c r="J388" s="21" t="str">
        <f>_xlfn.XLOOKUP(F388,'04_Account_Mapping'!$A$6:$A$14,'04_Account_Mapping'!$C$6:$C$14,"Unmapped",0)</f>
        <v>Finance Income</v>
      </c>
      <c r="K388" s="21" t="str">
        <f>_xlfn.XLOOKUP(F388,'04_Account_Mapping'!$A$6:$A$14,'04_Account_Mapping'!$D$6:$D$14,"Unmapped",0)</f>
        <v>Income</v>
      </c>
    </row>
    <row r="389" spans="1:11">
      <c r="A389" s="16">
        <v>45870</v>
      </c>
      <c r="B389" s="13">
        <v>2025</v>
      </c>
      <c r="C389" s="13">
        <v>8</v>
      </c>
      <c r="D389" s="13" t="s">
        <v>73</v>
      </c>
      <c r="E389" s="13" t="s">
        <v>74</v>
      </c>
      <c r="F389" s="13" t="s">
        <v>63</v>
      </c>
      <c r="G389" s="19">
        <v>-40.971726926863987</v>
      </c>
      <c r="H389" s="13" t="s">
        <v>71</v>
      </c>
      <c r="I389" s="13" t="s">
        <v>78</v>
      </c>
      <c r="J389" s="21" t="str">
        <f>_xlfn.XLOOKUP(F389,'04_Account_Mapping'!$A$6:$A$14,'04_Account_Mapping'!$C$6:$C$14,"Unmapped",0)</f>
        <v>Finance Expense</v>
      </c>
      <c r="K389" s="21" t="str">
        <f>_xlfn.XLOOKUP(F389,'04_Account_Mapping'!$A$6:$A$14,'04_Account_Mapping'!$D$6:$D$14,"Unmapped",0)</f>
        <v>Expense</v>
      </c>
    </row>
    <row r="390" spans="1:11">
      <c r="A390" s="16">
        <v>45870</v>
      </c>
      <c r="B390" s="13">
        <v>2025</v>
      </c>
      <c r="C390" s="13">
        <v>8</v>
      </c>
      <c r="D390" s="13" t="s">
        <v>73</v>
      </c>
      <c r="E390" s="13" t="s">
        <v>74</v>
      </c>
      <c r="F390" s="13" t="s">
        <v>64</v>
      </c>
      <c r="G390" s="19">
        <v>0.41662682634827841</v>
      </c>
      <c r="H390" s="13" t="s">
        <v>71</v>
      </c>
      <c r="I390" s="13" t="s">
        <v>78</v>
      </c>
      <c r="J390" s="21" t="str">
        <f>_xlfn.XLOOKUP(F390,'04_Account_Mapping'!$A$6:$A$14,'04_Account_Mapping'!$C$6:$C$14,"Unmapped",0)</f>
        <v>JV Profit/(Loss)</v>
      </c>
      <c r="K390" s="21" t="str">
        <f>_xlfn.XLOOKUP(F390,'04_Account_Mapping'!$A$6:$A$14,'04_Account_Mapping'!$D$6:$D$14,"Unmapped",0)</f>
        <v>Income</v>
      </c>
    </row>
    <row r="391" spans="1:11">
      <c r="A391" s="16">
        <v>45870</v>
      </c>
      <c r="B391" s="13">
        <v>2025</v>
      </c>
      <c r="C391" s="13">
        <v>8</v>
      </c>
      <c r="D391" s="13" t="s">
        <v>73</v>
      </c>
      <c r="E391" s="13" t="s">
        <v>74</v>
      </c>
      <c r="F391" s="13" t="s">
        <v>65</v>
      </c>
      <c r="G391" s="19">
        <v>-1.8045092768222892</v>
      </c>
      <c r="H391" s="13" t="s">
        <v>71</v>
      </c>
      <c r="I391" s="13" t="s">
        <v>78</v>
      </c>
      <c r="J391" s="21" t="str">
        <f>_xlfn.XLOOKUP(F391,'04_Account_Mapping'!$A$6:$A$14,'04_Account_Mapping'!$C$6:$C$14,"Unmapped",0)</f>
        <v>Other Net</v>
      </c>
      <c r="K391" s="21" t="str">
        <f>_xlfn.XLOOKUP(F391,'04_Account_Mapping'!$A$6:$A$14,'04_Account_Mapping'!$D$6:$D$14,"Unmapped",0)</f>
        <v>Income</v>
      </c>
    </row>
    <row r="392" spans="1:11">
      <c r="A392" s="16">
        <v>45870</v>
      </c>
      <c r="B392" s="13">
        <v>2025</v>
      </c>
      <c r="C392" s="13">
        <v>8</v>
      </c>
      <c r="D392" s="13" t="s">
        <v>73</v>
      </c>
      <c r="E392" s="13" t="s">
        <v>74</v>
      </c>
      <c r="F392" s="13" t="s">
        <v>66</v>
      </c>
      <c r="G392" s="19">
        <v>-38.771462434094751</v>
      </c>
      <c r="H392" s="13" t="s">
        <v>71</v>
      </c>
      <c r="I392" s="13" t="s">
        <v>78</v>
      </c>
      <c r="J392" s="21" t="str">
        <f>_xlfn.XLOOKUP(F392,'04_Account_Mapping'!$A$6:$A$14,'04_Account_Mapping'!$C$6:$C$14,"Unmapped",0)</f>
        <v>Tax Expense</v>
      </c>
      <c r="K392" s="21" t="str">
        <f>_xlfn.XLOOKUP(F392,'04_Account_Mapping'!$A$6:$A$14,'04_Account_Mapping'!$D$6:$D$14,"Unmapped",0)</f>
        <v>Expense</v>
      </c>
    </row>
    <row r="393" spans="1:11">
      <c r="A393" s="16">
        <v>45870</v>
      </c>
      <c r="B393" s="13">
        <v>2025</v>
      </c>
      <c r="C393" s="13">
        <v>8</v>
      </c>
      <c r="D393" s="13" t="s">
        <v>75</v>
      </c>
      <c r="E393" s="13" t="s">
        <v>76</v>
      </c>
      <c r="F393" s="13" t="s">
        <v>55</v>
      </c>
      <c r="G393" s="19">
        <v>392.97411146681287</v>
      </c>
      <c r="H393" s="13" t="s">
        <v>69</v>
      </c>
      <c r="I393" s="13" t="s">
        <v>78</v>
      </c>
      <c r="J393" s="21" t="str">
        <f>_xlfn.XLOOKUP(F393,'04_Account_Mapping'!$A$6:$A$14,'04_Account_Mapping'!$C$6:$C$14,"Unmapped",0)</f>
        <v>Revenue</v>
      </c>
      <c r="K393" s="21" t="str">
        <f>_xlfn.XLOOKUP(F393,'04_Account_Mapping'!$A$6:$A$14,'04_Account_Mapping'!$D$6:$D$14,"Unmapped",0)</f>
        <v>Income</v>
      </c>
    </row>
    <row r="394" spans="1:11">
      <c r="A394" s="16">
        <v>45870</v>
      </c>
      <c r="B394" s="13">
        <v>2025</v>
      </c>
      <c r="C394" s="13">
        <v>8</v>
      </c>
      <c r="D394" s="13" t="s">
        <v>75</v>
      </c>
      <c r="E394" s="13" t="s">
        <v>76</v>
      </c>
      <c r="F394" s="13" t="s">
        <v>58</v>
      </c>
      <c r="G394" s="19">
        <v>-319.23386138745462</v>
      </c>
      <c r="H394" s="13" t="s">
        <v>71</v>
      </c>
      <c r="I394" s="13" t="s">
        <v>78</v>
      </c>
      <c r="J394" s="21" t="str">
        <f>_xlfn.XLOOKUP(F394,'04_Account_Mapping'!$A$6:$A$14,'04_Account_Mapping'!$C$6:$C$14,"Unmapped",0)</f>
        <v>COGS</v>
      </c>
      <c r="K394" s="21" t="str">
        <f>_xlfn.XLOOKUP(F394,'04_Account_Mapping'!$A$6:$A$14,'04_Account_Mapping'!$D$6:$D$14,"Unmapped",0)</f>
        <v>Expense</v>
      </c>
    </row>
    <row r="395" spans="1:11">
      <c r="A395" s="16">
        <v>45870</v>
      </c>
      <c r="B395" s="13">
        <v>2025</v>
      </c>
      <c r="C395" s="13">
        <v>8</v>
      </c>
      <c r="D395" s="13" t="s">
        <v>75</v>
      </c>
      <c r="E395" s="13" t="s">
        <v>76</v>
      </c>
      <c r="F395" s="13" t="s">
        <v>60</v>
      </c>
      <c r="G395" s="19">
        <v>-45.071674489840646</v>
      </c>
      <c r="H395" s="13" t="s">
        <v>71</v>
      </c>
      <c r="I395" s="13" t="s">
        <v>78</v>
      </c>
      <c r="J395" s="21" t="str">
        <f>_xlfn.XLOOKUP(F395,'04_Account_Mapping'!$A$6:$A$14,'04_Account_Mapping'!$C$6:$C$14,"Unmapped",0)</f>
        <v>Selling Expense</v>
      </c>
      <c r="K395" s="21" t="str">
        <f>_xlfn.XLOOKUP(F395,'04_Account_Mapping'!$A$6:$A$14,'04_Account_Mapping'!$D$6:$D$14,"Unmapped",0)</f>
        <v>Expense</v>
      </c>
    </row>
    <row r="396" spans="1:11">
      <c r="A396" s="16">
        <v>45870</v>
      </c>
      <c r="B396" s="13">
        <v>2025</v>
      </c>
      <c r="C396" s="13">
        <v>8</v>
      </c>
      <c r="D396" s="13" t="s">
        <v>75</v>
      </c>
      <c r="E396" s="13" t="s">
        <v>76</v>
      </c>
      <c r="F396" s="13" t="s">
        <v>61</v>
      </c>
      <c r="G396" s="19">
        <v>-11.03822209949832</v>
      </c>
      <c r="H396" s="13" t="s">
        <v>71</v>
      </c>
      <c r="I396" s="13" t="s">
        <v>78</v>
      </c>
      <c r="J396" s="21" t="str">
        <f>_xlfn.XLOOKUP(F396,'04_Account_Mapping'!$A$6:$A$14,'04_Account_Mapping'!$C$6:$C$14,"Unmapped",0)</f>
        <v>G&amp;A</v>
      </c>
      <c r="K396" s="21" t="str">
        <f>_xlfn.XLOOKUP(F396,'04_Account_Mapping'!$A$6:$A$14,'04_Account_Mapping'!$D$6:$D$14,"Unmapped",0)</f>
        <v>Expense</v>
      </c>
    </row>
    <row r="397" spans="1:11">
      <c r="A397" s="16">
        <v>45870</v>
      </c>
      <c r="B397" s="13">
        <v>2025</v>
      </c>
      <c r="C397" s="13">
        <v>8</v>
      </c>
      <c r="D397" s="13" t="s">
        <v>75</v>
      </c>
      <c r="E397" s="13" t="s">
        <v>76</v>
      </c>
      <c r="F397" s="13" t="s">
        <v>62</v>
      </c>
      <c r="G397" s="19">
        <v>7.9779957096694556</v>
      </c>
      <c r="H397" s="13" t="s">
        <v>71</v>
      </c>
      <c r="I397" s="13" t="s">
        <v>78</v>
      </c>
      <c r="J397" s="21" t="str">
        <f>_xlfn.XLOOKUP(F397,'04_Account_Mapping'!$A$6:$A$14,'04_Account_Mapping'!$C$6:$C$14,"Unmapped",0)</f>
        <v>Finance Income</v>
      </c>
      <c r="K397" s="21" t="str">
        <f>_xlfn.XLOOKUP(F397,'04_Account_Mapping'!$A$6:$A$14,'04_Account_Mapping'!$D$6:$D$14,"Unmapped",0)</f>
        <v>Income</v>
      </c>
    </row>
    <row r="398" spans="1:11">
      <c r="A398" s="16">
        <v>45870</v>
      </c>
      <c r="B398" s="13">
        <v>2025</v>
      </c>
      <c r="C398" s="13">
        <v>8</v>
      </c>
      <c r="D398" s="13" t="s">
        <v>75</v>
      </c>
      <c r="E398" s="13" t="s">
        <v>76</v>
      </c>
      <c r="F398" s="13" t="s">
        <v>63</v>
      </c>
      <c r="G398" s="19">
        <v>-4.0502213114415913</v>
      </c>
      <c r="H398" s="13" t="s">
        <v>71</v>
      </c>
      <c r="I398" s="13" t="s">
        <v>78</v>
      </c>
      <c r="J398" s="21" t="str">
        <f>_xlfn.XLOOKUP(F398,'04_Account_Mapping'!$A$6:$A$14,'04_Account_Mapping'!$C$6:$C$14,"Unmapped",0)</f>
        <v>Finance Expense</v>
      </c>
      <c r="K398" s="21" t="str">
        <f>_xlfn.XLOOKUP(F398,'04_Account_Mapping'!$A$6:$A$14,'04_Account_Mapping'!$D$6:$D$14,"Unmapped",0)</f>
        <v>Expense</v>
      </c>
    </row>
    <row r="399" spans="1:11">
      <c r="A399" s="16">
        <v>45870</v>
      </c>
      <c r="B399" s="13">
        <v>2025</v>
      </c>
      <c r="C399" s="13">
        <v>8</v>
      </c>
      <c r="D399" s="13" t="s">
        <v>75</v>
      </c>
      <c r="E399" s="13" t="s">
        <v>76</v>
      </c>
      <c r="F399" s="13" t="s">
        <v>64</v>
      </c>
      <c r="G399" s="19">
        <v>4.1185250843983154E-2</v>
      </c>
      <c r="H399" s="13" t="s">
        <v>71</v>
      </c>
      <c r="I399" s="13" t="s">
        <v>78</v>
      </c>
      <c r="J399" s="21" t="str">
        <f>_xlfn.XLOOKUP(F399,'04_Account_Mapping'!$A$6:$A$14,'04_Account_Mapping'!$C$6:$C$14,"Unmapped",0)</f>
        <v>JV Profit/(Loss)</v>
      </c>
      <c r="K399" s="21" t="str">
        <f>_xlfn.XLOOKUP(F399,'04_Account_Mapping'!$A$6:$A$14,'04_Account_Mapping'!$D$6:$D$14,"Unmapped",0)</f>
        <v>Income</v>
      </c>
    </row>
    <row r="400" spans="1:11">
      <c r="A400" s="16">
        <v>45870</v>
      </c>
      <c r="B400" s="13">
        <v>2025</v>
      </c>
      <c r="C400" s="13">
        <v>8</v>
      </c>
      <c r="D400" s="13" t="s">
        <v>75</v>
      </c>
      <c r="E400" s="13" t="s">
        <v>76</v>
      </c>
      <c r="F400" s="13" t="s">
        <v>65</v>
      </c>
      <c r="G400" s="19">
        <v>-0.17838305772968555</v>
      </c>
      <c r="H400" s="13" t="s">
        <v>71</v>
      </c>
      <c r="I400" s="13" t="s">
        <v>78</v>
      </c>
      <c r="J400" s="21" t="str">
        <f>_xlfn.XLOOKUP(F400,'04_Account_Mapping'!$A$6:$A$14,'04_Account_Mapping'!$C$6:$C$14,"Unmapped",0)</f>
        <v>Other Net</v>
      </c>
      <c r="K400" s="21" t="str">
        <f>_xlfn.XLOOKUP(F400,'04_Account_Mapping'!$A$6:$A$14,'04_Account_Mapping'!$D$6:$D$14,"Unmapped",0)</f>
        <v>Income</v>
      </c>
    </row>
    <row r="401" spans="1:11">
      <c r="A401" s="16">
        <v>45870</v>
      </c>
      <c r="B401" s="13">
        <v>2025</v>
      </c>
      <c r="C401" s="13">
        <v>8</v>
      </c>
      <c r="D401" s="13" t="s">
        <v>75</v>
      </c>
      <c r="E401" s="13" t="s">
        <v>76</v>
      </c>
      <c r="F401" s="13" t="s">
        <v>66</v>
      </c>
      <c r="G401" s="19">
        <v>-3.8327162461723234</v>
      </c>
      <c r="H401" s="13" t="s">
        <v>71</v>
      </c>
      <c r="I401" s="13" t="s">
        <v>78</v>
      </c>
      <c r="J401" s="21" t="str">
        <f>_xlfn.XLOOKUP(F401,'04_Account_Mapping'!$A$6:$A$14,'04_Account_Mapping'!$C$6:$C$14,"Unmapped",0)</f>
        <v>Tax Expense</v>
      </c>
      <c r="K401" s="21" t="str">
        <f>_xlfn.XLOOKUP(F401,'04_Account_Mapping'!$A$6:$A$14,'04_Account_Mapping'!$D$6:$D$14,"Unmapped",0)</f>
        <v>Expense</v>
      </c>
    </row>
    <row r="402" spans="1:11">
      <c r="A402" s="16">
        <v>45901</v>
      </c>
      <c r="B402" s="13">
        <v>2025</v>
      </c>
      <c r="C402" s="13">
        <v>9</v>
      </c>
      <c r="D402" s="13" t="s">
        <v>67</v>
      </c>
      <c r="E402" s="13" t="s">
        <v>68</v>
      </c>
      <c r="F402" s="13" t="s">
        <v>55</v>
      </c>
      <c r="G402" s="19">
        <v>3541.6086906166361</v>
      </c>
      <c r="H402" s="13" t="s">
        <v>69</v>
      </c>
      <c r="I402" s="13" t="s">
        <v>78</v>
      </c>
      <c r="J402" s="21" t="str">
        <f>_xlfn.XLOOKUP(F402,'04_Account_Mapping'!$A$6:$A$14,'04_Account_Mapping'!$C$6:$C$14,"Unmapped",0)</f>
        <v>Revenue</v>
      </c>
      <c r="K402" s="21" t="str">
        <f>_xlfn.XLOOKUP(F402,'04_Account_Mapping'!$A$6:$A$14,'04_Account_Mapping'!$D$6:$D$14,"Unmapped",0)</f>
        <v>Income</v>
      </c>
    </row>
    <row r="403" spans="1:11">
      <c r="A403" s="16">
        <v>45901</v>
      </c>
      <c r="B403" s="13">
        <v>2025</v>
      </c>
      <c r="C403" s="13">
        <v>9</v>
      </c>
      <c r="D403" s="13" t="s">
        <v>67</v>
      </c>
      <c r="E403" s="13" t="s">
        <v>68</v>
      </c>
      <c r="F403" s="13" t="s">
        <v>58</v>
      </c>
      <c r="G403" s="19">
        <v>-2877.0379137924365</v>
      </c>
      <c r="H403" s="13" t="s">
        <v>71</v>
      </c>
      <c r="I403" s="13" t="s">
        <v>78</v>
      </c>
      <c r="J403" s="21" t="str">
        <f>_xlfn.XLOOKUP(F403,'04_Account_Mapping'!$A$6:$A$14,'04_Account_Mapping'!$C$6:$C$14,"Unmapped",0)</f>
        <v>COGS</v>
      </c>
      <c r="K403" s="21" t="str">
        <f>_xlfn.XLOOKUP(F403,'04_Account_Mapping'!$A$6:$A$14,'04_Account_Mapping'!$D$6:$D$14,"Unmapped",0)</f>
        <v>Expense</v>
      </c>
    </row>
    <row r="404" spans="1:11">
      <c r="A404" s="16">
        <v>45901</v>
      </c>
      <c r="B404" s="13">
        <v>2025</v>
      </c>
      <c r="C404" s="13">
        <v>9</v>
      </c>
      <c r="D404" s="13" t="s">
        <v>67</v>
      </c>
      <c r="E404" s="13" t="s">
        <v>68</v>
      </c>
      <c r="F404" s="13" t="s">
        <v>60</v>
      </c>
      <c r="G404" s="19">
        <v>-406.20038169446786</v>
      </c>
      <c r="H404" s="13" t="s">
        <v>71</v>
      </c>
      <c r="I404" s="13" t="s">
        <v>78</v>
      </c>
      <c r="J404" s="21" t="str">
        <f>_xlfn.XLOOKUP(F404,'04_Account_Mapping'!$A$6:$A$14,'04_Account_Mapping'!$C$6:$C$14,"Unmapped",0)</f>
        <v>Selling Expense</v>
      </c>
      <c r="K404" s="21" t="str">
        <f>_xlfn.XLOOKUP(F404,'04_Account_Mapping'!$A$6:$A$14,'04_Account_Mapping'!$D$6:$D$14,"Unmapped",0)</f>
        <v>Expense</v>
      </c>
    </row>
    <row r="405" spans="1:11">
      <c r="A405" s="16">
        <v>45901</v>
      </c>
      <c r="B405" s="13">
        <v>2025</v>
      </c>
      <c r="C405" s="13">
        <v>9</v>
      </c>
      <c r="D405" s="13" t="s">
        <v>67</v>
      </c>
      <c r="E405" s="13" t="s">
        <v>68</v>
      </c>
      <c r="F405" s="13" t="s">
        <v>61</v>
      </c>
      <c r="G405" s="19">
        <v>-99.479996711796915</v>
      </c>
      <c r="H405" s="13" t="s">
        <v>71</v>
      </c>
      <c r="I405" s="13" t="s">
        <v>78</v>
      </c>
      <c r="J405" s="21" t="str">
        <f>_xlfn.XLOOKUP(F405,'04_Account_Mapping'!$A$6:$A$14,'04_Account_Mapping'!$C$6:$C$14,"Unmapped",0)</f>
        <v>G&amp;A</v>
      </c>
      <c r="K405" s="21" t="str">
        <f>_xlfn.XLOOKUP(F405,'04_Account_Mapping'!$A$6:$A$14,'04_Account_Mapping'!$D$6:$D$14,"Unmapped",0)</f>
        <v>Expense</v>
      </c>
    </row>
    <row r="406" spans="1:11">
      <c r="A406" s="16">
        <v>45901</v>
      </c>
      <c r="B406" s="13">
        <v>2025</v>
      </c>
      <c r="C406" s="13">
        <v>9</v>
      </c>
      <c r="D406" s="13" t="s">
        <v>67</v>
      </c>
      <c r="E406" s="13" t="s">
        <v>68</v>
      </c>
      <c r="F406" s="13" t="s">
        <v>62</v>
      </c>
      <c r="G406" s="19">
        <v>71.900255295707282</v>
      </c>
      <c r="H406" s="13" t="s">
        <v>71</v>
      </c>
      <c r="I406" s="13" t="s">
        <v>78</v>
      </c>
      <c r="J406" s="21" t="str">
        <f>_xlfn.XLOOKUP(F406,'04_Account_Mapping'!$A$6:$A$14,'04_Account_Mapping'!$C$6:$C$14,"Unmapped",0)</f>
        <v>Finance Income</v>
      </c>
      <c r="K406" s="21" t="str">
        <f>_xlfn.XLOOKUP(F406,'04_Account_Mapping'!$A$6:$A$14,'04_Account_Mapping'!$D$6:$D$14,"Unmapped",0)</f>
        <v>Income</v>
      </c>
    </row>
    <row r="407" spans="1:11">
      <c r="A407" s="16">
        <v>45901</v>
      </c>
      <c r="B407" s="13">
        <v>2025</v>
      </c>
      <c r="C407" s="13">
        <v>9</v>
      </c>
      <c r="D407" s="13" t="s">
        <v>67</v>
      </c>
      <c r="E407" s="13" t="s">
        <v>68</v>
      </c>
      <c r="F407" s="13" t="s">
        <v>63</v>
      </c>
      <c r="G407" s="19">
        <v>-36.501893068682826</v>
      </c>
      <c r="H407" s="13" t="s">
        <v>71</v>
      </c>
      <c r="I407" s="13" t="s">
        <v>78</v>
      </c>
      <c r="J407" s="21" t="str">
        <f>_xlfn.XLOOKUP(F407,'04_Account_Mapping'!$A$6:$A$14,'04_Account_Mapping'!$C$6:$C$14,"Unmapped",0)</f>
        <v>Finance Expense</v>
      </c>
      <c r="K407" s="21" t="str">
        <f>_xlfn.XLOOKUP(F407,'04_Account_Mapping'!$A$6:$A$14,'04_Account_Mapping'!$D$6:$D$14,"Unmapped",0)</f>
        <v>Expense</v>
      </c>
    </row>
    <row r="408" spans="1:11">
      <c r="A408" s="16">
        <v>45901</v>
      </c>
      <c r="B408" s="13">
        <v>2025</v>
      </c>
      <c r="C408" s="13">
        <v>9</v>
      </c>
      <c r="D408" s="13" t="s">
        <v>67</v>
      </c>
      <c r="E408" s="13" t="s">
        <v>68</v>
      </c>
      <c r="F408" s="13" t="s">
        <v>64</v>
      </c>
      <c r="G408" s="19">
        <v>0.37117468570596945</v>
      </c>
      <c r="H408" s="13" t="s">
        <v>71</v>
      </c>
      <c r="I408" s="13" t="s">
        <v>78</v>
      </c>
      <c r="J408" s="21" t="str">
        <f>_xlfn.XLOOKUP(F408,'04_Account_Mapping'!$A$6:$A$14,'04_Account_Mapping'!$C$6:$C$14,"Unmapped",0)</f>
        <v>JV Profit/(Loss)</v>
      </c>
      <c r="K408" s="21" t="str">
        <f>_xlfn.XLOOKUP(F408,'04_Account_Mapping'!$A$6:$A$14,'04_Account_Mapping'!$D$6:$D$14,"Unmapped",0)</f>
        <v>Income</v>
      </c>
    </row>
    <row r="409" spans="1:11">
      <c r="A409" s="16">
        <v>45901</v>
      </c>
      <c r="B409" s="13">
        <v>2025</v>
      </c>
      <c r="C409" s="13">
        <v>9</v>
      </c>
      <c r="D409" s="13" t="s">
        <v>67</v>
      </c>
      <c r="E409" s="13" t="s">
        <v>68</v>
      </c>
      <c r="F409" s="13" t="s">
        <v>65</v>
      </c>
      <c r="G409" s="19">
        <v>-1.6076453106697244</v>
      </c>
      <c r="H409" s="13" t="s">
        <v>71</v>
      </c>
      <c r="I409" s="13" t="s">
        <v>78</v>
      </c>
      <c r="J409" s="21" t="str">
        <f>_xlfn.XLOOKUP(F409,'04_Account_Mapping'!$A$6:$A$14,'04_Account_Mapping'!$C$6:$C$14,"Unmapped",0)</f>
        <v>Other Net</v>
      </c>
      <c r="K409" s="21" t="str">
        <f>_xlfn.XLOOKUP(F409,'04_Account_Mapping'!$A$6:$A$14,'04_Account_Mapping'!$D$6:$D$14,"Unmapped",0)</f>
        <v>Income</v>
      </c>
    </row>
    <row r="410" spans="1:11">
      <c r="A410" s="16">
        <v>45901</v>
      </c>
      <c r="B410" s="13">
        <v>2025</v>
      </c>
      <c r="C410" s="13">
        <v>9</v>
      </c>
      <c r="D410" s="13" t="s">
        <v>67</v>
      </c>
      <c r="E410" s="13" t="s">
        <v>68</v>
      </c>
      <c r="F410" s="13" t="s">
        <v>66</v>
      </c>
      <c r="G410" s="19">
        <v>-34.541667682497724</v>
      </c>
      <c r="H410" s="13" t="s">
        <v>71</v>
      </c>
      <c r="I410" s="13" t="s">
        <v>78</v>
      </c>
      <c r="J410" s="21" t="str">
        <f>_xlfn.XLOOKUP(F410,'04_Account_Mapping'!$A$6:$A$14,'04_Account_Mapping'!$C$6:$C$14,"Unmapped",0)</f>
        <v>Tax Expense</v>
      </c>
      <c r="K410" s="21" t="str">
        <f>_xlfn.XLOOKUP(F410,'04_Account_Mapping'!$A$6:$A$14,'04_Account_Mapping'!$D$6:$D$14,"Unmapped",0)</f>
        <v>Expense</v>
      </c>
    </row>
    <row r="411" spans="1:11">
      <c r="A411" s="16">
        <v>45901</v>
      </c>
      <c r="B411" s="13">
        <v>2025</v>
      </c>
      <c r="C411" s="13">
        <v>9</v>
      </c>
      <c r="D411" s="13" t="s">
        <v>72</v>
      </c>
      <c r="E411" s="13" t="s">
        <v>68</v>
      </c>
      <c r="F411" s="13" t="s">
        <v>55</v>
      </c>
      <c r="G411" s="19">
        <v>5864.8612910436486</v>
      </c>
      <c r="H411" s="13" t="s">
        <v>69</v>
      </c>
      <c r="I411" s="13" t="s">
        <v>78</v>
      </c>
      <c r="J411" s="21" t="str">
        <f>_xlfn.XLOOKUP(F411,'04_Account_Mapping'!$A$6:$A$14,'04_Account_Mapping'!$C$6:$C$14,"Unmapped",0)</f>
        <v>Revenue</v>
      </c>
      <c r="K411" s="21" t="str">
        <f>_xlfn.XLOOKUP(F411,'04_Account_Mapping'!$A$6:$A$14,'04_Account_Mapping'!$D$6:$D$14,"Unmapped",0)</f>
        <v>Income</v>
      </c>
    </row>
    <row r="412" spans="1:11">
      <c r="A412" s="16">
        <v>45901</v>
      </c>
      <c r="B412" s="13">
        <v>2025</v>
      </c>
      <c r="C412" s="13">
        <v>9</v>
      </c>
      <c r="D412" s="13" t="s">
        <v>72</v>
      </c>
      <c r="E412" s="13" t="s">
        <v>68</v>
      </c>
      <c r="F412" s="13" t="s">
        <v>58</v>
      </c>
      <c r="G412" s="19">
        <v>-4764.340097247833</v>
      </c>
      <c r="H412" s="13" t="s">
        <v>71</v>
      </c>
      <c r="I412" s="13" t="s">
        <v>78</v>
      </c>
      <c r="J412" s="21" t="str">
        <f>_xlfn.XLOOKUP(F412,'04_Account_Mapping'!$A$6:$A$14,'04_Account_Mapping'!$C$6:$C$14,"Unmapped",0)</f>
        <v>COGS</v>
      </c>
      <c r="K412" s="21" t="str">
        <f>_xlfn.XLOOKUP(F412,'04_Account_Mapping'!$A$6:$A$14,'04_Account_Mapping'!$D$6:$D$14,"Unmapped",0)</f>
        <v>Expense</v>
      </c>
    </row>
    <row r="413" spans="1:11">
      <c r="A413" s="16">
        <v>45901</v>
      </c>
      <c r="B413" s="13">
        <v>2025</v>
      </c>
      <c r="C413" s="13">
        <v>9</v>
      </c>
      <c r="D413" s="13" t="s">
        <v>72</v>
      </c>
      <c r="E413" s="13" t="s">
        <v>68</v>
      </c>
      <c r="F413" s="13" t="s">
        <v>60</v>
      </c>
      <c r="G413" s="19">
        <v>-672.66293459209112</v>
      </c>
      <c r="H413" s="13" t="s">
        <v>71</v>
      </c>
      <c r="I413" s="13" t="s">
        <v>78</v>
      </c>
      <c r="J413" s="21" t="str">
        <f>_xlfn.XLOOKUP(F413,'04_Account_Mapping'!$A$6:$A$14,'04_Account_Mapping'!$C$6:$C$14,"Unmapped",0)</f>
        <v>Selling Expense</v>
      </c>
      <c r="K413" s="21" t="str">
        <f>_xlfn.XLOOKUP(F413,'04_Account_Mapping'!$A$6:$A$14,'04_Account_Mapping'!$D$6:$D$14,"Unmapped",0)</f>
        <v>Expense</v>
      </c>
    </row>
    <row r="414" spans="1:11">
      <c r="A414" s="16">
        <v>45901</v>
      </c>
      <c r="B414" s="13">
        <v>2025</v>
      </c>
      <c r="C414" s="13">
        <v>9</v>
      </c>
      <c r="D414" s="13" t="s">
        <v>72</v>
      </c>
      <c r="E414" s="13" t="s">
        <v>68</v>
      </c>
      <c r="F414" s="13" t="s">
        <v>61</v>
      </c>
      <c r="G414" s="19">
        <v>-164.73767514010251</v>
      </c>
      <c r="H414" s="13" t="s">
        <v>71</v>
      </c>
      <c r="I414" s="13" t="s">
        <v>78</v>
      </c>
      <c r="J414" s="21" t="str">
        <f>_xlfn.XLOOKUP(F414,'04_Account_Mapping'!$A$6:$A$14,'04_Account_Mapping'!$C$6:$C$14,"Unmapped",0)</f>
        <v>G&amp;A</v>
      </c>
      <c r="K414" s="21" t="str">
        <f>_xlfn.XLOOKUP(F414,'04_Account_Mapping'!$A$6:$A$14,'04_Account_Mapping'!$D$6:$D$14,"Unmapped",0)</f>
        <v>Expense</v>
      </c>
    </row>
    <row r="415" spans="1:11">
      <c r="A415" s="16">
        <v>45901</v>
      </c>
      <c r="B415" s="13">
        <v>2025</v>
      </c>
      <c r="C415" s="13">
        <v>9</v>
      </c>
      <c r="D415" s="13" t="s">
        <v>72</v>
      </c>
      <c r="E415" s="13" t="s">
        <v>68</v>
      </c>
      <c r="F415" s="13" t="s">
        <v>62</v>
      </c>
      <c r="G415" s="19">
        <v>119.06595587965124</v>
      </c>
      <c r="H415" s="13" t="s">
        <v>71</v>
      </c>
      <c r="I415" s="13" t="s">
        <v>78</v>
      </c>
      <c r="J415" s="21" t="str">
        <f>_xlfn.XLOOKUP(F415,'04_Account_Mapping'!$A$6:$A$14,'04_Account_Mapping'!$C$6:$C$14,"Unmapped",0)</f>
        <v>Finance Income</v>
      </c>
      <c r="K415" s="21" t="str">
        <f>_xlfn.XLOOKUP(F415,'04_Account_Mapping'!$A$6:$A$14,'04_Account_Mapping'!$D$6:$D$14,"Unmapped",0)</f>
        <v>Income</v>
      </c>
    </row>
    <row r="416" spans="1:11">
      <c r="A416" s="16">
        <v>45901</v>
      </c>
      <c r="B416" s="13">
        <v>2025</v>
      </c>
      <c r="C416" s="13">
        <v>9</v>
      </c>
      <c r="D416" s="13" t="s">
        <v>72</v>
      </c>
      <c r="E416" s="13" t="s">
        <v>68</v>
      </c>
      <c r="F416" s="13" t="s">
        <v>63</v>
      </c>
      <c r="G416" s="19">
        <v>-60.446694824170073</v>
      </c>
      <c r="H416" s="13" t="s">
        <v>71</v>
      </c>
      <c r="I416" s="13" t="s">
        <v>78</v>
      </c>
      <c r="J416" s="21" t="str">
        <f>_xlfn.XLOOKUP(F416,'04_Account_Mapping'!$A$6:$A$14,'04_Account_Mapping'!$C$6:$C$14,"Unmapped",0)</f>
        <v>Finance Expense</v>
      </c>
      <c r="K416" s="21" t="str">
        <f>_xlfn.XLOOKUP(F416,'04_Account_Mapping'!$A$6:$A$14,'04_Account_Mapping'!$D$6:$D$14,"Unmapped",0)</f>
        <v>Expense</v>
      </c>
    </row>
    <row r="417" spans="1:11">
      <c r="A417" s="16">
        <v>45901</v>
      </c>
      <c r="B417" s="13">
        <v>2025</v>
      </c>
      <c r="C417" s="13">
        <v>9</v>
      </c>
      <c r="D417" s="13" t="s">
        <v>72</v>
      </c>
      <c r="E417" s="13" t="s">
        <v>68</v>
      </c>
      <c r="F417" s="13" t="s">
        <v>64</v>
      </c>
      <c r="G417" s="19">
        <v>0.61466080433443104</v>
      </c>
      <c r="H417" s="13" t="s">
        <v>71</v>
      </c>
      <c r="I417" s="13" t="s">
        <v>78</v>
      </c>
      <c r="J417" s="21" t="str">
        <f>_xlfn.XLOOKUP(F417,'04_Account_Mapping'!$A$6:$A$14,'04_Account_Mapping'!$C$6:$C$14,"Unmapped",0)</f>
        <v>JV Profit/(Loss)</v>
      </c>
      <c r="K417" s="21" t="str">
        <f>_xlfn.XLOOKUP(F417,'04_Account_Mapping'!$A$6:$A$14,'04_Account_Mapping'!$D$6:$D$14,"Unmapped",0)</f>
        <v>Income</v>
      </c>
    </row>
    <row r="418" spans="1:11">
      <c r="A418" s="16">
        <v>45901</v>
      </c>
      <c r="B418" s="13">
        <v>2025</v>
      </c>
      <c r="C418" s="13">
        <v>9</v>
      </c>
      <c r="D418" s="13" t="s">
        <v>72</v>
      </c>
      <c r="E418" s="13" t="s">
        <v>68</v>
      </c>
      <c r="F418" s="13" t="s">
        <v>65</v>
      </c>
      <c r="G418" s="19">
        <v>-2.6622412513430653</v>
      </c>
      <c r="H418" s="13" t="s">
        <v>71</v>
      </c>
      <c r="I418" s="13" t="s">
        <v>78</v>
      </c>
      <c r="J418" s="21" t="str">
        <f>_xlfn.XLOOKUP(F418,'04_Account_Mapping'!$A$6:$A$14,'04_Account_Mapping'!$C$6:$C$14,"Unmapped",0)</f>
        <v>Other Net</v>
      </c>
      <c r="K418" s="21" t="str">
        <f>_xlfn.XLOOKUP(F418,'04_Account_Mapping'!$A$6:$A$14,'04_Account_Mapping'!$D$6:$D$14,"Unmapped",0)</f>
        <v>Income</v>
      </c>
    </row>
    <row r="419" spans="1:11">
      <c r="A419" s="16">
        <v>45901</v>
      </c>
      <c r="B419" s="13">
        <v>2025</v>
      </c>
      <c r="C419" s="13">
        <v>9</v>
      </c>
      <c r="D419" s="13" t="s">
        <v>72</v>
      </c>
      <c r="E419" s="13" t="s">
        <v>68</v>
      </c>
      <c r="F419" s="13" t="s">
        <v>66</v>
      </c>
      <c r="G419" s="19">
        <v>-57.200585218775927</v>
      </c>
      <c r="H419" s="13" t="s">
        <v>71</v>
      </c>
      <c r="I419" s="13" t="s">
        <v>78</v>
      </c>
      <c r="J419" s="21" t="str">
        <f>_xlfn.XLOOKUP(F419,'04_Account_Mapping'!$A$6:$A$14,'04_Account_Mapping'!$C$6:$C$14,"Unmapped",0)</f>
        <v>Tax Expense</v>
      </c>
      <c r="K419" s="21" t="str">
        <f>_xlfn.XLOOKUP(F419,'04_Account_Mapping'!$A$6:$A$14,'04_Account_Mapping'!$D$6:$D$14,"Unmapped",0)</f>
        <v>Expense</v>
      </c>
    </row>
    <row r="420" spans="1:11">
      <c r="A420" s="16">
        <v>45901</v>
      </c>
      <c r="B420" s="13">
        <v>2025</v>
      </c>
      <c r="C420" s="13">
        <v>9</v>
      </c>
      <c r="D420" s="13" t="s">
        <v>73</v>
      </c>
      <c r="E420" s="13" t="s">
        <v>74</v>
      </c>
      <c r="F420" s="13" t="s">
        <v>55</v>
      </c>
      <c r="G420" s="19">
        <v>3938.8704954700729</v>
      </c>
      <c r="H420" s="13" t="s">
        <v>69</v>
      </c>
      <c r="I420" s="13" t="s">
        <v>78</v>
      </c>
      <c r="J420" s="21" t="str">
        <f>_xlfn.XLOOKUP(F420,'04_Account_Mapping'!$A$6:$A$14,'04_Account_Mapping'!$C$6:$C$14,"Unmapped",0)</f>
        <v>Revenue</v>
      </c>
      <c r="K420" s="21" t="str">
        <f>_xlfn.XLOOKUP(F420,'04_Account_Mapping'!$A$6:$A$14,'04_Account_Mapping'!$D$6:$D$14,"Unmapped",0)</f>
        <v>Income</v>
      </c>
    </row>
    <row r="421" spans="1:11">
      <c r="A421" s="16">
        <v>45901</v>
      </c>
      <c r="B421" s="13">
        <v>2025</v>
      </c>
      <c r="C421" s="13">
        <v>9</v>
      </c>
      <c r="D421" s="13" t="s">
        <v>73</v>
      </c>
      <c r="E421" s="13" t="s">
        <v>74</v>
      </c>
      <c r="F421" s="13" t="s">
        <v>58</v>
      </c>
      <c r="G421" s="19">
        <v>-3199.7548975442332</v>
      </c>
      <c r="H421" s="13" t="s">
        <v>71</v>
      </c>
      <c r="I421" s="13" t="s">
        <v>78</v>
      </c>
      <c r="J421" s="21" t="str">
        <f>_xlfn.XLOOKUP(F421,'04_Account_Mapping'!$A$6:$A$14,'04_Account_Mapping'!$C$6:$C$14,"Unmapped",0)</f>
        <v>COGS</v>
      </c>
      <c r="K421" s="21" t="str">
        <f>_xlfn.XLOOKUP(F421,'04_Account_Mapping'!$A$6:$A$14,'04_Account_Mapping'!$D$6:$D$14,"Unmapped",0)</f>
        <v>Expense</v>
      </c>
    </row>
    <row r="422" spans="1:11">
      <c r="A422" s="16">
        <v>45901</v>
      </c>
      <c r="B422" s="13">
        <v>2025</v>
      </c>
      <c r="C422" s="13">
        <v>9</v>
      </c>
      <c r="D422" s="13" t="s">
        <v>73</v>
      </c>
      <c r="E422" s="13" t="s">
        <v>74</v>
      </c>
      <c r="F422" s="13" t="s">
        <v>60</v>
      </c>
      <c r="G422" s="19">
        <v>-451.76382781759202</v>
      </c>
      <c r="H422" s="13" t="s">
        <v>71</v>
      </c>
      <c r="I422" s="13" t="s">
        <v>78</v>
      </c>
      <c r="J422" s="21" t="str">
        <f>_xlfn.XLOOKUP(F422,'04_Account_Mapping'!$A$6:$A$14,'04_Account_Mapping'!$C$6:$C$14,"Unmapped",0)</f>
        <v>Selling Expense</v>
      </c>
      <c r="K422" s="21" t="str">
        <f>_xlfn.XLOOKUP(F422,'04_Account_Mapping'!$A$6:$A$14,'04_Account_Mapping'!$D$6:$D$14,"Unmapped",0)</f>
        <v>Expense</v>
      </c>
    </row>
    <row r="423" spans="1:11">
      <c r="A423" s="16">
        <v>45901</v>
      </c>
      <c r="B423" s="13">
        <v>2025</v>
      </c>
      <c r="C423" s="13">
        <v>9</v>
      </c>
      <c r="D423" s="13" t="s">
        <v>73</v>
      </c>
      <c r="E423" s="13" t="s">
        <v>74</v>
      </c>
      <c r="F423" s="13" t="s">
        <v>61</v>
      </c>
      <c r="G423" s="19">
        <v>-110.63865552840988</v>
      </c>
      <c r="H423" s="13" t="s">
        <v>71</v>
      </c>
      <c r="I423" s="13" t="s">
        <v>78</v>
      </c>
      <c r="J423" s="21" t="str">
        <f>_xlfn.XLOOKUP(F423,'04_Account_Mapping'!$A$6:$A$14,'04_Account_Mapping'!$C$6:$C$14,"Unmapped",0)</f>
        <v>G&amp;A</v>
      </c>
      <c r="K423" s="21" t="str">
        <f>_xlfn.XLOOKUP(F423,'04_Account_Mapping'!$A$6:$A$14,'04_Account_Mapping'!$D$6:$D$14,"Unmapped",0)</f>
        <v>Expense</v>
      </c>
    </row>
    <row r="424" spans="1:11">
      <c r="A424" s="16">
        <v>45901</v>
      </c>
      <c r="B424" s="13">
        <v>2025</v>
      </c>
      <c r="C424" s="13">
        <v>9</v>
      </c>
      <c r="D424" s="13" t="s">
        <v>73</v>
      </c>
      <c r="E424" s="13" t="s">
        <v>74</v>
      </c>
      <c r="F424" s="13" t="s">
        <v>62</v>
      </c>
      <c r="G424" s="19">
        <v>79.965297959475535</v>
      </c>
      <c r="H424" s="13" t="s">
        <v>71</v>
      </c>
      <c r="I424" s="13" t="s">
        <v>78</v>
      </c>
      <c r="J424" s="21" t="str">
        <f>_xlfn.XLOOKUP(F424,'04_Account_Mapping'!$A$6:$A$14,'04_Account_Mapping'!$C$6:$C$14,"Unmapped",0)</f>
        <v>Finance Income</v>
      </c>
      <c r="K424" s="21" t="str">
        <f>_xlfn.XLOOKUP(F424,'04_Account_Mapping'!$A$6:$A$14,'04_Account_Mapping'!$D$6:$D$14,"Unmapped",0)</f>
        <v>Income</v>
      </c>
    </row>
    <row r="425" spans="1:11">
      <c r="A425" s="16">
        <v>45901</v>
      </c>
      <c r="B425" s="13">
        <v>2025</v>
      </c>
      <c r="C425" s="13">
        <v>9</v>
      </c>
      <c r="D425" s="13" t="s">
        <v>73</v>
      </c>
      <c r="E425" s="13" t="s">
        <v>74</v>
      </c>
      <c r="F425" s="13" t="s">
        <v>63</v>
      </c>
      <c r="G425" s="19">
        <v>-40.596305858964108</v>
      </c>
      <c r="H425" s="13" t="s">
        <v>71</v>
      </c>
      <c r="I425" s="13" t="s">
        <v>78</v>
      </c>
      <c r="J425" s="21" t="str">
        <f>_xlfn.XLOOKUP(F425,'04_Account_Mapping'!$A$6:$A$14,'04_Account_Mapping'!$C$6:$C$14,"Unmapped",0)</f>
        <v>Finance Expense</v>
      </c>
      <c r="K425" s="21" t="str">
        <f>_xlfn.XLOOKUP(F425,'04_Account_Mapping'!$A$6:$A$14,'04_Account_Mapping'!$D$6:$D$14,"Unmapped",0)</f>
        <v>Expense</v>
      </c>
    </row>
    <row r="426" spans="1:11">
      <c r="A426" s="16">
        <v>45901</v>
      </c>
      <c r="B426" s="13">
        <v>2025</v>
      </c>
      <c r="C426" s="13">
        <v>9</v>
      </c>
      <c r="D426" s="13" t="s">
        <v>73</v>
      </c>
      <c r="E426" s="13" t="s">
        <v>74</v>
      </c>
      <c r="F426" s="13" t="s">
        <v>64</v>
      </c>
      <c r="G426" s="19">
        <v>0.4128093038810754</v>
      </c>
      <c r="H426" s="13" t="s">
        <v>71</v>
      </c>
      <c r="I426" s="13" t="s">
        <v>78</v>
      </c>
      <c r="J426" s="21" t="str">
        <f>_xlfn.XLOOKUP(F426,'04_Account_Mapping'!$A$6:$A$14,'04_Account_Mapping'!$C$6:$C$14,"Unmapped",0)</f>
        <v>JV Profit/(Loss)</v>
      </c>
      <c r="K426" s="21" t="str">
        <f>_xlfn.XLOOKUP(F426,'04_Account_Mapping'!$A$6:$A$14,'04_Account_Mapping'!$D$6:$D$14,"Unmapped",0)</f>
        <v>Income</v>
      </c>
    </row>
    <row r="427" spans="1:11">
      <c r="A427" s="16">
        <v>45901</v>
      </c>
      <c r="B427" s="13">
        <v>2025</v>
      </c>
      <c r="C427" s="13">
        <v>9</v>
      </c>
      <c r="D427" s="13" t="s">
        <v>73</v>
      </c>
      <c r="E427" s="13" t="s">
        <v>74</v>
      </c>
      <c r="F427" s="13" t="s">
        <v>65</v>
      </c>
      <c r="G427" s="19">
        <v>-1.7879746845423705</v>
      </c>
      <c r="H427" s="13" t="s">
        <v>71</v>
      </c>
      <c r="I427" s="13" t="s">
        <v>78</v>
      </c>
      <c r="J427" s="21" t="str">
        <f>_xlfn.XLOOKUP(F427,'04_Account_Mapping'!$A$6:$A$14,'04_Account_Mapping'!$C$6:$C$14,"Unmapped",0)</f>
        <v>Other Net</v>
      </c>
      <c r="K427" s="21" t="str">
        <f>_xlfn.XLOOKUP(F427,'04_Account_Mapping'!$A$6:$A$14,'04_Account_Mapping'!$D$6:$D$14,"Unmapped",0)</f>
        <v>Income</v>
      </c>
    </row>
    <row r="428" spans="1:11">
      <c r="A428" s="16">
        <v>45901</v>
      </c>
      <c r="B428" s="13">
        <v>2025</v>
      </c>
      <c r="C428" s="13">
        <v>9</v>
      </c>
      <c r="D428" s="13" t="s">
        <v>73</v>
      </c>
      <c r="E428" s="13" t="s">
        <v>74</v>
      </c>
      <c r="F428" s="13" t="s">
        <v>66</v>
      </c>
      <c r="G428" s="19">
        <v>-38.416202235835833</v>
      </c>
      <c r="H428" s="13" t="s">
        <v>71</v>
      </c>
      <c r="I428" s="13" t="s">
        <v>78</v>
      </c>
      <c r="J428" s="21" t="str">
        <f>_xlfn.XLOOKUP(F428,'04_Account_Mapping'!$A$6:$A$14,'04_Account_Mapping'!$C$6:$C$14,"Unmapped",0)</f>
        <v>Tax Expense</v>
      </c>
      <c r="K428" s="21" t="str">
        <f>_xlfn.XLOOKUP(F428,'04_Account_Mapping'!$A$6:$A$14,'04_Account_Mapping'!$D$6:$D$14,"Unmapped",0)</f>
        <v>Expense</v>
      </c>
    </row>
    <row r="429" spans="1:11">
      <c r="A429" s="16">
        <v>45901</v>
      </c>
      <c r="B429" s="13">
        <v>2025</v>
      </c>
      <c r="C429" s="13">
        <v>9</v>
      </c>
      <c r="D429" s="13" t="s">
        <v>75</v>
      </c>
      <c r="E429" s="13" t="s">
        <v>76</v>
      </c>
      <c r="F429" s="13" t="s">
        <v>55</v>
      </c>
      <c r="G429" s="19">
        <v>314.16871133469613</v>
      </c>
      <c r="H429" s="13" t="s">
        <v>69</v>
      </c>
      <c r="I429" s="13" t="s">
        <v>78</v>
      </c>
      <c r="J429" s="21" t="str">
        <f>_xlfn.XLOOKUP(F429,'04_Account_Mapping'!$A$6:$A$14,'04_Account_Mapping'!$C$6:$C$14,"Unmapped",0)</f>
        <v>Revenue</v>
      </c>
      <c r="K429" s="21" t="str">
        <f>_xlfn.XLOOKUP(F429,'04_Account_Mapping'!$A$6:$A$14,'04_Account_Mapping'!$D$6:$D$14,"Unmapped",0)</f>
        <v>Income</v>
      </c>
    </row>
    <row r="430" spans="1:11">
      <c r="A430" s="16">
        <v>45901</v>
      </c>
      <c r="B430" s="13">
        <v>2025</v>
      </c>
      <c r="C430" s="13">
        <v>9</v>
      </c>
      <c r="D430" s="13" t="s">
        <v>75</v>
      </c>
      <c r="E430" s="13" t="s">
        <v>76</v>
      </c>
      <c r="F430" s="13" t="s">
        <v>58</v>
      </c>
      <c r="G430" s="19">
        <v>-255.21602548356549</v>
      </c>
      <c r="H430" s="13" t="s">
        <v>71</v>
      </c>
      <c r="I430" s="13" t="s">
        <v>78</v>
      </c>
      <c r="J430" s="21" t="str">
        <f>_xlfn.XLOOKUP(F430,'04_Account_Mapping'!$A$6:$A$14,'04_Account_Mapping'!$C$6:$C$14,"Unmapped",0)</f>
        <v>COGS</v>
      </c>
      <c r="K430" s="21" t="str">
        <f>_xlfn.XLOOKUP(F430,'04_Account_Mapping'!$A$6:$A$14,'04_Account_Mapping'!$D$6:$D$14,"Unmapped",0)</f>
        <v>Expense</v>
      </c>
    </row>
    <row r="431" spans="1:11">
      <c r="A431" s="16">
        <v>45901</v>
      </c>
      <c r="B431" s="13">
        <v>2025</v>
      </c>
      <c r="C431" s="13">
        <v>9</v>
      </c>
      <c r="D431" s="13" t="s">
        <v>75</v>
      </c>
      <c r="E431" s="13" t="s">
        <v>76</v>
      </c>
      <c r="F431" s="13" t="s">
        <v>60</v>
      </c>
      <c r="G431" s="19">
        <v>-36.033187629882761</v>
      </c>
      <c r="H431" s="13" t="s">
        <v>71</v>
      </c>
      <c r="I431" s="13" t="s">
        <v>78</v>
      </c>
      <c r="J431" s="21" t="str">
        <f>_xlfn.XLOOKUP(F431,'04_Account_Mapping'!$A$6:$A$14,'04_Account_Mapping'!$C$6:$C$14,"Unmapped",0)</f>
        <v>Selling Expense</v>
      </c>
      <c r="K431" s="21" t="str">
        <f>_xlfn.XLOOKUP(F431,'04_Account_Mapping'!$A$6:$A$14,'04_Account_Mapping'!$D$6:$D$14,"Unmapped",0)</f>
        <v>Expense</v>
      </c>
    </row>
    <row r="432" spans="1:11">
      <c r="A432" s="16">
        <v>45901</v>
      </c>
      <c r="B432" s="13">
        <v>2025</v>
      </c>
      <c r="C432" s="13">
        <v>9</v>
      </c>
      <c r="D432" s="13" t="s">
        <v>75</v>
      </c>
      <c r="E432" s="13" t="s">
        <v>76</v>
      </c>
      <c r="F432" s="13" t="s">
        <v>61</v>
      </c>
      <c r="G432" s="19">
        <v>-8.8246627735384955</v>
      </c>
      <c r="H432" s="13" t="s">
        <v>71</v>
      </c>
      <c r="I432" s="13" t="s">
        <v>78</v>
      </c>
      <c r="J432" s="21" t="str">
        <f>_xlfn.XLOOKUP(F432,'04_Account_Mapping'!$A$6:$A$14,'04_Account_Mapping'!$C$6:$C$14,"Unmapped",0)</f>
        <v>G&amp;A</v>
      </c>
      <c r="K432" s="21" t="str">
        <f>_xlfn.XLOOKUP(F432,'04_Account_Mapping'!$A$6:$A$14,'04_Account_Mapping'!$D$6:$D$14,"Unmapped",0)</f>
        <v>Expense</v>
      </c>
    </row>
    <row r="433" spans="1:11">
      <c r="A433" s="16">
        <v>45901</v>
      </c>
      <c r="B433" s="13">
        <v>2025</v>
      </c>
      <c r="C433" s="13">
        <v>9</v>
      </c>
      <c r="D433" s="13" t="s">
        <v>75</v>
      </c>
      <c r="E433" s="13" t="s">
        <v>76</v>
      </c>
      <c r="F433" s="13" t="s">
        <v>62</v>
      </c>
      <c r="G433" s="19">
        <v>6.3781215047095001</v>
      </c>
      <c r="H433" s="13" t="s">
        <v>71</v>
      </c>
      <c r="I433" s="13" t="s">
        <v>78</v>
      </c>
      <c r="J433" s="21" t="str">
        <f>_xlfn.XLOOKUP(F433,'04_Account_Mapping'!$A$6:$A$14,'04_Account_Mapping'!$C$6:$C$14,"Unmapped",0)</f>
        <v>Finance Income</v>
      </c>
      <c r="K433" s="21" t="str">
        <f>_xlfn.XLOOKUP(F433,'04_Account_Mapping'!$A$6:$A$14,'04_Account_Mapping'!$D$6:$D$14,"Unmapped",0)</f>
        <v>Income</v>
      </c>
    </row>
    <row r="434" spans="1:11">
      <c r="A434" s="16">
        <v>45901</v>
      </c>
      <c r="B434" s="13">
        <v>2025</v>
      </c>
      <c r="C434" s="13">
        <v>9</v>
      </c>
      <c r="D434" s="13" t="s">
        <v>75</v>
      </c>
      <c r="E434" s="13" t="s">
        <v>76</v>
      </c>
      <c r="F434" s="13" t="s">
        <v>63</v>
      </c>
      <c r="G434" s="19">
        <v>-3.2380067106364279</v>
      </c>
      <c r="H434" s="13" t="s">
        <v>71</v>
      </c>
      <c r="I434" s="13" t="s">
        <v>78</v>
      </c>
      <c r="J434" s="21" t="str">
        <f>_xlfn.XLOOKUP(F434,'04_Account_Mapping'!$A$6:$A$14,'04_Account_Mapping'!$C$6:$C$14,"Unmapped",0)</f>
        <v>Finance Expense</v>
      </c>
      <c r="K434" s="21" t="str">
        <f>_xlfn.XLOOKUP(F434,'04_Account_Mapping'!$A$6:$A$14,'04_Account_Mapping'!$D$6:$D$14,"Unmapped",0)</f>
        <v>Expense</v>
      </c>
    </row>
    <row r="435" spans="1:11">
      <c r="A435" s="16">
        <v>45901</v>
      </c>
      <c r="B435" s="13">
        <v>2025</v>
      </c>
      <c r="C435" s="13">
        <v>9</v>
      </c>
      <c r="D435" s="13" t="s">
        <v>75</v>
      </c>
      <c r="E435" s="13" t="s">
        <v>76</v>
      </c>
      <c r="F435" s="13" t="s">
        <v>64</v>
      </c>
      <c r="G435" s="19">
        <v>3.2926131279625313E-2</v>
      </c>
      <c r="H435" s="13" t="s">
        <v>71</v>
      </c>
      <c r="I435" s="13" t="s">
        <v>78</v>
      </c>
      <c r="J435" s="21" t="str">
        <f>_xlfn.XLOOKUP(F435,'04_Account_Mapping'!$A$6:$A$14,'04_Account_Mapping'!$C$6:$C$14,"Unmapped",0)</f>
        <v>JV Profit/(Loss)</v>
      </c>
      <c r="K435" s="21" t="str">
        <f>_xlfn.XLOOKUP(F435,'04_Account_Mapping'!$A$6:$A$14,'04_Account_Mapping'!$D$6:$D$14,"Unmapped",0)</f>
        <v>Income</v>
      </c>
    </row>
    <row r="436" spans="1:11">
      <c r="A436" s="16">
        <v>45901</v>
      </c>
      <c r="B436" s="13">
        <v>2025</v>
      </c>
      <c r="C436" s="13">
        <v>9</v>
      </c>
      <c r="D436" s="13" t="s">
        <v>75</v>
      </c>
      <c r="E436" s="13" t="s">
        <v>76</v>
      </c>
      <c r="F436" s="13" t="s">
        <v>65</v>
      </c>
      <c r="G436" s="19">
        <v>-0.14261085841429749</v>
      </c>
      <c r="H436" s="13" t="s">
        <v>71</v>
      </c>
      <c r="I436" s="13" t="s">
        <v>78</v>
      </c>
      <c r="J436" s="21" t="str">
        <f>_xlfn.XLOOKUP(F436,'04_Account_Mapping'!$A$6:$A$14,'04_Account_Mapping'!$C$6:$C$14,"Unmapped",0)</f>
        <v>Other Net</v>
      </c>
      <c r="K436" s="21" t="str">
        <f>_xlfn.XLOOKUP(F436,'04_Account_Mapping'!$A$6:$A$14,'04_Account_Mapping'!$D$6:$D$14,"Unmapped",0)</f>
        <v>Income</v>
      </c>
    </row>
    <row r="437" spans="1:11">
      <c r="A437" s="16">
        <v>45901</v>
      </c>
      <c r="B437" s="13">
        <v>2025</v>
      </c>
      <c r="C437" s="13">
        <v>9</v>
      </c>
      <c r="D437" s="13" t="s">
        <v>75</v>
      </c>
      <c r="E437" s="13" t="s">
        <v>76</v>
      </c>
      <c r="F437" s="13" t="s">
        <v>66</v>
      </c>
      <c r="G437" s="19">
        <v>-3.0641192099831289</v>
      </c>
      <c r="H437" s="13" t="s">
        <v>71</v>
      </c>
      <c r="I437" s="13" t="s">
        <v>78</v>
      </c>
      <c r="J437" s="21" t="str">
        <f>_xlfn.XLOOKUP(F437,'04_Account_Mapping'!$A$6:$A$14,'04_Account_Mapping'!$C$6:$C$14,"Unmapped",0)</f>
        <v>Tax Expense</v>
      </c>
      <c r="K437" s="21" t="str">
        <f>_xlfn.XLOOKUP(F437,'04_Account_Mapping'!$A$6:$A$14,'04_Account_Mapping'!$D$6:$D$14,"Unmapped",0)</f>
        <v>Expense</v>
      </c>
    </row>
    <row r="438" spans="1:11">
      <c r="A438" s="16">
        <v>45931</v>
      </c>
      <c r="B438" s="13">
        <v>2025</v>
      </c>
      <c r="C438" s="13">
        <v>10</v>
      </c>
      <c r="D438" s="13" t="s">
        <v>67</v>
      </c>
      <c r="E438" s="13" t="s">
        <v>68</v>
      </c>
      <c r="F438" s="13" t="s">
        <v>55</v>
      </c>
      <c r="G438" s="19">
        <v>4272.8893808026151</v>
      </c>
      <c r="H438" s="13" t="s">
        <v>69</v>
      </c>
      <c r="I438" s="13" t="s">
        <v>79</v>
      </c>
      <c r="J438" s="21" t="str">
        <f>_xlfn.XLOOKUP(F438,'04_Account_Mapping'!$A$6:$A$14,'04_Account_Mapping'!$C$6:$C$14,"Unmapped",0)</f>
        <v>Revenue</v>
      </c>
      <c r="K438" s="21" t="str">
        <f>_xlfn.XLOOKUP(F438,'04_Account_Mapping'!$A$6:$A$14,'04_Account_Mapping'!$D$6:$D$14,"Unmapped",0)</f>
        <v>Income</v>
      </c>
    </row>
    <row r="439" spans="1:11">
      <c r="A439" s="16">
        <v>45931</v>
      </c>
      <c r="B439" s="13">
        <v>2025</v>
      </c>
      <c r="C439" s="13">
        <v>10</v>
      </c>
      <c r="D439" s="13" t="s">
        <v>67</v>
      </c>
      <c r="E439" s="13" t="s">
        <v>68</v>
      </c>
      <c r="F439" s="13" t="s">
        <v>58</v>
      </c>
      <c r="G439" s="19">
        <v>-3388.9876818782218</v>
      </c>
      <c r="H439" s="13" t="s">
        <v>71</v>
      </c>
      <c r="I439" s="13" t="s">
        <v>79</v>
      </c>
      <c r="J439" s="21" t="str">
        <f>_xlfn.XLOOKUP(F439,'04_Account_Mapping'!$A$6:$A$14,'04_Account_Mapping'!$C$6:$C$14,"Unmapped",0)</f>
        <v>COGS</v>
      </c>
      <c r="K439" s="21" t="str">
        <f>_xlfn.XLOOKUP(F439,'04_Account_Mapping'!$A$6:$A$14,'04_Account_Mapping'!$D$6:$D$14,"Unmapped",0)</f>
        <v>Expense</v>
      </c>
    </row>
    <row r="440" spans="1:11">
      <c r="A440" s="16">
        <v>45931</v>
      </c>
      <c r="B440" s="13">
        <v>2025</v>
      </c>
      <c r="C440" s="13">
        <v>10</v>
      </c>
      <c r="D440" s="13" t="s">
        <v>67</v>
      </c>
      <c r="E440" s="13" t="s">
        <v>68</v>
      </c>
      <c r="F440" s="13" t="s">
        <v>60</v>
      </c>
      <c r="G440" s="19">
        <v>-570.83110968197991</v>
      </c>
      <c r="H440" s="13" t="s">
        <v>71</v>
      </c>
      <c r="I440" s="13" t="s">
        <v>79</v>
      </c>
      <c r="J440" s="21" t="str">
        <f>_xlfn.XLOOKUP(F440,'04_Account_Mapping'!$A$6:$A$14,'04_Account_Mapping'!$C$6:$C$14,"Unmapped",0)</f>
        <v>Selling Expense</v>
      </c>
      <c r="K440" s="21" t="str">
        <f>_xlfn.XLOOKUP(F440,'04_Account_Mapping'!$A$6:$A$14,'04_Account_Mapping'!$D$6:$D$14,"Unmapped",0)</f>
        <v>Expense</v>
      </c>
    </row>
    <row r="441" spans="1:11">
      <c r="A441" s="16">
        <v>45931</v>
      </c>
      <c r="B441" s="13">
        <v>2025</v>
      </c>
      <c r="C441" s="13">
        <v>10</v>
      </c>
      <c r="D441" s="13" t="s">
        <v>67</v>
      </c>
      <c r="E441" s="13" t="s">
        <v>68</v>
      </c>
      <c r="F441" s="13" t="s">
        <v>61</v>
      </c>
      <c r="G441" s="19">
        <v>-107.06218525715973</v>
      </c>
      <c r="H441" s="13" t="s">
        <v>71</v>
      </c>
      <c r="I441" s="13" t="s">
        <v>79</v>
      </c>
      <c r="J441" s="21" t="str">
        <f>_xlfn.XLOOKUP(F441,'04_Account_Mapping'!$A$6:$A$14,'04_Account_Mapping'!$C$6:$C$14,"Unmapped",0)</f>
        <v>G&amp;A</v>
      </c>
      <c r="K441" s="21" t="str">
        <f>_xlfn.XLOOKUP(F441,'04_Account_Mapping'!$A$6:$A$14,'04_Account_Mapping'!$D$6:$D$14,"Unmapped",0)</f>
        <v>Expense</v>
      </c>
    </row>
    <row r="442" spans="1:11">
      <c r="A442" s="16">
        <v>45931</v>
      </c>
      <c r="B442" s="13">
        <v>2025</v>
      </c>
      <c r="C442" s="13">
        <v>10</v>
      </c>
      <c r="D442" s="13" t="s">
        <v>67</v>
      </c>
      <c r="E442" s="13" t="s">
        <v>68</v>
      </c>
      <c r="F442" s="13" t="s">
        <v>62</v>
      </c>
      <c r="G442" s="19">
        <v>84.421860955288281</v>
      </c>
      <c r="H442" s="13" t="s">
        <v>71</v>
      </c>
      <c r="I442" s="13" t="s">
        <v>79</v>
      </c>
      <c r="J442" s="21" t="str">
        <f>_xlfn.XLOOKUP(F442,'04_Account_Mapping'!$A$6:$A$14,'04_Account_Mapping'!$C$6:$C$14,"Unmapped",0)</f>
        <v>Finance Income</v>
      </c>
      <c r="K442" s="21" t="str">
        <f>_xlfn.XLOOKUP(F442,'04_Account_Mapping'!$A$6:$A$14,'04_Account_Mapping'!$D$6:$D$14,"Unmapped",0)</f>
        <v>Income</v>
      </c>
    </row>
    <row r="443" spans="1:11">
      <c r="A443" s="16">
        <v>45931</v>
      </c>
      <c r="B443" s="13">
        <v>2025</v>
      </c>
      <c r="C443" s="13">
        <v>10</v>
      </c>
      <c r="D443" s="13" t="s">
        <v>67</v>
      </c>
      <c r="E443" s="13" t="s">
        <v>68</v>
      </c>
      <c r="F443" s="13" t="s">
        <v>63</v>
      </c>
      <c r="G443" s="19">
        <v>-39.406218067174116</v>
      </c>
      <c r="H443" s="13" t="s">
        <v>71</v>
      </c>
      <c r="I443" s="13" t="s">
        <v>79</v>
      </c>
      <c r="J443" s="21" t="str">
        <f>_xlfn.XLOOKUP(F443,'04_Account_Mapping'!$A$6:$A$14,'04_Account_Mapping'!$C$6:$C$14,"Unmapped",0)</f>
        <v>Finance Expense</v>
      </c>
      <c r="K443" s="21" t="str">
        <f>_xlfn.XLOOKUP(F443,'04_Account_Mapping'!$A$6:$A$14,'04_Account_Mapping'!$D$6:$D$14,"Unmapped",0)</f>
        <v>Expense</v>
      </c>
    </row>
    <row r="444" spans="1:11">
      <c r="A444" s="16">
        <v>45931</v>
      </c>
      <c r="B444" s="13">
        <v>2025</v>
      </c>
      <c r="C444" s="13">
        <v>10</v>
      </c>
      <c r="D444" s="13" t="s">
        <v>67</v>
      </c>
      <c r="E444" s="13" t="s">
        <v>68</v>
      </c>
      <c r="F444" s="13" t="s">
        <v>64</v>
      </c>
      <c r="G444" s="19">
        <v>0.59800997124290745</v>
      </c>
      <c r="H444" s="13" t="s">
        <v>71</v>
      </c>
      <c r="I444" s="13" t="s">
        <v>79</v>
      </c>
      <c r="J444" s="21" t="str">
        <f>_xlfn.XLOOKUP(F444,'04_Account_Mapping'!$A$6:$A$14,'04_Account_Mapping'!$C$6:$C$14,"Unmapped",0)</f>
        <v>JV Profit/(Loss)</v>
      </c>
      <c r="K444" s="21" t="str">
        <f>_xlfn.XLOOKUP(F444,'04_Account_Mapping'!$A$6:$A$14,'04_Account_Mapping'!$D$6:$D$14,"Unmapped",0)</f>
        <v>Income</v>
      </c>
    </row>
    <row r="445" spans="1:11">
      <c r="A445" s="16">
        <v>45931</v>
      </c>
      <c r="B445" s="13">
        <v>2025</v>
      </c>
      <c r="C445" s="13">
        <v>10</v>
      </c>
      <c r="D445" s="13" t="s">
        <v>67</v>
      </c>
      <c r="E445" s="13" t="s">
        <v>68</v>
      </c>
      <c r="F445" s="13" t="s">
        <v>65</v>
      </c>
      <c r="G445" s="19">
        <v>0.57214225167586308</v>
      </c>
      <c r="H445" s="13" t="s">
        <v>71</v>
      </c>
      <c r="I445" s="13" t="s">
        <v>79</v>
      </c>
      <c r="J445" s="21" t="str">
        <f>_xlfn.XLOOKUP(F445,'04_Account_Mapping'!$A$6:$A$14,'04_Account_Mapping'!$C$6:$C$14,"Unmapped",0)</f>
        <v>Other Net</v>
      </c>
      <c r="K445" s="21" t="str">
        <f>_xlfn.XLOOKUP(F445,'04_Account_Mapping'!$A$6:$A$14,'04_Account_Mapping'!$D$6:$D$14,"Unmapped",0)</f>
        <v>Income</v>
      </c>
    </row>
    <row r="446" spans="1:11">
      <c r="A446" s="16">
        <v>45931</v>
      </c>
      <c r="B446" s="13">
        <v>2025</v>
      </c>
      <c r="C446" s="13">
        <v>10</v>
      </c>
      <c r="D446" s="13" t="s">
        <v>67</v>
      </c>
      <c r="E446" s="13" t="s">
        <v>68</v>
      </c>
      <c r="F446" s="13" t="s">
        <v>66</v>
      </c>
      <c r="G446" s="19">
        <v>-41.825140248202842</v>
      </c>
      <c r="H446" s="13" t="s">
        <v>71</v>
      </c>
      <c r="I446" s="13" t="s">
        <v>79</v>
      </c>
      <c r="J446" s="21" t="str">
        <f>_xlfn.XLOOKUP(F446,'04_Account_Mapping'!$A$6:$A$14,'04_Account_Mapping'!$C$6:$C$14,"Unmapped",0)</f>
        <v>Tax Expense</v>
      </c>
      <c r="K446" s="21" t="str">
        <f>_xlfn.XLOOKUP(F446,'04_Account_Mapping'!$A$6:$A$14,'04_Account_Mapping'!$D$6:$D$14,"Unmapped",0)</f>
        <v>Expense</v>
      </c>
    </row>
    <row r="447" spans="1:11">
      <c r="A447" s="16">
        <v>45931</v>
      </c>
      <c r="B447" s="13">
        <v>2025</v>
      </c>
      <c r="C447" s="13">
        <v>10</v>
      </c>
      <c r="D447" s="13" t="s">
        <v>72</v>
      </c>
      <c r="E447" s="13" t="s">
        <v>68</v>
      </c>
      <c r="F447" s="13" t="s">
        <v>55</v>
      </c>
      <c r="G447" s="19">
        <v>6023.3237229928309</v>
      </c>
      <c r="H447" s="13" t="s">
        <v>69</v>
      </c>
      <c r="I447" s="13" t="s">
        <v>79</v>
      </c>
      <c r="J447" s="21" t="str">
        <f>_xlfn.XLOOKUP(F447,'04_Account_Mapping'!$A$6:$A$14,'04_Account_Mapping'!$C$6:$C$14,"Unmapped",0)</f>
        <v>Revenue</v>
      </c>
      <c r="K447" s="21" t="str">
        <f>_xlfn.XLOOKUP(F447,'04_Account_Mapping'!$A$6:$A$14,'04_Account_Mapping'!$D$6:$D$14,"Unmapped",0)</f>
        <v>Income</v>
      </c>
    </row>
    <row r="448" spans="1:11">
      <c r="A448" s="16">
        <v>45931</v>
      </c>
      <c r="B448" s="13">
        <v>2025</v>
      </c>
      <c r="C448" s="13">
        <v>10</v>
      </c>
      <c r="D448" s="13" t="s">
        <v>72</v>
      </c>
      <c r="E448" s="13" t="s">
        <v>68</v>
      </c>
      <c r="F448" s="13" t="s">
        <v>58</v>
      </c>
      <c r="G448" s="19">
        <v>-4777.3223413879314</v>
      </c>
      <c r="H448" s="13" t="s">
        <v>71</v>
      </c>
      <c r="I448" s="13" t="s">
        <v>79</v>
      </c>
      <c r="J448" s="21" t="str">
        <f>_xlfn.XLOOKUP(F448,'04_Account_Mapping'!$A$6:$A$14,'04_Account_Mapping'!$C$6:$C$14,"Unmapped",0)</f>
        <v>COGS</v>
      </c>
      <c r="K448" s="21" t="str">
        <f>_xlfn.XLOOKUP(F448,'04_Account_Mapping'!$A$6:$A$14,'04_Account_Mapping'!$D$6:$D$14,"Unmapped",0)</f>
        <v>Expense</v>
      </c>
    </row>
    <row r="449" spans="1:11">
      <c r="A449" s="16">
        <v>45931</v>
      </c>
      <c r="B449" s="13">
        <v>2025</v>
      </c>
      <c r="C449" s="13">
        <v>10</v>
      </c>
      <c r="D449" s="13" t="s">
        <v>72</v>
      </c>
      <c r="E449" s="13" t="s">
        <v>68</v>
      </c>
      <c r="F449" s="13" t="s">
        <v>60</v>
      </c>
      <c r="G449" s="19">
        <v>-804.67811317969233</v>
      </c>
      <c r="H449" s="13" t="s">
        <v>71</v>
      </c>
      <c r="I449" s="13" t="s">
        <v>79</v>
      </c>
      <c r="J449" s="21" t="str">
        <f>_xlfn.XLOOKUP(F449,'04_Account_Mapping'!$A$6:$A$14,'04_Account_Mapping'!$C$6:$C$14,"Unmapped",0)</f>
        <v>Selling Expense</v>
      </c>
      <c r="K449" s="21" t="str">
        <f>_xlfn.XLOOKUP(F449,'04_Account_Mapping'!$A$6:$A$14,'04_Account_Mapping'!$D$6:$D$14,"Unmapped",0)</f>
        <v>Expense</v>
      </c>
    </row>
    <row r="450" spans="1:11">
      <c r="A450" s="16">
        <v>45931</v>
      </c>
      <c r="B450" s="13">
        <v>2025</v>
      </c>
      <c r="C450" s="13">
        <v>10</v>
      </c>
      <c r="D450" s="13" t="s">
        <v>72</v>
      </c>
      <c r="E450" s="13" t="s">
        <v>68</v>
      </c>
      <c r="F450" s="13" t="s">
        <v>61</v>
      </c>
      <c r="G450" s="19">
        <v>-150.92134217005443</v>
      </c>
      <c r="H450" s="13" t="s">
        <v>71</v>
      </c>
      <c r="I450" s="13" t="s">
        <v>79</v>
      </c>
      <c r="J450" s="21" t="str">
        <f>_xlfn.XLOOKUP(F450,'04_Account_Mapping'!$A$6:$A$14,'04_Account_Mapping'!$C$6:$C$14,"Unmapped",0)</f>
        <v>G&amp;A</v>
      </c>
      <c r="K450" s="21" t="str">
        <f>_xlfn.XLOOKUP(F450,'04_Account_Mapping'!$A$6:$A$14,'04_Account_Mapping'!$D$6:$D$14,"Unmapped",0)</f>
        <v>Expense</v>
      </c>
    </row>
    <row r="451" spans="1:11">
      <c r="A451" s="16">
        <v>45931</v>
      </c>
      <c r="B451" s="13">
        <v>2025</v>
      </c>
      <c r="C451" s="13">
        <v>10</v>
      </c>
      <c r="D451" s="13" t="s">
        <v>72</v>
      </c>
      <c r="E451" s="13" t="s">
        <v>68</v>
      </c>
      <c r="F451" s="13" t="s">
        <v>62</v>
      </c>
      <c r="G451" s="19">
        <v>119.00616948236419</v>
      </c>
      <c r="H451" s="13" t="s">
        <v>71</v>
      </c>
      <c r="I451" s="13" t="s">
        <v>79</v>
      </c>
      <c r="J451" s="21" t="str">
        <f>_xlfn.XLOOKUP(F451,'04_Account_Mapping'!$A$6:$A$14,'04_Account_Mapping'!$C$6:$C$14,"Unmapped",0)</f>
        <v>Finance Income</v>
      </c>
      <c r="K451" s="21" t="str">
        <f>_xlfn.XLOOKUP(F451,'04_Account_Mapping'!$A$6:$A$14,'04_Account_Mapping'!$D$6:$D$14,"Unmapped",0)</f>
        <v>Income</v>
      </c>
    </row>
    <row r="452" spans="1:11">
      <c r="A452" s="16">
        <v>45931</v>
      </c>
      <c r="B452" s="13">
        <v>2025</v>
      </c>
      <c r="C452" s="13">
        <v>10</v>
      </c>
      <c r="D452" s="13" t="s">
        <v>72</v>
      </c>
      <c r="E452" s="13" t="s">
        <v>68</v>
      </c>
      <c r="F452" s="13" t="s">
        <v>63</v>
      </c>
      <c r="G452" s="19">
        <v>-55.549392217790988</v>
      </c>
      <c r="H452" s="13" t="s">
        <v>71</v>
      </c>
      <c r="I452" s="13" t="s">
        <v>79</v>
      </c>
      <c r="J452" s="21" t="str">
        <f>_xlfn.XLOOKUP(F452,'04_Account_Mapping'!$A$6:$A$14,'04_Account_Mapping'!$C$6:$C$14,"Unmapped",0)</f>
        <v>Finance Expense</v>
      </c>
      <c r="K452" s="21" t="str">
        <f>_xlfn.XLOOKUP(F452,'04_Account_Mapping'!$A$6:$A$14,'04_Account_Mapping'!$D$6:$D$14,"Unmapped",0)</f>
        <v>Expense</v>
      </c>
    </row>
    <row r="453" spans="1:11">
      <c r="A453" s="16">
        <v>45931</v>
      </c>
      <c r="B453" s="13">
        <v>2025</v>
      </c>
      <c r="C453" s="13">
        <v>10</v>
      </c>
      <c r="D453" s="13" t="s">
        <v>72</v>
      </c>
      <c r="E453" s="13" t="s">
        <v>68</v>
      </c>
      <c r="F453" s="13" t="s">
        <v>64</v>
      </c>
      <c r="G453" s="19">
        <v>0.8429910829325209</v>
      </c>
      <c r="H453" s="13" t="s">
        <v>71</v>
      </c>
      <c r="I453" s="13" t="s">
        <v>79</v>
      </c>
      <c r="J453" s="21" t="str">
        <f>_xlfn.XLOOKUP(F453,'04_Account_Mapping'!$A$6:$A$14,'04_Account_Mapping'!$C$6:$C$14,"Unmapped",0)</f>
        <v>JV Profit/(Loss)</v>
      </c>
      <c r="K453" s="21" t="str">
        <f>_xlfn.XLOOKUP(F453,'04_Account_Mapping'!$A$6:$A$14,'04_Account_Mapping'!$D$6:$D$14,"Unmapped",0)</f>
        <v>Income</v>
      </c>
    </row>
    <row r="454" spans="1:11">
      <c r="A454" s="16">
        <v>45931</v>
      </c>
      <c r="B454" s="13">
        <v>2025</v>
      </c>
      <c r="C454" s="13">
        <v>10</v>
      </c>
      <c r="D454" s="13" t="s">
        <v>72</v>
      </c>
      <c r="E454" s="13" t="s">
        <v>68</v>
      </c>
      <c r="F454" s="13" t="s">
        <v>65</v>
      </c>
      <c r="G454" s="19">
        <v>0.80652637836330565</v>
      </c>
      <c r="H454" s="13" t="s">
        <v>71</v>
      </c>
      <c r="I454" s="13" t="s">
        <v>79</v>
      </c>
      <c r="J454" s="21" t="str">
        <f>_xlfn.XLOOKUP(F454,'04_Account_Mapping'!$A$6:$A$14,'04_Account_Mapping'!$C$6:$C$14,"Unmapped",0)</f>
        <v>Other Net</v>
      </c>
      <c r="K454" s="21" t="str">
        <f>_xlfn.XLOOKUP(F454,'04_Account_Mapping'!$A$6:$A$14,'04_Account_Mapping'!$D$6:$D$14,"Unmapped",0)</f>
        <v>Income</v>
      </c>
    </row>
    <row r="455" spans="1:11">
      <c r="A455" s="16">
        <v>45931</v>
      </c>
      <c r="B455" s="13">
        <v>2025</v>
      </c>
      <c r="C455" s="13">
        <v>10</v>
      </c>
      <c r="D455" s="13" t="s">
        <v>72</v>
      </c>
      <c r="E455" s="13" t="s">
        <v>68</v>
      </c>
      <c r="F455" s="13" t="s">
        <v>66</v>
      </c>
      <c r="G455" s="19">
        <v>-58.959251462573754</v>
      </c>
      <c r="H455" s="13" t="s">
        <v>71</v>
      </c>
      <c r="I455" s="13" t="s">
        <v>79</v>
      </c>
      <c r="J455" s="21" t="str">
        <f>_xlfn.XLOOKUP(F455,'04_Account_Mapping'!$A$6:$A$14,'04_Account_Mapping'!$C$6:$C$14,"Unmapped",0)</f>
        <v>Tax Expense</v>
      </c>
      <c r="K455" s="21" t="str">
        <f>_xlfn.XLOOKUP(F455,'04_Account_Mapping'!$A$6:$A$14,'04_Account_Mapping'!$D$6:$D$14,"Unmapped",0)</f>
        <v>Expense</v>
      </c>
    </row>
    <row r="456" spans="1:11">
      <c r="A456" s="16">
        <v>45931</v>
      </c>
      <c r="B456" s="13">
        <v>2025</v>
      </c>
      <c r="C456" s="13">
        <v>10</v>
      </c>
      <c r="D456" s="13" t="s">
        <v>73</v>
      </c>
      <c r="E456" s="13" t="s">
        <v>74</v>
      </c>
      <c r="F456" s="13" t="s">
        <v>55</v>
      </c>
      <c r="G456" s="19">
        <v>4076.1708688273384</v>
      </c>
      <c r="H456" s="13" t="s">
        <v>69</v>
      </c>
      <c r="I456" s="13" t="s">
        <v>79</v>
      </c>
      <c r="J456" s="21" t="str">
        <f>_xlfn.XLOOKUP(F456,'04_Account_Mapping'!$A$6:$A$14,'04_Account_Mapping'!$C$6:$C$14,"Unmapped",0)</f>
        <v>Revenue</v>
      </c>
      <c r="K456" s="21" t="str">
        <f>_xlfn.XLOOKUP(F456,'04_Account_Mapping'!$A$6:$A$14,'04_Account_Mapping'!$D$6:$D$14,"Unmapped",0)</f>
        <v>Income</v>
      </c>
    </row>
    <row r="457" spans="1:11">
      <c r="A457" s="16">
        <v>45931</v>
      </c>
      <c r="B457" s="13">
        <v>2025</v>
      </c>
      <c r="C457" s="13">
        <v>10</v>
      </c>
      <c r="D457" s="13" t="s">
        <v>73</v>
      </c>
      <c r="E457" s="13" t="s">
        <v>74</v>
      </c>
      <c r="F457" s="13" t="s">
        <v>58</v>
      </c>
      <c r="G457" s="19">
        <v>-3232.9629046216673</v>
      </c>
      <c r="H457" s="13" t="s">
        <v>71</v>
      </c>
      <c r="I457" s="13" t="s">
        <v>79</v>
      </c>
      <c r="J457" s="21" t="str">
        <f>_xlfn.XLOOKUP(F457,'04_Account_Mapping'!$A$6:$A$14,'04_Account_Mapping'!$C$6:$C$14,"Unmapped",0)</f>
        <v>COGS</v>
      </c>
      <c r="K457" s="21" t="str">
        <f>_xlfn.XLOOKUP(F457,'04_Account_Mapping'!$A$6:$A$14,'04_Account_Mapping'!$D$6:$D$14,"Unmapped",0)</f>
        <v>Expense</v>
      </c>
    </row>
    <row r="458" spans="1:11">
      <c r="A458" s="16">
        <v>45931</v>
      </c>
      <c r="B458" s="13">
        <v>2025</v>
      </c>
      <c r="C458" s="13">
        <v>10</v>
      </c>
      <c r="D458" s="13" t="s">
        <v>73</v>
      </c>
      <c r="E458" s="13" t="s">
        <v>74</v>
      </c>
      <c r="F458" s="13" t="s">
        <v>60</v>
      </c>
      <c r="G458" s="19">
        <v>-544.55075545836041</v>
      </c>
      <c r="H458" s="13" t="s">
        <v>71</v>
      </c>
      <c r="I458" s="13" t="s">
        <v>79</v>
      </c>
      <c r="J458" s="21" t="str">
        <f>_xlfn.XLOOKUP(F458,'04_Account_Mapping'!$A$6:$A$14,'04_Account_Mapping'!$C$6:$C$14,"Unmapped",0)</f>
        <v>Selling Expense</v>
      </c>
      <c r="K458" s="21" t="str">
        <f>_xlfn.XLOOKUP(F458,'04_Account_Mapping'!$A$6:$A$14,'04_Account_Mapping'!$D$6:$D$14,"Unmapped",0)</f>
        <v>Expense</v>
      </c>
    </row>
    <row r="459" spans="1:11">
      <c r="A459" s="16">
        <v>45931</v>
      </c>
      <c r="B459" s="13">
        <v>2025</v>
      </c>
      <c r="C459" s="13">
        <v>10</v>
      </c>
      <c r="D459" s="13" t="s">
        <v>73</v>
      </c>
      <c r="E459" s="13" t="s">
        <v>74</v>
      </c>
      <c r="F459" s="13" t="s">
        <v>61</v>
      </c>
      <c r="G459" s="19">
        <v>-102.13317542432063</v>
      </c>
      <c r="H459" s="13" t="s">
        <v>71</v>
      </c>
      <c r="I459" s="13" t="s">
        <v>79</v>
      </c>
      <c r="J459" s="21" t="str">
        <f>_xlfn.XLOOKUP(F459,'04_Account_Mapping'!$A$6:$A$14,'04_Account_Mapping'!$C$6:$C$14,"Unmapped",0)</f>
        <v>G&amp;A</v>
      </c>
      <c r="K459" s="21" t="str">
        <f>_xlfn.XLOOKUP(F459,'04_Account_Mapping'!$A$6:$A$14,'04_Account_Mapping'!$D$6:$D$14,"Unmapped",0)</f>
        <v>Expense</v>
      </c>
    </row>
    <row r="460" spans="1:11">
      <c r="A460" s="16">
        <v>45931</v>
      </c>
      <c r="B460" s="13">
        <v>2025</v>
      </c>
      <c r="C460" s="13">
        <v>10</v>
      </c>
      <c r="D460" s="13" t="s">
        <v>73</v>
      </c>
      <c r="E460" s="13" t="s">
        <v>74</v>
      </c>
      <c r="F460" s="13" t="s">
        <v>62</v>
      </c>
      <c r="G460" s="19">
        <v>80.535183490638246</v>
      </c>
      <c r="H460" s="13" t="s">
        <v>71</v>
      </c>
      <c r="I460" s="13" t="s">
        <v>79</v>
      </c>
      <c r="J460" s="21" t="str">
        <f>_xlfn.XLOOKUP(F460,'04_Account_Mapping'!$A$6:$A$14,'04_Account_Mapping'!$C$6:$C$14,"Unmapped",0)</f>
        <v>Finance Income</v>
      </c>
      <c r="K460" s="21" t="str">
        <f>_xlfn.XLOOKUP(F460,'04_Account_Mapping'!$A$6:$A$14,'04_Account_Mapping'!$D$6:$D$14,"Unmapped",0)</f>
        <v>Income</v>
      </c>
    </row>
    <row r="461" spans="1:11">
      <c r="A461" s="16">
        <v>45931</v>
      </c>
      <c r="B461" s="13">
        <v>2025</v>
      </c>
      <c r="C461" s="13">
        <v>10</v>
      </c>
      <c r="D461" s="13" t="s">
        <v>73</v>
      </c>
      <c r="E461" s="13" t="s">
        <v>74</v>
      </c>
      <c r="F461" s="13" t="s">
        <v>63</v>
      </c>
      <c r="G461" s="19">
        <v>-37.592004805399561</v>
      </c>
      <c r="H461" s="13" t="s">
        <v>71</v>
      </c>
      <c r="I461" s="13" t="s">
        <v>79</v>
      </c>
      <c r="J461" s="21" t="str">
        <f>_xlfn.XLOOKUP(F461,'04_Account_Mapping'!$A$6:$A$14,'04_Account_Mapping'!$C$6:$C$14,"Unmapped",0)</f>
        <v>Finance Expense</v>
      </c>
      <c r="K461" s="21" t="str">
        <f>_xlfn.XLOOKUP(F461,'04_Account_Mapping'!$A$6:$A$14,'04_Account_Mapping'!$D$6:$D$14,"Unmapped",0)</f>
        <v>Expense</v>
      </c>
    </row>
    <row r="462" spans="1:11">
      <c r="A462" s="16">
        <v>45931</v>
      </c>
      <c r="B462" s="13">
        <v>2025</v>
      </c>
      <c r="C462" s="13">
        <v>10</v>
      </c>
      <c r="D462" s="13" t="s">
        <v>73</v>
      </c>
      <c r="E462" s="13" t="s">
        <v>74</v>
      </c>
      <c r="F462" s="13" t="s">
        <v>64</v>
      </c>
      <c r="G462" s="19">
        <v>0.57047833604125253</v>
      </c>
      <c r="H462" s="13" t="s">
        <v>71</v>
      </c>
      <c r="I462" s="13" t="s">
        <v>79</v>
      </c>
      <c r="J462" s="21" t="str">
        <f>_xlfn.XLOOKUP(F462,'04_Account_Mapping'!$A$6:$A$14,'04_Account_Mapping'!$C$6:$C$14,"Unmapped",0)</f>
        <v>JV Profit/(Loss)</v>
      </c>
      <c r="K462" s="21" t="str">
        <f>_xlfn.XLOOKUP(F462,'04_Account_Mapping'!$A$6:$A$14,'04_Account_Mapping'!$D$6:$D$14,"Unmapped",0)</f>
        <v>Income</v>
      </c>
    </row>
    <row r="463" spans="1:11">
      <c r="A463" s="16">
        <v>45931</v>
      </c>
      <c r="B463" s="13">
        <v>2025</v>
      </c>
      <c r="C463" s="13">
        <v>10</v>
      </c>
      <c r="D463" s="13" t="s">
        <v>73</v>
      </c>
      <c r="E463" s="13" t="s">
        <v>74</v>
      </c>
      <c r="F463" s="13" t="s">
        <v>65</v>
      </c>
      <c r="G463" s="19">
        <v>0.54580153410579613</v>
      </c>
      <c r="H463" s="13" t="s">
        <v>71</v>
      </c>
      <c r="I463" s="13" t="s">
        <v>79</v>
      </c>
      <c r="J463" s="21" t="str">
        <f>_xlfn.XLOOKUP(F463,'04_Account_Mapping'!$A$6:$A$14,'04_Account_Mapping'!$C$6:$C$14,"Unmapped",0)</f>
        <v>Other Net</v>
      </c>
      <c r="K463" s="21" t="str">
        <f>_xlfn.XLOOKUP(F463,'04_Account_Mapping'!$A$6:$A$14,'04_Account_Mapping'!$D$6:$D$14,"Unmapped",0)</f>
        <v>Income</v>
      </c>
    </row>
    <row r="464" spans="1:11">
      <c r="A464" s="16">
        <v>45931</v>
      </c>
      <c r="B464" s="13">
        <v>2025</v>
      </c>
      <c r="C464" s="13">
        <v>10</v>
      </c>
      <c r="D464" s="13" t="s">
        <v>73</v>
      </c>
      <c r="E464" s="13" t="s">
        <v>74</v>
      </c>
      <c r="F464" s="13" t="s">
        <v>66</v>
      </c>
      <c r="G464" s="19">
        <v>-39.899562818150528</v>
      </c>
      <c r="H464" s="13" t="s">
        <v>71</v>
      </c>
      <c r="I464" s="13" t="s">
        <v>79</v>
      </c>
      <c r="J464" s="21" t="str">
        <f>_xlfn.XLOOKUP(F464,'04_Account_Mapping'!$A$6:$A$14,'04_Account_Mapping'!$C$6:$C$14,"Unmapped",0)</f>
        <v>Tax Expense</v>
      </c>
      <c r="K464" s="21" t="str">
        <f>_xlfn.XLOOKUP(F464,'04_Account_Mapping'!$A$6:$A$14,'04_Account_Mapping'!$D$6:$D$14,"Unmapped",0)</f>
        <v>Expense</v>
      </c>
    </row>
    <row r="465" spans="1:11">
      <c r="A465" s="16">
        <v>45931</v>
      </c>
      <c r="B465" s="13">
        <v>2025</v>
      </c>
      <c r="C465" s="13">
        <v>10</v>
      </c>
      <c r="D465" s="13" t="s">
        <v>75</v>
      </c>
      <c r="E465" s="13" t="s">
        <v>76</v>
      </c>
      <c r="F465" s="13" t="s">
        <v>55</v>
      </c>
      <c r="G465" s="19">
        <v>338.34680795324903</v>
      </c>
      <c r="H465" s="13" t="s">
        <v>69</v>
      </c>
      <c r="I465" s="13" t="s">
        <v>79</v>
      </c>
      <c r="J465" s="21" t="str">
        <f>_xlfn.XLOOKUP(F465,'04_Account_Mapping'!$A$6:$A$14,'04_Account_Mapping'!$C$6:$C$14,"Unmapped",0)</f>
        <v>Revenue</v>
      </c>
      <c r="K465" s="21" t="str">
        <f>_xlfn.XLOOKUP(F465,'04_Account_Mapping'!$A$6:$A$14,'04_Account_Mapping'!$D$6:$D$14,"Unmapped",0)</f>
        <v>Income</v>
      </c>
    </row>
    <row r="466" spans="1:11">
      <c r="A466" s="16">
        <v>45931</v>
      </c>
      <c r="B466" s="13">
        <v>2025</v>
      </c>
      <c r="C466" s="13">
        <v>10</v>
      </c>
      <c r="D466" s="13" t="s">
        <v>75</v>
      </c>
      <c r="E466" s="13" t="s">
        <v>76</v>
      </c>
      <c r="F466" s="13" t="s">
        <v>58</v>
      </c>
      <c r="G466" s="19">
        <v>-268.35545275478006</v>
      </c>
      <c r="H466" s="13" t="s">
        <v>71</v>
      </c>
      <c r="I466" s="13" t="s">
        <v>79</v>
      </c>
      <c r="J466" s="21" t="str">
        <f>_xlfn.XLOOKUP(F466,'04_Account_Mapping'!$A$6:$A$14,'04_Account_Mapping'!$C$6:$C$14,"Unmapped",0)</f>
        <v>COGS</v>
      </c>
      <c r="K466" s="21" t="str">
        <f>_xlfn.XLOOKUP(F466,'04_Account_Mapping'!$A$6:$A$14,'04_Account_Mapping'!$D$6:$D$14,"Unmapped",0)</f>
        <v>Expense</v>
      </c>
    </row>
    <row r="467" spans="1:11">
      <c r="A467" s="16">
        <v>45931</v>
      </c>
      <c r="B467" s="13">
        <v>2025</v>
      </c>
      <c r="C467" s="13">
        <v>10</v>
      </c>
      <c r="D467" s="13" t="s">
        <v>75</v>
      </c>
      <c r="E467" s="13" t="s">
        <v>76</v>
      </c>
      <c r="F467" s="13" t="s">
        <v>60</v>
      </c>
      <c r="G467" s="19">
        <v>-45.201002560246458</v>
      </c>
      <c r="H467" s="13" t="s">
        <v>71</v>
      </c>
      <c r="I467" s="13" t="s">
        <v>79</v>
      </c>
      <c r="J467" s="21" t="str">
        <f>_xlfn.XLOOKUP(F467,'04_Account_Mapping'!$A$6:$A$14,'04_Account_Mapping'!$C$6:$C$14,"Unmapped",0)</f>
        <v>Selling Expense</v>
      </c>
      <c r="K467" s="21" t="str">
        <f>_xlfn.XLOOKUP(F467,'04_Account_Mapping'!$A$6:$A$14,'04_Account_Mapping'!$D$6:$D$14,"Unmapped",0)</f>
        <v>Expense</v>
      </c>
    </row>
    <row r="468" spans="1:11">
      <c r="A468" s="16">
        <v>45931</v>
      </c>
      <c r="B468" s="13">
        <v>2025</v>
      </c>
      <c r="C468" s="13">
        <v>10</v>
      </c>
      <c r="D468" s="13" t="s">
        <v>75</v>
      </c>
      <c r="E468" s="13" t="s">
        <v>76</v>
      </c>
      <c r="F468" s="13" t="s">
        <v>61</v>
      </c>
      <c r="G468" s="19">
        <v>-8.4776705891354229</v>
      </c>
      <c r="H468" s="13" t="s">
        <v>71</v>
      </c>
      <c r="I468" s="13" t="s">
        <v>79</v>
      </c>
      <c r="J468" s="21" t="str">
        <f>_xlfn.XLOOKUP(F468,'04_Account_Mapping'!$A$6:$A$14,'04_Account_Mapping'!$C$6:$C$14,"Unmapped",0)</f>
        <v>G&amp;A</v>
      </c>
      <c r="K468" s="21" t="str">
        <f>_xlfn.XLOOKUP(F468,'04_Account_Mapping'!$A$6:$A$14,'04_Account_Mapping'!$D$6:$D$14,"Unmapped",0)</f>
        <v>Expense</v>
      </c>
    </row>
    <row r="469" spans="1:11">
      <c r="A469" s="16">
        <v>45931</v>
      </c>
      <c r="B469" s="13">
        <v>2025</v>
      </c>
      <c r="C469" s="13">
        <v>10</v>
      </c>
      <c r="D469" s="13" t="s">
        <v>75</v>
      </c>
      <c r="E469" s="13" t="s">
        <v>76</v>
      </c>
      <c r="F469" s="13" t="s">
        <v>62</v>
      </c>
      <c r="G469" s="19">
        <v>6.6849067762033698</v>
      </c>
      <c r="H469" s="13" t="s">
        <v>71</v>
      </c>
      <c r="I469" s="13" t="s">
        <v>79</v>
      </c>
      <c r="J469" s="21" t="str">
        <f>_xlfn.XLOOKUP(F469,'04_Account_Mapping'!$A$6:$A$14,'04_Account_Mapping'!$C$6:$C$14,"Unmapped",0)</f>
        <v>Finance Income</v>
      </c>
      <c r="K469" s="21" t="str">
        <f>_xlfn.XLOOKUP(F469,'04_Account_Mapping'!$A$6:$A$14,'04_Account_Mapping'!$D$6:$D$14,"Unmapped",0)</f>
        <v>Income</v>
      </c>
    </row>
    <row r="470" spans="1:11">
      <c r="A470" s="16">
        <v>45931</v>
      </c>
      <c r="B470" s="13">
        <v>2025</v>
      </c>
      <c r="C470" s="13">
        <v>10</v>
      </c>
      <c r="D470" s="13" t="s">
        <v>75</v>
      </c>
      <c r="E470" s="13" t="s">
        <v>76</v>
      </c>
      <c r="F470" s="13" t="s">
        <v>63</v>
      </c>
      <c r="G470" s="19">
        <v>-3.1203635077567964</v>
      </c>
      <c r="H470" s="13" t="s">
        <v>71</v>
      </c>
      <c r="I470" s="13" t="s">
        <v>79</v>
      </c>
      <c r="J470" s="21" t="str">
        <f>_xlfn.XLOOKUP(F470,'04_Account_Mapping'!$A$6:$A$14,'04_Account_Mapping'!$C$6:$C$14,"Unmapped",0)</f>
        <v>Finance Expense</v>
      </c>
      <c r="K470" s="21" t="str">
        <f>_xlfn.XLOOKUP(F470,'04_Account_Mapping'!$A$6:$A$14,'04_Account_Mapping'!$D$6:$D$14,"Unmapped",0)</f>
        <v>Expense</v>
      </c>
    </row>
    <row r="471" spans="1:11">
      <c r="A471" s="16">
        <v>45931</v>
      </c>
      <c r="B471" s="13">
        <v>2025</v>
      </c>
      <c r="C471" s="13">
        <v>10</v>
      </c>
      <c r="D471" s="13" t="s">
        <v>75</v>
      </c>
      <c r="E471" s="13" t="s">
        <v>76</v>
      </c>
      <c r="F471" s="13" t="s">
        <v>64</v>
      </c>
      <c r="G471" s="19">
        <v>4.7353148387905532E-2</v>
      </c>
      <c r="H471" s="13" t="s">
        <v>71</v>
      </c>
      <c r="I471" s="13" t="s">
        <v>79</v>
      </c>
      <c r="J471" s="21" t="str">
        <f>_xlfn.XLOOKUP(F471,'04_Account_Mapping'!$A$6:$A$14,'04_Account_Mapping'!$C$6:$C$14,"Unmapped",0)</f>
        <v>JV Profit/(Loss)</v>
      </c>
      <c r="K471" s="21" t="str">
        <f>_xlfn.XLOOKUP(F471,'04_Account_Mapping'!$A$6:$A$14,'04_Account_Mapping'!$D$6:$D$14,"Unmapped",0)</f>
        <v>Income</v>
      </c>
    </row>
    <row r="472" spans="1:11">
      <c r="A472" s="16">
        <v>45931</v>
      </c>
      <c r="B472" s="13">
        <v>2025</v>
      </c>
      <c r="C472" s="13">
        <v>10</v>
      </c>
      <c r="D472" s="13" t="s">
        <v>75</v>
      </c>
      <c r="E472" s="13" t="s">
        <v>76</v>
      </c>
      <c r="F472" s="13" t="s">
        <v>65</v>
      </c>
      <c r="G472" s="19">
        <v>4.530482474445674E-2</v>
      </c>
      <c r="H472" s="13" t="s">
        <v>71</v>
      </c>
      <c r="I472" s="13" t="s">
        <v>79</v>
      </c>
      <c r="J472" s="21" t="str">
        <f>_xlfn.XLOOKUP(F472,'04_Account_Mapping'!$A$6:$A$14,'04_Account_Mapping'!$C$6:$C$14,"Unmapped",0)</f>
        <v>Other Net</v>
      </c>
      <c r="K472" s="21" t="str">
        <f>_xlfn.XLOOKUP(F472,'04_Account_Mapping'!$A$6:$A$14,'04_Account_Mapping'!$D$6:$D$14,"Unmapped",0)</f>
        <v>Income</v>
      </c>
    </row>
    <row r="473" spans="1:11">
      <c r="A473" s="16">
        <v>45931</v>
      </c>
      <c r="B473" s="13">
        <v>2025</v>
      </c>
      <c r="C473" s="13">
        <v>10</v>
      </c>
      <c r="D473" s="13" t="s">
        <v>75</v>
      </c>
      <c r="E473" s="13" t="s">
        <v>76</v>
      </c>
      <c r="F473" s="13" t="s">
        <v>66</v>
      </c>
      <c r="G473" s="19">
        <v>-3.311904763731143</v>
      </c>
      <c r="H473" s="13" t="s">
        <v>71</v>
      </c>
      <c r="I473" s="13" t="s">
        <v>79</v>
      </c>
      <c r="J473" s="21" t="str">
        <f>_xlfn.XLOOKUP(F473,'04_Account_Mapping'!$A$6:$A$14,'04_Account_Mapping'!$C$6:$C$14,"Unmapped",0)</f>
        <v>Tax Expense</v>
      </c>
      <c r="K473" s="21" t="str">
        <f>_xlfn.XLOOKUP(F473,'04_Account_Mapping'!$A$6:$A$14,'04_Account_Mapping'!$D$6:$D$14,"Unmapped",0)</f>
        <v>Expense</v>
      </c>
    </row>
    <row r="474" spans="1:11">
      <c r="A474" s="16">
        <v>45962</v>
      </c>
      <c r="B474" s="13">
        <v>2025</v>
      </c>
      <c r="C474" s="13">
        <v>11</v>
      </c>
      <c r="D474" s="13" t="s">
        <v>67</v>
      </c>
      <c r="E474" s="13" t="s">
        <v>68</v>
      </c>
      <c r="F474" s="13" t="s">
        <v>55</v>
      </c>
      <c r="G474" s="19">
        <v>3571.1480047506452</v>
      </c>
      <c r="H474" s="13" t="s">
        <v>69</v>
      </c>
      <c r="I474" s="13" t="s">
        <v>79</v>
      </c>
      <c r="J474" s="21" t="str">
        <f>_xlfn.XLOOKUP(F474,'04_Account_Mapping'!$A$6:$A$14,'04_Account_Mapping'!$C$6:$C$14,"Unmapped",0)</f>
        <v>Revenue</v>
      </c>
      <c r="K474" s="21" t="str">
        <f>_xlfn.XLOOKUP(F474,'04_Account_Mapping'!$A$6:$A$14,'04_Account_Mapping'!$D$6:$D$14,"Unmapped",0)</f>
        <v>Income</v>
      </c>
    </row>
    <row r="475" spans="1:11">
      <c r="A475" s="16">
        <v>45962</v>
      </c>
      <c r="B475" s="13">
        <v>2025</v>
      </c>
      <c r="C475" s="13">
        <v>11</v>
      </c>
      <c r="D475" s="13" t="s">
        <v>67</v>
      </c>
      <c r="E475" s="13" t="s">
        <v>68</v>
      </c>
      <c r="F475" s="13" t="s">
        <v>58</v>
      </c>
      <c r="G475" s="19">
        <v>-2832.4104650681575</v>
      </c>
      <c r="H475" s="13" t="s">
        <v>71</v>
      </c>
      <c r="I475" s="13" t="s">
        <v>79</v>
      </c>
      <c r="J475" s="21" t="str">
        <f>_xlfn.XLOOKUP(F475,'04_Account_Mapping'!$A$6:$A$14,'04_Account_Mapping'!$C$6:$C$14,"Unmapped",0)</f>
        <v>COGS</v>
      </c>
      <c r="K475" s="21" t="str">
        <f>_xlfn.XLOOKUP(F475,'04_Account_Mapping'!$A$6:$A$14,'04_Account_Mapping'!$D$6:$D$14,"Unmapped",0)</f>
        <v>Expense</v>
      </c>
    </row>
    <row r="476" spans="1:11">
      <c r="A476" s="16">
        <v>45962</v>
      </c>
      <c r="B476" s="13">
        <v>2025</v>
      </c>
      <c r="C476" s="13">
        <v>11</v>
      </c>
      <c r="D476" s="13" t="s">
        <v>67</v>
      </c>
      <c r="E476" s="13" t="s">
        <v>68</v>
      </c>
      <c r="F476" s="13" t="s">
        <v>60</v>
      </c>
      <c r="G476" s="19">
        <v>-477.08288156233181</v>
      </c>
      <c r="H476" s="13" t="s">
        <v>71</v>
      </c>
      <c r="I476" s="13" t="s">
        <v>79</v>
      </c>
      <c r="J476" s="21" t="str">
        <f>_xlfn.XLOOKUP(F476,'04_Account_Mapping'!$A$6:$A$14,'04_Account_Mapping'!$C$6:$C$14,"Unmapped",0)</f>
        <v>Selling Expense</v>
      </c>
      <c r="K476" s="21" t="str">
        <f>_xlfn.XLOOKUP(F476,'04_Account_Mapping'!$A$6:$A$14,'04_Account_Mapping'!$D$6:$D$14,"Unmapped",0)</f>
        <v>Expense</v>
      </c>
    </row>
    <row r="477" spans="1:11">
      <c r="A477" s="16">
        <v>45962</v>
      </c>
      <c r="B477" s="13">
        <v>2025</v>
      </c>
      <c r="C477" s="13">
        <v>11</v>
      </c>
      <c r="D477" s="13" t="s">
        <v>67</v>
      </c>
      <c r="E477" s="13" t="s">
        <v>68</v>
      </c>
      <c r="F477" s="13" t="s">
        <v>61</v>
      </c>
      <c r="G477" s="19">
        <v>-89.479243479392977</v>
      </c>
      <c r="H477" s="13" t="s">
        <v>71</v>
      </c>
      <c r="I477" s="13" t="s">
        <v>79</v>
      </c>
      <c r="J477" s="21" t="str">
        <f>_xlfn.XLOOKUP(F477,'04_Account_Mapping'!$A$6:$A$14,'04_Account_Mapping'!$C$6:$C$14,"Unmapped",0)</f>
        <v>G&amp;A</v>
      </c>
      <c r="K477" s="21" t="str">
        <f>_xlfn.XLOOKUP(F477,'04_Account_Mapping'!$A$6:$A$14,'04_Account_Mapping'!$D$6:$D$14,"Unmapped",0)</f>
        <v>Expense</v>
      </c>
    </row>
    <row r="478" spans="1:11">
      <c r="A478" s="16">
        <v>45962</v>
      </c>
      <c r="B478" s="13">
        <v>2025</v>
      </c>
      <c r="C478" s="13">
        <v>11</v>
      </c>
      <c r="D478" s="13" t="s">
        <v>67</v>
      </c>
      <c r="E478" s="13" t="s">
        <v>68</v>
      </c>
      <c r="F478" s="13" t="s">
        <v>62</v>
      </c>
      <c r="G478" s="19">
        <v>70.557164822082044</v>
      </c>
      <c r="H478" s="13" t="s">
        <v>71</v>
      </c>
      <c r="I478" s="13" t="s">
        <v>79</v>
      </c>
      <c r="J478" s="21" t="str">
        <f>_xlfn.XLOOKUP(F478,'04_Account_Mapping'!$A$6:$A$14,'04_Account_Mapping'!$C$6:$C$14,"Unmapped",0)</f>
        <v>Finance Income</v>
      </c>
      <c r="K478" s="21" t="str">
        <f>_xlfn.XLOOKUP(F478,'04_Account_Mapping'!$A$6:$A$14,'04_Account_Mapping'!$D$6:$D$14,"Unmapped",0)</f>
        <v>Income</v>
      </c>
    </row>
    <row r="479" spans="1:11">
      <c r="A479" s="16">
        <v>45962</v>
      </c>
      <c r="B479" s="13">
        <v>2025</v>
      </c>
      <c r="C479" s="13">
        <v>11</v>
      </c>
      <c r="D479" s="13" t="s">
        <v>67</v>
      </c>
      <c r="E479" s="13" t="s">
        <v>68</v>
      </c>
      <c r="F479" s="13" t="s">
        <v>63</v>
      </c>
      <c r="G479" s="19">
        <v>-32.934491039626202</v>
      </c>
      <c r="H479" s="13" t="s">
        <v>71</v>
      </c>
      <c r="I479" s="13" t="s">
        <v>79</v>
      </c>
      <c r="J479" s="21" t="str">
        <f>_xlfn.XLOOKUP(F479,'04_Account_Mapping'!$A$6:$A$14,'04_Account_Mapping'!$C$6:$C$14,"Unmapped",0)</f>
        <v>Finance Expense</v>
      </c>
      <c r="K479" s="21" t="str">
        <f>_xlfn.XLOOKUP(F479,'04_Account_Mapping'!$A$6:$A$14,'04_Account_Mapping'!$D$6:$D$14,"Unmapped",0)</f>
        <v>Expense</v>
      </c>
    </row>
    <row r="480" spans="1:11">
      <c r="A480" s="16">
        <v>45962</v>
      </c>
      <c r="B480" s="13">
        <v>2025</v>
      </c>
      <c r="C480" s="13">
        <v>11</v>
      </c>
      <c r="D480" s="13" t="s">
        <v>67</v>
      </c>
      <c r="E480" s="13" t="s">
        <v>68</v>
      </c>
      <c r="F480" s="13" t="s">
        <v>64</v>
      </c>
      <c r="G480" s="19">
        <v>0.49979812845610205</v>
      </c>
      <c r="H480" s="13" t="s">
        <v>71</v>
      </c>
      <c r="I480" s="13" t="s">
        <v>79</v>
      </c>
      <c r="J480" s="21" t="str">
        <f>_xlfn.XLOOKUP(F480,'04_Account_Mapping'!$A$6:$A$14,'04_Account_Mapping'!$C$6:$C$14,"Unmapped",0)</f>
        <v>JV Profit/(Loss)</v>
      </c>
      <c r="K480" s="21" t="str">
        <f>_xlfn.XLOOKUP(F480,'04_Account_Mapping'!$A$6:$A$14,'04_Account_Mapping'!$D$6:$D$14,"Unmapped",0)</f>
        <v>Income</v>
      </c>
    </row>
    <row r="481" spans="1:11">
      <c r="A481" s="16">
        <v>45962</v>
      </c>
      <c r="B481" s="13">
        <v>2025</v>
      </c>
      <c r="C481" s="13">
        <v>11</v>
      </c>
      <c r="D481" s="13" t="s">
        <v>67</v>
      </c>
      <c r="E481" s="13" t="s">
        <v>68</v>
      </c>
      <c r="F481" s="13" t="s">
        <v>65</v>
      </c>
      <c r="G481" s="19">
        <v>0.47817869324808182</v>
      </c>
      <c r="H481" s="13" t="s">
        <v>71</v>
      </c>
      <c r="I481" s="13" t="s">
        <v>79</v>
      </c>
      <c r="J481" s="21" t="str">
        <f>_xlfn.XLOOKUP(F481,'04_Account_Mapping'!$A$6:$A$14,'04_Account_Mapping'!$C$6:$C$14,"Unmapped",0)</f>
        <v>Other Net</v>
      </c>
      <c r="K481" s="21" t="str">
        <f>_xlfn.XLOOKUP(F481,'04_Account_Mapping'!$A$6:$A$14,'04_Account_Mapping'!$D$6:$D$14,"Unmapped",0)</f>
        <v>Income</v>
      </c>
    </row>
    <row r="482" spans="1:11">
      <c r="A482" s="16">
        <v>45962</v>
      </c>
      <c r="B482" s="13">
        <v>2025</v>
      </c>
      <c r="C482" s="13">
        <v>11</v>
      </c>
      <c r="D482" s="13" t="s">
        <v>67</v>
      </c>
      <c r="E482" s="13" t="s">
        <v>68</v>
      </c>
      <c r="F482" s="13" t="s">
        <v>66</v>
      </c>
      <c r="G482" s="19">
        <v>-34.956150940123131</v>
      </c>
      <c r="H482" s="13" t="s">
        <v>71</v>
      </c>
      <c r="I482" s="13" t="s">
        <v>79</v>
      </c>
      <c r="J482" s="21" t="str">
        <f>_xlfn.XLOOKUP(F482,'04_Account_Mapping'!$A$6:$A$14,'04_Account_Mapping'!$C$6:$C$14,"Unmapped",0)</f>
        <v>Tax Expense</v>
      </c>
      <c r="K482" s="21" t="str">
        <f>_xlfn.XLOOKUP(F482,'04_Account_Mapping'!$A$6:$A$14,'04_Account_Mapping'!$D$6:$D$14,"Unmapped",0)</f>
        <v>Expense</v>
      </c>
    </row>
    <row r="483" spans="1:11">
      <c r="A483" s="16">
        <v>45962</v>
      </c>
      <c r="B483" s="13">
        <v>2025</v>
      </c>
      <c r="C483" s="13">
        <v>11</v>
      </c>
      <c r="D483" s="13" t="s">
        <v>72</v>
      </c>
      <c r="E483" s="13" t="s">
        <v>68</v>
      </c>
      <c r="F483" s="13" t="s">
        <v>55</v>
      </c>
      <c r="G483" s="19">
        <v>5965.722788451877</v>
      </c>
      <c r="H483" s="13" t="s">
        <v>69</v>
      </c>
      <c r="I483" s="13" t="s">
        <v>79</v>
      </c>
      <c r="J483" s="21" t="str">
        <f>_xlfn.XLOOKUP(F483,'04_Account_Mapping'!$A$6:$A$14,'04_Account_Mapping'!$C$6:$C$14,"Unmapped",0)</f>
        <v>Revenue</v>
      </c>
      <c r="K483" s="21" t="str">
        <f>_xlfn.XLOOKUP(F483,'04_Account_Mapping'!$A$6:$A$14,'04_Account_Mapping'!$D$6:$D$14,"Unmapped",0)</f>
        <v>Income</v>
      </c>
    </row>
    <row r="484" spans="1:11">
      <c r="A484" s="16">
        <v>45962</v>
      </c>
      <c r="B484" s="13">
        <v>2025</v>
      </c>
      <c r="C484" s="13">
        <v>11</v>
      </c>
      <c r="D484" s="13" t="s">
        <v>72</v>
      </c>
      <c r="E484" s="13" t="s">
        <v>68</v>
      </c>
      <c r="F484" s="13" t="s">
        <v>58</v>
      </c>
      <c r="G484" s="19">
        <v>-4731.6368952584317</v>
      </c>
      <c r="H484" s="13" t="s">
        <v>71</v>
      </c>
      <c r="I484" s="13" t="s">
        <v>79</v>
      </c>
      <c r="J484" s="21" t="str">
        <f>_xlfn.XLOOKUP(F484,'04_Account_Mapping'!$A$6:$A$14,'04_Account_Mapping'!$C$6:$C$14,"Unmapped",0)</f>
        <v>COGS</v>
      </c>
      <c r="K484" s="21" t="str">
        <f>_xlfn.XLOOKUP(F484,'04_Account_Mapping'!$A$6:$A$14,'04_Account_Mapping'!$D$6:$D$14,"Unmapped",0)</f>
        <v>Expense</v>
      </c>
    </row>
    <row r="485" spans="1:11">
      <c r="A485" s="16">
        <v>45962</v>
      </c>
      <c r="B485" s="13">
        <v>2025</v>
      </c>
      <c r="C485" s="13">
        <v>11</v>
      </c>
      <c r="D485" s="13" t="s">
        <v>72</v>
      </c>
      <c r="E485" s="13" t="s">
        <v>68</v>
      </c>
      <c r="F485" s="13" t="s">
        <v>60</v>
      </c>
      <c r="G485" s="19">
        <v>-796.98299110832352</v>
      </c>
      <c r="H485" s="13" t="s">
        <v>71</v>
      </c>
      <c r="I485" s="13" t="s">
        <v>79</v>
      </c>
      <c r="J485" s="21" t="str">
        <f>_xlfn.XLOOKUP(F485,'04_Account_Mapping'!$A$6:$A$14,'04_Account_Mapping'!$C$6:$C$14,"Unmapped",0)</f>
        <v>Selling Expense</v>
      </c>
      <c r="K485" s="21" t="str">
        <f>_xlfn.XLOOKUP(F485,'04_Account_Mapping'!$A$6:$A$14,'04_Account_Mapping'!$D$6:$D$14,"Unmapped",0)</f>
        <v>Expense</v>
      </c>
    </row>
    <row r="486" spans="1:11">
      <c r="A486" s="16">
        <v>45962</v>
      </c>
      <c r="B486" s="13">
        <v>2025</v>
      </c>
      <c r="C486" s="13">
        <v>11</v>
      </c>
      <c r="D486" s="13" t="s">
        <v>72</v>
      </c>
      <c r="E486" s="13" t="s">
        <v>68</v>
      </c>
      <c r="F486" s="13" t="s">
        <v>61</v>
      </c>
      <c r="G486" s="19">
        <v>-149.47808413662256</v>
      </c>
      <c r="H486" s="13" t="s">
        <v>71</v>
      </c>
      <c r="I486" s="13" t="s">
        <v>79</v>
      </c>
      <c r="J486" s="21" t="str">
        <f>_xlfn.XLOOKUP(F486,'04_Account_Mapping'!$A$6:$A$14,'04_Account_Mapping'!$C$6:$C$14,"Unmapped",0)</f>
        <v>G&amp;A</v>
      </c>
      <c r="K486" s="21" t="str">
        <f>_xlfn.XLOOKUP(F486,'04_Account_Mapping'!$A$6:$A$14,'04_Account_Mapping'!$D$6:$D$14,"Unmapped",0)</f>
        <v>Expense</v>
      </c>
    </row>
    <row r="487" spans="1:11">
      <c r="A487" s="16">
        <v>45962</v>
      </c>
      <c r="B487" s="13">
        <v>2025</v>
      </c>
      <c r="C487" s="13">
        <v>11</v>
      </c>
      <c r="D487" s="13" t="s">
        <v>72</v>
      </c>
      <c r="E487" s="13" t="s">
        <v>68</v>
      </c>
      <c r="F487" s="13" t="s">
        <v>62</v>
      </c>
      <c r="G487" s="19">
        <v>117.86811566132245</v>
      </c>
      <c r="H487" s="13" t="s">
        <v>71</v>
      </c>
      <c r="I487" s="13" t="s">
        <v>79</v>
      </c>
      <c r="J487" s="21" t="str">
        <f>_xlfn.XLOOKUP(F487,'04_Account_Mapping'!$A$6:$A$14,'04_Account_Mapping'!$C$6:$C$14,"Unmapped",0)</f>
        <v>Finance Income</v>
      </c>
      <c r="K487" s="21" t="str">
        <f>_xlfn.XLOOKUP(F487,'04_Account_Mapping'!$A$6:$A$14,'04_Account_Mapping'!$D$6:$D$14,"Unmapped",0)</f>
        <v>Income</v>
      </c>
    </row>
    <row r="488" spans="1:11">
      <c r="A488" s="16">
        <v>45962</v>
      </c>
      <c r="B488" s="13">
        <v>2025</v>
      </c>
      <c r="C488" s="13">
        <v>11</v>
      </c>
      <c r="D488" s="13" t="s">
        <v>72</v>
      </c>
      <c r="E488" s="13" t="s">
        <v>68</v>
      </c>
      <c r="F488" s="13" t="s">
        <v>63</v>
      </c>
      <c r="G488" s="19">
        <v>-55.018174396521886</v>
      </c>
      <c r="H488" s="13" t="s">
        <v>71</v>
      </c>
      <c r="I488" s="13" t="s">
        <v>79</v>
      </c>
      <c r="J488" s="21" t="str">
        <f>_xlfn.XLOOKUP(F488,'04_Account_Mapping'!$A$6:$A$14,'04_Account_Mapping'!$C$6:$C$14,"Unmapped",0)</f>
        <v>Finance Expense</v>
      </c>
      <c r="K488" s="21" t="str">
        <f>_xlfn.XLOOKUP(F488,'04_Account_Mapping'!$A$6:$A$14,'04_Account_Mapping'!$D$6:$D$14,"Unmapped",0)</f>
        <v>Expense</v>
      </c>
    </row>
    <row r="489" spans="1:11">
      <c r="A489" s="16">
        <v>45962</v>
      </c>
      <c r="B489" s="13">
        <v>2025</v>
      </c>
      <c r="C489" s="13">
        <v>11</v>
      </c>
      <c r="D489" s="13" t="s">
        <v>72</v>
      </c>
      <c r="E489" s="13" t="s">
        <v>68</v>
      </c>
      <c r="F489" s="13" t="s">
        <v>64</v>
      </c>
      <c r="G489" s="19">
        <v>0.83492957463250261</v>
      </c>
      <c r="H489" s="13" t="s">
        <v>71</v>
      </c>
      <c r="I489" s="13" t="s">
        <v>79</v>
      </c>
      <c r="J489" s="21" t="str">
        <f>_xlfn.XLOOKUP(F489,'04_Account_Mapping'!$A$6:$A$14,'04_Account_Mapping'!$C$6:$C$14,"Unmapped",0)</f>
        <v>JV Profit/(Loss)</v>
      </c>
      <c r="K489" s="21" t="str">
        <f>_xlfn.XLOOKUP(F489,'04_Account_Mapping'!$A$6:$A$14,'04_Account_Mapping'!$D$6:$D$14,"Unmapped",0)</f>
        <v>Income</v>
      </c>
    </row>
    <row r="490" spans="1:11">
      <c r="A490" s="16">
        <v>45962</v>
      </c>
      <c r="B490" s="13">
        <v>2025</v>
      </c>
      <c r="C490" s="13">
        <v>11</v>
      </c>
      <c r="D490" s="13" t="s">
        <v>72</v>
      </c>
      <c r="E490" s="13" t="s">
        <v>68</v>
      </c>
      <c r="F490" s="13" t="s">
        <v>65</v>
      </c>
      <c r="G490" s="19">
        <v>0.79881358136580771</v>
      </c>
      <c r="H490" s="13" t="s">
        <v>71</v>
      </c>
      <c r="I490" s="13" t="s">
        <v>79</v>
      </c>
      <c r="J490" s="21" t="str">
        <f>_xlfn.XLOOKUP(F490,'04_Account_Mapping'!$A$6:$A$14,'04_Account_Mapping'!$C$6:$C$14,"Unmapped",0)</f>
        <v>Other Net</v>
      </c>
      <c r="K490" s="21" t="str">
        <f>_xlfn.XLOOKUP(F490,'04_Account_Mapping'!$A$6:$A$14,'04_Account_Mapping'!$D$6:$D$14,"Unmapped",0)</f>
        <v>Income</v>
      </c>
    </row>
    <row r="491" spans="1:11">
      <c r="A491" s="16">
        <v>45962</v>
      </c>
      <c r="B491" s="13">
        <v>2025</v>
      </c>
      <c r="C491" s="13">
        <v>11</v>
      </c>
      <c r="D491" s="13" t="s">
        <v>72</v>
      </c>
      <c r="E491" s="13" t="s">
        <v>68</v>
      </c>
      <c r="F491" s="13" t="s">
        <v>66</v>
      </c>
      <c r="G491" s="19">
        <v>-58.395425219744503</v>
      </c>
      <c r="H491" s="13" t="s">
        <v>71</v>
      </c>
      <c r="I491" s="13" t="s">
        <v>79</v>
      </c>
      <c r="J491" s="21" t="str">
        <f>_xlfn.XLOOKUP(F491,'04_Account_Mapping'!$A$6:$A$14,'04_Account_Mapping'!$C$6:$C$14,"Unmapped",0)</f>
        <v>Tax Expense</v>
      </c>
      <c r="K491" s="21" t="str">
        <f>_xlfn.XLOOKUP(F491,'04_Account_Mapping'!$A$6:$A$14,'04_Account_Mapping'!$D$6:$D$14,"Unmapped",0)</f>
        <v>Expense</v>
      </c>
    </row>
    <row r="492" spans="1:11">
      <c r="A492" s="16">
        <v>45962</v>
      </c>
      <c r="B492" s="13">
        <v>2025</v>
      </c>
      <c r="C492" s="13">
        <v>11</v>
      </c>
      <c r="D492" s="13" t="s">
        <v>73</v>
      </c>
      <c r="E492" s="13" t="s">
        <v>74</v>
      </c>
      <c r="F492" s="13" t="s">
        <v>55</v>
      </c>
      <c r="G492" s="19">
        <v>4022.6940494799737</v>
      </c>
      <c r="H492" s="13" t="s">
        <v>69</v>
      </c>
      <c r="I492" s="13" t="s">
        <v>79</v>
      </c>
      <c r="J492" s="21" t="str">
        <f>_xlfn.XLOOKUP(F492,'04_Account_Mapping'!$A$6:$A$14,'04_Account_Mapping'!$C$6:$C$14,"Unmapped",0)</f>
        <v>Revenue</v>
      </c>
      <c r="K492" s="21" t="str">
        <f>_xlfn.XLOOKUP(F492,'04_Account_Mapping'!$A$6:$A$14,'04_Account_Mapping'!$D$6:$D$14,"Unmapped",0)</f>
        <v>Income</v>
      </c>
    </row>
    <row r="493" spans="1:11">
      <c r="A493" s="16">
        <v>45962</v>
      </c>
      <c r="B493" s="13">
        <v>2025</v>
      </c>
      <c r="C493" s="13">
        <v>11</v>
      </c>
      <c r="D493" s="13" t="s">
        <v>73</v>
      </c>
      <c r="E493" s="13" t="s">
        <v>74</v>
      </c>
      <c r="F493" s="13" t="s">
        <v>58</v>
      </c>
      <c r="G493" s="19">
        <v>-3190.548447826111</v>
      </c>
      <c r="H493" s="13" t="s">
        <v>71</v>
      </c>
      <c r="I493" s="13" t="s">
        <v>79</v>
      </c>
      <c r="J493" s="21" t="str">
        <f>_xlfn.XLOOKUP(F493,'04_Account_Mapping'!$A$6:$A$14,'04_Account_Mapping'!$C$6:$C$14,"Unmapped",0)</f>
        <v>COGS</v>
      </c>
      <c r="K493" s="21" t="str">
        <f>_xlfn.XLOOKUP(F493,'04_Account_Mapping'!$A$6:$A$14,'04_Account_Mapping'!$D$6:$D$14,"Unmapped",0)</f>
        <v>Expense</v>
      </c>
    </row>
    <row r="494" spans="1:11">
      <c r="A494" s="16">
        <v>45962</v>
      </c>
      <c r="B494" s="13">
        <v>2025</v>
      </c>
      <c r="C494" s="13">
        <v>11</v>
      </c>
      <c r="D494" s="13" t="s">
        <v>73</v>
      </c>
      <c r="E494" s="13" t="s">
        <v>74</v>
      </c>
      <c r="F494" s="13" t="s">
        <v>60</v>
      </c>
      <c r="G494" s="19">
        <v>-537.40658920227429</v>
      </c>
      <c r="H494" s="13" t="s">
        <v>71</v>
      </c>
      <c r="I494" s="13" t="s">
        <v>79</v>
      </c>
      <c r="J494" s="21" t="str">
        <f>_xlfn.XLOOKUP(F494,'04_Account_Mapping'!$A$6:$A$14,'04_Account_Mapping'!$C$6:$C$14,"Unmapped",0)</f>
        <v>Selling Expense</v>
      </c>
      <c r="K494" s="21" t="str">
        <f>_xlfn.XLOOKUP(F494,'04_Account_Mapping'!$A$6:$A$14,'04_Account_Mapping'!$D$6:$D$14,"Unmapped",0)</f>
        <v>Expense</v>
      </c>
    </row>
    <row r="495" spans="1:11">
      <c r="A495" s="16">
        <v>45962</v>
      </c>
      <c r="B495" s="13">
        <v>2025</v>
      </c>
      <c r="C495" s="13">
        <v>11</v>
      </c>
      <c r="D495" s="13" t="s">
        <v>73</v>
      </c>
      <c r="E495" s="13" t="s">
        <v>74</v>
      </c>
      <c r="F495" s="13" t="s">
        <v>61</v>
      </c>
      <c r="G495" s="19">
        <v>-100.79325186682011</v>
      </c>
      <c r="H495" s="13" t="s">
        <v>71</v>
      </c>
      <c r="I495" s="13" t="s">
        <v>79</v>
      </c>
      <c r="J495" s="21" t="str">
        <f>_xlfn.XLOOKUP(F495,'04_Account_Mapping'!$A$6:$A$14,'04_Account_Mapping'!$C$6:$C$14,"Unmapped",0)</f>
        <v>G&amp;A</v>
      </c>
      <c r="K495" s="21" t="str">
        <f>_xlfn.XLOOKUP(F495,'04_Account_Mapping'!$A$6:$A$14,'04_Account_Mapping'!$D$6:$D$14,"Unmapped",0)</f>
        <v>Expense</v>
      </c>
    </row>
    <row r="496" spans="1:11">
      <c r="A496" s="16">
        <v>45962</v>
      </c>
      <c r="B496" s="13">
        <v>2025</v>
      </c>
      <c r="C496" s="13">
        <v>11</v>
      </c>
      <c r="D496" s="13" t="s">
        <v>73</v>
      </c>
      <c r="E496" s="13" t="s">
        <v>74</v>
      </c>
      <c r="F496" s="13" t="s">
        <v>62</v>
      </c>
      <c r="G496" s="19">
        <v>79.478612115877723</v>
      </c>
      <c r="H496" s="13" t="s">
        <v>71</v>
      </c>
      <c r="I496" s="13" t="s">
        <v>79</v>
      </c>
      <c r="J496" s="21" t="str">
        <f>_xlfn.XLOOKUP(F496,'04_Account_Mapping'!$A$6:$A$14,'04_Account_Mapping'!$C$6:$C$14,"Unmapped",0)</f>
        <v>Finance Income</v>
      </c>
      <c r="K496" s="21" t="str">
        <f>_xlfn.XLOOKUP(F496,'04_Account_Mapping'!$A$6:$A$14,'04_Account_Mapping'!$D$6:$D$14,"Unmapped",0)</f>
        <v>Income</v>
      </c>
    </row>
    <row r="497" spans="1:11">
      <c r="A497" s="16">
        <v>45962</v>
      </c>
      <c r="B497" s="13">
        <v>2025</v>
      </c>
      <c r="C497" s="13">
        <v>11</v>
      </c>
      <c r="D497" s="13" t="s">
        <v>73</v>
      </c>
      <c r="E497" s="13" t="s">
        <v>74</v>
      </c>
      <c r="F497" s="13" t="s">
        <v>63</v>
      </c>
      <c r="G497" s="19">
        <v>-37.098821149813027</v>
      </c>
      <c r="H497" s="13" t="s">
        <v>71</v>
      </c>
      <c r="I497" s="13" t="s">
        <v>79</v>
      </c>
      <c r="J497" s="21" t="str">
        <f>_xlfn.XLOOKUP(F497,'04_Account_Mapping'!$A$6:$A$14,'04_Account_Mapping'!$C$6:$C$14,"Unmapped",0)</f>
        <v>Finance Expense</v>
      </c>
      <c r="K497" s="21" t="str">
        <f>_xlfn.XLOOKUP(F497,'04_Account_Mapping'!$A$6:$A$14,'04_Account_Mapping'!$D$6:$D$14,"Unmapped",0)</f>
        <v>Expense</v>
      </c>
    </row>
    <row r="498" spans="1:11">
      <c r="A498" s="16">
        <v>45962</v>
      </c>
      <c r="B498" s="13">
        <v>2025</v>
      </c>
      <c r="C498" s="13">
        <v>11</v>
      </c>
      <c r="D498" s="13" t="s">
        <v>73</v>
      </c>
      <c r="E498" s="13" t="s">
        <v>74</v>
      </c>
      <c r="F498" s="13" t="s">
        <v>64</v>
      </c>
      <c r="G498" s="19">
        <v>0.5629940160998661</v>
      </c>
      <c r="H498" s="13" t="s">
        <v>71</v>
      </c>
      <c r="I498" s="13" t="s">
        <v>79</v>
      </c>
      <c r="J498" s="21" t="str">
        <f>_xlfn.XLOOKUP(F498,'04_Account_Mapping'!$A$6:$A$14,'04_Account_Mapping'!$C$6:$C$14,"Unmapped",0)</f>
        <v>JV Profit/(Loss)</v>
      </c>
      <c r="K498" s="21" t="str">
        <f>_xlfn.XLOOKUP(F498,'04_Account_Mapping'!$A$6:$A$14,'04_Account_Mapping'!$D$6:$D$14,"Unmapped",0)</f>
        <v>Income</v>
      </c>
    </row>
    <row r="499" spans="1:11">
      <c r="A499" s="16">
        <v>45962</v>
      </c>
      <c r="B499" s="13">
        <v>2025</v>
      </c>
      <c r="C499" s="13">
        <v>11</v>
      </c>
      <c r="D499" s="13" t="s">
        <v>73</v>
      </c>
      <c r="E499" s="13" t="s">
        <v>74</v>
      </c>
      <c r="F499" s="13" t="s">
        <v>65</v>
      </c>
      <c r="G499" s="19">
        <v>0.5386409584140105</v>
      </c>
      <c r="H499" s="13" t="s">
        <v>71</v>
      </c>
      <c r="I499" s="13" t="s">
        <v>79</v>
      </c>
      <c r="J499" s="21" t="str">
        <f>_xlfn.XLOOKUP(F499,'04_Account_Mapping'!$A$6:$A$14,'04_Account_Mapping'!$C$6:$C$14,"Unmapped",0)</f>
        <v>Other Net</v>
      </c>
      <c r="K499" s="21" t="str">
        <f>_xlfn.XLOOKUP(F499,'04_Account_Mapping'!$A$6:$A$14,'04_Account_Mapping'!$D$6:$D$14,"Unmapped",0)</f>
        <v>Income</v>
      </c>
    </row>
    <row r="500" spans="1:11">
      <c r="A500" s="16">
        <v>45962</v>
      </c>
      <c r="B500" s="13">
        <v>2025</v>
      </c>
      <c r="C500" s="13">
        <v>11</v>
      </c>
      <c r="D500" s="13" t="s">
        <v>73</v>
      </c>
      <c r="E500" s="13" t="s">
        <v>74</v>
      </c>
      <c r="F500" s="13" t="s">
        <v>66</v>
      </c>
      <c r="G500" s="19">
        <v>-39.376105440742087</v>
      </c>
      <c r="H500" s="13" t="s">
        <v>71</v>
      </c>
      <c r="I500" s="13" t="s">
        <v>79</v>
      </c>
      <c r="J500" s="21" t="str">
        <f>_xlfn.XLOOKUP(F500,'04_Account_Mapping'!$A$6:$A$14,'04_Account_Mapping'!$C$6:$C$14,"Unmapped",0)</f>
        <v>Tax Expense</v>
      </c>
      <c r="K500" s="21" t="str">
        <f>_xlfn.XLOOKUP(F500,'04_Account_Mapping'!$A$6:$A$14,'04_Account_Mapping'!$D$6:$D$14,"Unmapped",0)</f>
        <v>Expense</v>
      </c>
    </row>
    <row r="501" spans="1:11">
      <c r="A501" s="16">
        <v>45962</v>
      </c>
      <c r="B501" s="13">
        <v>2025</v>
      </c>
      <c r="C501" s="13">
        <v>11</v>
      </c>
      <c r="D501" s="13" t="s">
        <v>75</v>
      </c>
      <c r="E501" s="13" t="s">
        <v>76</v>
      </c>
      <c r="F501" s="13" t="s">
        <v>55</v>
      </c>
      <c r="G501" s="19">
        <v>319.21186425966988</v>
      </c>
      <c r="H501" s="13" t="s">
        <v>69</v>
      </c>
      <c r="I501" s="13" t="s">
        <v>79</v>
      </c>
      <c r="J501" s="21" t="str">
        <f>_xlfn.XLOOKUP(F501,'04_Account_Mapping'!$A$6:$A$14,'04_Account_Mapping'!$C$6:$C$14,"Unmapped",0)</f>
        <v>Revenue</v>
      </c>
      <c r="K501" s="21" t="str">
        <f>_xlfn.XLOOKUP(F501,'04_Account_Mapping'!$A$6:$A$14,'04_Account_Mapping'!$D$6:$D$14,"Unmapped",0)</f>
        <v>Income</v>
      </c>
    </row>
    <row r="502" spans="1:11">
      <c r="A502" s="16">
        <v>45962</v>
      </c>
      <c r="B502" s="13">
        <v>2025</v>
      </c>
      <c r="C502" s="13">
        <v>11</v>
      </c>
      <c r="D502" s="13" t="s">
        <v>75</v>
      </c>
      <c r="E502" s="13" t="s">
        <v>76</v>
      </c>
      <c r="F502" s="13" t="s">
        <v>58</v>
      </c>
      <c r="G502" s="19">
        <v>-253.17881636388142</v>
      </c>
      <c r="H502" s="13" t="s">
        <v>71</v>
      </c>
      <c r="I502" s="13" t="s">
        <v>79</v>
      </c>
      <c r="J502" s="21" t="str">
        <f>_xlfn.XLOOKUP(F502,'04_Account_Mapping'!$A$6:$A$14,'04_Account_Mapping'!$C$6:$C$14,"Unmapped",0)</f>
        <v>COGS</v>
      </c>
      <c r="K502" s="21" t="str">
        <f>_xlfn.XLOOKUP(F502,'04_Account_Mapping'!$A$6:$A$14,'04_Account_Mapping'!$D$6:$D$14,"Unmapped",0)</f>
        <v>Expense</v>
      </c>
    </row>
    <row r="503" spans="1:11">
      <c r="A503" s="16">
        <v>45962</v>
      </c>
      <c r="B503" s="13">
        <v>2025</v>
      </c>
      <c r="C503" s="13">
        <v>11</v>
      </c>
      <c r="D503" s="13" t="s">
        <v>75</v>
      </c>
      <c r="E503" s="13" t="s">
        <v>76</v>
      </c>
      <c r="F503" s="13" t="s">
        <v>60</v>
      </c>
      <c r="G503" s="19">
        <v>-42.644694598850961</v>
      </c>
      <c r="H503" s="13" t="s">
        <v>71</v>
      </c>
      <c r="I503" s="13" t="s">
        <v>79</v>
      </c>
      <c r="J503" s="21" t="str">
        <f>_xlfn.XLOOKUP(F503,'04_Account_Mapping'!$A$6:$A$14,'04_Account_Mapping'!$C$6:$C$14,"Unmapped",0)</f>
        <v>Selling Expense</v>
      </c>
      <c r="K503" s="21" t="str">
        <f>_xlfn.XLOOKUP(F503,'04_Account_Mapping'!$A$6:$A$14,'04_Account_Mapping'!$D$6:$D$14,"Unmapped",0)</f>
        <v>Expense</v>
      </c>
    </row>
    <row r="504" spans="1:11">
      <c r="A504" s="16">
        <v>45962</v>
      </c>
      <c r="B504" s="13">
        <v>2025</v>
      </c>
      <c r="C504" s="13">
        <v>11</v>
      </c>
      <c r="D504" s="13" t="s">
        <v>75</v>
      </c>
      <c r="E504" s="13" t="s">
        <v>76</v>
      </c>
      <c r="F504" s="13" t="s">
        <v>61</v>
      </c>
      <c r="G504" s="19">
        <v>-7.9982224443246892</v>
      </c>
      <c r="H504" s="13" t="s">
        <v>71</v>
      </c>
      <c r="I504" s="13" t="s">
        <v>79</v>
      </c>
      <c r="J504" s="21" t="str">
        <f>_xlfn.XLOOKUP(F504,'04_Account_Mapping'!$A$6:$A$14,'04_Account_Mapping'!$C$6:$C$14,"Unmapped",0)</f>
        <v>G&amp;A</v>
      </c>
      <c r="K504" s="21" t="str">
        <f>_xlfn.XLOOKUP(F504,'04_Account_Mapping'!$A$6:$A$14,'04_Account_Mapping'!$D$6:$D$14,"Unmapped",0)</f>
        <v>Expense</v>
      </c>
    </row>
    <row r="505" spans="1:11">
      <c r="A505" s="16">
        <v>45962</v>
      </c>
      <c r="B505" s="13">
        <v>2025</v>
      </c>
      <c r="C505" s="13">
        <v>11</v>
      </c>
      <c r="D505" s="13" t="s">
        <v>75</v>
      </c>
      <c r="E505" s="13" t="s">
        <v>76</v>
      </c>
      <c r="F505" s="13" t="s">
        <v>62</v>
      </c>
      <c r="G505" s="19">
        <v>6.3068470110373509</v>
      </c>
      <c r="H505" s="13" t="s">
        <v>71</v>
      </c>
      <c r="I505" s="13" t="s">
        <v>79</v>
      </c>
      <c r="J505" s="21" t="str">
        <f>_xlfn.XLOOKUP(F505,'04_Account_Mapping'!$A$6:$A$14,'04_Account_Mapping'!$C$6:$C$14,"Unmapped",0)</f>
        <v>Finance Income</v>
      </c>
      <c r="K505" s="21" t="str">
        <f>_xlfn.XLOOKUP(F505,'04_Account_Mapping'!$A$6:$A$14,'04_Account_Mapping'!$D$6:$D$14,"Unmapped",0)</f>
        <v>Income</v>
      </c>
    </row>
    <row r="506" spans="1:11">
      <c r="A506" s="16">
        <v>45962</v>
      </c>
      <c r="B506" s="13">
        <v>2025</v>
      </c>
      <c r="C506" s="13">
        <v>11</v>
      </c>
      <c r="D506" s="13" t="s">
        <v>75</v>
      </c>
      <c r="E506" s="13" t="s">
        <v>76</v>
      </c>
      <c r="F506" s="13" t="s">
        <v>63</v>
      </c>
      <c r="G506" s="19">
        <v>-2.9438937476735991</v>
      </c>
      <c r="H506" s="13" t="s">
        <v>71</v>
      </c>
      <c r="I506" s="13" t="s">
        <v>79</v>
      </c>
      <c r="J506" s="21" t="str">
        <f>_xlfn.XLOOKUP(F506,'04_Account_Mapping'!$A$6:$A$14,'04_Account_Mapping'!$C$6:$C$14,"Unmapped",0)</f>
        <v>Finance Expense</v>
      </c>
      <c r="K506" s="21" t="str">
        <f>_xlfn.XLOOKUP(F506,'04_Account_Mapping'!$A$6:$A$14,'04_Account_Mapping'!$D$6:$D$14,"Unmapped",0)</f>
        <v>Expense</v>
      </c>
    </row>
    <row r="507" spans="1:11">
      <c r="A507" s="16">
        <v>45962</v>
      </c>
      <c r="B507" s="13">
        <v>2025</v>
      </c>
      <c r="C507" s="13">
        <v>11</v>
      </c>
      <c r="D507" s="13" t="s">
        <v>75</v>
      </c>
      <c r="E507" s="13" t="s">
        <v>76</v>
      </c>
      <c r="F507" s="13" t="s">
        <v>64</v>
      </c>
      <c r="G507" s="19">
        <v>4.4675127473218869E-2</v>
      </c>
      <c r="H507" s="13" t="s">
        <v>71</v>
      </c>
      <c r="I507" s="13" t="s">
        <v>79</v>
      </c>
      <c r="J507" s="21" t="str">
        <f>_xlfn.XLOOKUP(F507,'04_Account_Mapping'!$A$6:$A$14,'04_Account_Mapping'!$C$6:$C$14,"Unmapped",0)</f>
        <v>JV Profit/(Loss)</v>
      </c>
      <c r="K507" s="21" t="str">
        <f>_xlfn.XLOOKUP(F507,'04_Account_Mapping'!$A$6:$A$14,'04_Account_Mapping'!$D$6:$D$14,"Unmapped",0)</f>
        <v>Income</v>
      </c>
    </row>
    <row r="508" spans="1:11">
      <c r="A508" s="16">
        <v>45962</v>
      </c>
      <c r="B508" s="13">
        <v>2025</v>
      </c>
      <c r="C508" s="13">
        <v>11</v>
      </c>
      <c r="D508" s="13" t="s">
        <v>75</v>
      </c>
      <c r="E508" s="13" t="s">
        <v>76</v>
      </c>
      <c r="F508" s="13" t="s">
        <v>65</v>
      </c>
      <c r="G508" s="19">
        <v>4.2742645199223855E-2</v>
      </c>
      <c r="H508" s="13" t="s">
        <v>71</v>
      </c>
      <c r="I508" s="13" t="s">
        <v>79</v>
      </c>
      <c r="J508" s="21" t="str">
        <f>_xlfn.XLOOKUP(F508,'04_Account_Mapping'!$A$6:$A$14,'04_Account_Mapping'!$C$6:$C$14,"Unmapped",0)</f>
        <v>Other Net</v>
      </c>
      <c r="K508" s="21" t="str">
        <f>_xlfn.XLOOKUP(F508,'04_Account_Mapping'!$A$6:$A$14,'04_Account_Mapping'!$D$6:$D$14,"Unmapped",0)</f>
        <v>Income</v>
      </c>
    </row>
    <row r="509" spans="1:11">
      <c r="A509" s="16">
        <v>45962</v>
      </c>
      <c r="B509" s="13">
        <v>2025</v>
      </c>
      <c r="C509" s="13">
        <v>11</v>
      </c>
      <c r="D509" s="13" t="s">
        <v>75</v>
      </c>
      <c r="E509" s="13" t="s">
        <v>76</v>
      </c>
      <c r="F509" s="13" t="s">
        <v>66</v>
      </c>
      <c r="G509" s="19">
        <v>-3.1246025351218263</v>
      </c>
      <c r="H509" s="13" t="s">
        <v>71</v>
      </c>
      <c r="I509" s="13" t="s">
        <v>79</v>
      </c>
      <c r="J509" s="21" t="str">
        <f>_xlfn.XLOOKUP(F509,'04_Account_Mapping'!$A$6:$A$14,'04_Account_Mapping'!$C$6:$C$14,"Unmapped",0)</f>
        <v>Tax Expense</v>
      </c>
      <c r="K509" s="21" t="str">
        <f>_xlfn.XLOOKUP(F509,'04_Account_Mapping'!$A$6:$A$14,'04_Account_Mapping'!$D$6:$D$14,"Unmapped",0)</f>
        <v>Expense</v>
      </c>
    </row>
    <row r="510" spans="1:11">
      <c r="A510" s="16">
        <v>45992</v>
      </c>
      <c r="B510" s="13">
        <v>2025</v>
      </c>
      <c r="C510" s="13">
        <v>12</v>
      </c>
      <c r="D510" s="13" t="s">
        <v>67</v>
      </c>
      <c r="E510" s="13" t="s">
        <v>68</v>
      </c>
      <c r="F510" s="13" t="s">
        <v>55</v>
      </c>
      <c r="G510" s="19">
        <v>3281.7577323446826</v>
      </c>
      <c r="H510" s="13" t="s">
        <v>69</v>
      </c>
      <c r="I510" s="13" t="s">
        <v>79</v>
      </c>
      <c r="J510" s="21" t="str">
        <f>_xlfn.XLOOKUP(F510,'04_Account_Mapping'!$A$6:$A$14,'04_Account_Mapping'!$C$6:$C$14,"Unmapped",0)</f>
        <v>Revenue</v>
      </c>
      <c r="K510" s="21" t="str">
        <f>_xlfn.XLOOKUP(F510,'04_Account_Mapping'!$A$6:$A$14,'04_Account_Mapping'!$D$6:$D$14,"Unmapped",0)</f>
        <v>Income</v>
      </c>
    </row>
    <row r="511" spans="1:11">
      <c r="A511" s="16">
        <v>45992</v>
      </c>
      <c r="B511" s="13">
        <v>2025</v>
      </c>
      <c r="C511" s="13">
        <v>12</v>
      </c>
      <c r="D511" s="13" t="s">
        <v>67</v>
      </c>
      <c r="E511" s="13" t="s">
        <v>68</v>
      </c>
      <c r="F511" s="13" t="s">
        <v>58</v>
      </c>
      <c r="G511" s="19">
        <v>-2602.8842637006492</v>
      </c>
      <c r="H511" s="13" t="s">
        <v>71</v>
      </c>
      <c r="I511" s="13" t="s">
        <v>79</v>
      </c>
      <c r="J511" s="21" t="str">
        <f>_xlfn.XLOOKUP(F511,'04_Account_Mapping'!$A$6:$A$14,'04_Account_Mapping'!$C$6:$C$14,"Unmapped",0)</f>
        <v>COGS</v>
      </c>
      <c r="K511" s="21" t="str">
        <f>_xlfn.XLOOKUP(F511,'04_Account_Mapping'!$A$6:$A$14,'04_Account_Mapping'!$D$6:$D$14,"Unmapped",0)</f>
        <v>Expense</v>
      </c>
    </row>
    <row r="512" spans="1:11">
      <c r="A512" s="16">
        <v>45992</v>
      </c>
      <c r="B512" s="13">
        <v>2025</v>
      </c>
      <c r="C512" s="13">
        <v>12</v>
      </c>
      <c r="D512" s="13" t="s">
        <v>67</v>
      </c>
      <c r="E512" s="13" t="s">
        <v>68</v>
      </c>
      <c r="F512" s="13" t="s">
        <v>60</v>
      </c>
      <c r="G512" s="19">
        <v>-438.42216381221857</v>
      </c>
      <c r="H512" s="13" t="s">
        <v>71</v>
      </c>
      <c r="I512" s="13" t="s">
        <v>79</v>
      </c>
      <c r="J512" s="21" t="str">
        <f>_xlfn.XLOOKUP(F512,'04_Account_Mapping'!$A$6:$A$14,'04_Account_Mapping'!$C$6:$C$14,"Unmapped",0)</f>
        <v>Selling Expense</v>
      </c>
      <c r="K512" s="21" t="str">
        <f>_xlfn.XLOOKUP(F512,'04_Account_Mapping'!$A$6:$A$14,'04_Account_Mapping'!$D$6:$D$14,"Unmapped",0)</f>
        <v>Expense</v>
      </c>
    </row>
    <row r="513" spans="1:11">
      <c r="A513" s="16">
        <v>45992</v>
      </c>
      <c r="B513" s="13">
        <v>2025</v>
      </c>
      <c r="C513" s="13">
        <v>12</v>
      </c>
      <c r="D513" s="13" t="s">
        <v>67</v>
      </c>
      <c r="E513" s="13" t="s">
        <v>68</v>
      </c>
      <c r="F513" s="13" t="s">
        <v>61</v>
      </c>
      <c r="G513" s="19">
        <v>-82.228235509201326</v>
      </c>
      <c r="H513" s="13" t="s">
        <v>71</v>
      </c>
      <c r="I513" s="13" t="s">
        <v>79</v>
      </c>
      <c r="J513" s="21" t="str">
        <f>_xlfn.XLOOKUP(F513,'04_Account_Mapping'!$A$6:$A$14,'04_Account_Mapping'!$C$6:$C$14,"Unmapped",0)</f>
        <v>G&amp;A</v>
      </c>
      <c r="K513" s="21" t="str">
        <f>_xlfn.XLOOKUP(F513,'04_Account_Mapping'!$A$6:$A$14,'04_Account_Mapping'!$D$6:$D$14,"Unmapped",0)</f>
        <v>Expense</v>
      </c>
    </row>
    <row r="514" spans="1:11">
      <c r="A514" s="16">
        <v>45992</v>
      </c>
      <c r="B514" s="13">
        <v>2025</v>
      </c>
      <c r="C514" s="13">
        <v>12</v>
      </c>
      <c r="D514" s="13" t="s">
        <v>67</v>
      </c>
      <c r="E514" s="13" t="s">
        <v>68</v>
      </c>
      <c r="F514" s="13" t="s">
        <v>62</v>
      </c>
      <c r="G514" s="19">
        <v>64.839519650027498</v>
      </c>
      <c r="H514" s="13" t="s">
        <v>71</v>
      </c>
      <c r="I514" s="13" t="s">
        <v>79</v>
      </c>
      <c r="J514" s="21" t="str">
        <f>_xlfn.XLOOKUP(F514,'04_Account_Mapping'!$A$6:$A$14,'04_Account_Mapping'!$C$6:$C$14,"Unmapped",0)</f>
        <v>Finance Income</v>
      </c>
      <c r="K514" s="21" t="str">
        <f>_xlfn.XLOOKUP(F514,'04_Account_Mapping'!$A$6:$A$14,'04_Account_Mapping'!$D$6:$D$14,"Unmapped",0)</f>
        <v>Income</v>
      </c>
    </row>
    <row r="515" spans="1:11">
      <c r="A515" s="16">
        <v>45992</v>
      </c>
      <c r="B515" s="13">
        <v>2025</v>
      </c>
      <c r="C515" s="13">
        <v>12</v>
      </c>
      <c r="D515" s="13" t="s">
        <v>67</v>
      </c>
      <c r="E515" s="13" t="s">
        <v>68</v>
      </c>
      <c r="F515" s="13" t="s">
        <v>63</v>
      </c>
      <c r="G515" s="19">
        <v>-30.265623403552222</v>
      </c>
      <c r="H515" s="13" t="s">
        <v>71</v>
      </c>
      <c r="I515" s="13" t="s">
        <v>79</v>
      </c>
      <c r="J515" s="21" t="str">
        <f>_xlfn.XLOOKUP(F515,'04_Account_Mapping'!$A$6:$A$14,'04_Account_Mapping'!$C$6:$C$14,"Unmapped",0)</f>
        <v>Finance Expense</v>
      </c>
      <c r="K515" s="21" t="str">
        <f>_xlfn.XLOOKUP(F515,'04_Account_Mapping'!$A$6:$A$14,'04_Account_Mapping'!$D$6:$D$14,"Unmapped",0)</f>
        <v>Expense</v>
      </c>
    </row>
    <row r="516" spans="1:11">
      <c r="A516" s="16">
        <v>45992</v>
      </c>
      <c r="B516" s="13">
        <v>2025</v>
      </c>
      <c r="C516" s="13">
        <v>12</v>
      </c>
      <c r="D516" s="13" t="s">
        <v>67</v>
      </c>
      <c r="E516" s="13" t="s">
        <v>68</v>
      </c>
      <c r="F516" s="13" t="s">
        <v>64</v>
      </c>
      <c r="G516" s="19">
        <v>0.45929666608335989</v>
      </c>
      <c r="H516" s="13" t="s">
        <v>71</v>
      </c>
      <c r="I516" s="13" t="s">
        <v>79</v>
      </c>
      <c r="J516" s="21" t="str">
        <f>_xlfn.XLOOKUP(F516,'04_Account_Mapping'!$A$6:$A$14,'04_Account_Mapping'!$C$6:$C$14,"Unmapped",0)</f>
        <v>JV Profit/(Loss)</v>
      </c>
      <c r="K516" s="21" t="str">
        <f>_xlfn.XLOOKUP(F516,'04_Account_Mapping'!$A$6:$A$14,'04_Account_Mapping'!$D$6:$D$14,"Unmapped",0)</f>
        <v>Income</v>
      </c>
    </row>
    <row r="517" spans="1:11">
      <c r="A517" s="16">
        <v>45992</v>
      </c>
      <c r="B517" s="13">
        <v>2025</v>
      </c>
      <c r="C517" s="13">
        <v>12</v>
      </c>
      <c r="D517" s="13" t="s">
        <v>67</v>
      </c>
      <c r="E517" s="13" t="s">
        <v>68</v>
      </c>
      <c r="F517" s="13" t="s">
        <v>65</v>
      </c>
      <c r="G517" s="19">
        <v>0.43942917569414558</v>
      </c>
      <c r="H517" s="13" t="s">
        <v>71</v>
      </c>
      <c r="I517" s="13" t="s">
        <v>79</v>
      </c>
      <c r="J517" s="21" t="str">
        <f>_xlfn.XLOOKUP(F517,'04_Account_Mapping'!$A$6:$A$14,'04_Account_Mapping'!$C$6:$C$14,"Unmapped",0)</f>
        <v>Other Net</v>
      </c>
      <c r="K517" s="21" t="str">
        <f>_xlfn.XLOOKUP(F517,'04_Account_Mapping'!$A$6:$A$14,'04_Account_Mapping'!$D$6:$D$14,"Unmapped",0)</f>
        <v>Income</v>
      </c>
    </row>
    <row r="518" spans="1:11">
      <c r="A518" s="16">
        <v>45992</v>
      </c>
      <c r="B518" s="13">
        <v>2025</v>
      </c>
      <c r="C518" s="13">
        <v>12</v>
      </c>
      <c r="D518" s="13" t="s">
        <v>67</v>
      </c>
      <c r="E518" s="13" t="s">
        <v>68</v>
      </c>
      <c r="F518" s="13" t="s">
        <v>66</v>
      </c>
      <c r="G518" s="19">
        <v>-32.123456795447794</v>
      </c>
      <c r="H518" s="13" t="s">
        <v>71</v>
      </c>
      <c r="I518" s="13" t="s">
        <v>79</v>
      </c>
      <c r="J518" s="21" t="str">
        <f>_xlfn.XLOOKUP(F518,'04_Account_Mapping'!$A$6:$A$14,'04_Account_Mapping'!$C$6:$C$14,"Unmapped",0)</f>
        <v>Tax Expense</v>
      </c>
      <c r="K518" s="21" t="str">
        <f>_xlfn.XLOOKUP(F518,'04_Account_Mapping'!$A$6:$A$14,'04_Account_Mapping'!$D$6:$D$14,"Unmapped",0)</f>
        <v>Expense</v>
      </c>
    </row>
    <row r="519" spans="1:11">
      <c r="A519" s="16">
        <v>45992</v>
      </c>
      <c r="B519" s="13">
        <v>2025</v>
      </c>
      <c r="C519" s="13">
        <v>12</v>
      </c>
      <c r="D519" s="13" t="s">
        <v>72</v>
      </c>
      <c r="E519" s="13" t="s">
        <v>68</v>
      </c>
      <c r="F519" s="13" t="s">
        <v>55</v>
      </c>
      <c r="G519" s="19">
        <v>5873.3283460457378</v>
      </c>
      <c r="H519" s="13" t="s">
        <v>69</v>
      </c>
      <c r="I519" s="13" t="s">
        <v>79</v>
      </c>
      <c r="J519" s="21" t="str">
        <f>_xlfn.XLOOKUP(F519,'04_Account_Mapping'!$A$6:$A$14,'04_Account_Mapping'!$C$6:$C$14,"Unmapped",0)</f>
        <v>Revenue</v>
      </c>
      <c r="K519" s="21" t="str">
        <f>_xlfn.XLOOKUP(F519,'04_Account_Mapping'!$A$6:$A$14,'04_Account_Mapping'!$D$6:$D$14,"Unmapped",0)</f>
        <v>Income</v>
      </c>
    </row>
    <row r="520" spans="1:11">
      <c r="A520" s="16">
        <v>45992</v>
      </c>
      <c r="B520" s="13">
        <v>2025</v>
      </c>
      <c r="C520" s="13">
        <v>12</v>
      </c>
      <c r="D520" s="13" t="s">
        <v>72</v>
      </c>
      <c r="E520" s="13" t="s">
        <v>68</v>
      </c>
      <c r="F520" s="13" t="s">
        <v>58</v>
      </c>
      <c r="G520" s="19">
        <v>-4658.3554223995216</v>
      </c>
      <c r="H520" s="13" t="s">
        <v>71</v>
      </c>
      <c r="I520" s="13" t="s">
        <v>79</v>
      </c>
      <c r="J520" s="21" t="str">
        <f>_xlfn.XLOOKUP(F520,'04_Account_Mapping'!$A$6:$A$14,'04_Account_Mapping'!$C$6:$C$14,"Unmapped",0)</f>
        <v>COGS</v>
      </c>
      <c r="K520" s="21" t="str">
        <f>_xlfn.XLOOKUP(F520,'04_Account_Mapping'!$A$6:$A$14,'04_Account_Mapping'!$D$6:$D$14,"Unmapped",0)</f>
        <v>Expense</v>
      </c>
    </row>
    <row r="521" spans="1:11">
      <c r="A521" s="16">
        <v>45992</v>
      </c>
      <c r="B521" s="13">
        <v>2025</v>
      </c>
      <c r="C521" s="13">
        <v>12</v>
      </c>
      <c r="D521" s="13" t="s">
        <v>72</v>
      </c>
      <c r="E521" s="13" t="s">
        <v>68</v>
      </c>
      <c r="F521" s="13" t="s">
        <v>60</v>
      </c>
      <c r="G521" s="19">
        <v>-784.6396755232995</v>
      </c>
      <c r="H521" s="13" t="s">
        <v>71</v>
      </c>
      <c r="I521" s="13" t="s">
        <v>79</v>
      </c>
      <c r="J521" s="21" t="str">
        <f>_xlfn.XLOOKUP(F521,'04_Account_Mapping'!$A$6:$A$14,'04_Account_Mapping'!$C$6:$C$14,"Unmapped",0)</f>
        <v>Selling Expense</v>
      </c>
      <c r="K521" s="21" t="str">
        <f>_xlfn.XLOOKUP(F521,'04_Account_Mapping'!$A$6:$A$14,'04_Account_Mapping'!$D$6:$D$14,"Unmapped",0)</f>
        <v>Expense</v>
      </c>
    </row>
    <row r="522" spans="1:11">
      <c r="A522" s="16">
        <v>45992</v>
      </c>
      <c r="B522" s="13">
        <v>2025</v>
      </c>
      <c r="C522" s="13">
        <v>12</v>
      </c>
      <c r="D522" s="13" t="s">
        <v>72</v>
      </c>
      <c r="E522" s="13" t="s">
        <v>68</v>
      </c>
      <c r="F522" s="13" t="s">
        <v>61</v>
      </c>
      <c r="G522" s="19">
        <v>-147.16303452310788</v>
      </c>
      <c r="H522" s="13" t="s">
        <v>71</v>
      </c>
      <c r="I522" s="13" t="s">
        <v>79</v>
      </c>
      <c r="J522" s="21" t="str">
        <f>_xlfn.XLOOKUP(F522,'04_Account_Mapping'!$A$6:$A$14,'04_Account_Mapping'!$C$6:$C$14,"Unmapped",0)</f>
        <v>G&amp;A</v>
      </c>
      <c r="K522" s="21" t="str">
        <f>_xlfn.XLOOKUP(F522,'04_Account_Mapping'!$A$6:$A$14,'04_Account_Mapping'!$D$6:$D$14,"Unmapped",0)</f>
        <v>Expense</v>
      </c>
    </row>
    <row r="523" spans="1:11">
      <c r="A523" s="16">
        <v>45992</v>
      </c>
      <c r="B523" s="13">
        <v>2025</v>
      </c>
      <c r="C523" s="13">
        <v>12</v>
      </c>
      <c r="D523" s="13" t="s">
        <v>72</v>
      </c>
      <c r="E523" s="13" t="s">
        <v>68</v>
      </c>
      <c r="F523" s="13" t="s">
        <v>62</v>
      </c>
      <c r="G523" s="19">
        <v>116.04262708094939</v>
      </c>
      <c r="H523" s="13" t="s">
        <v>71</v>
      </c>
      <c r="I523" s="13" t="s">
        <v>79</v>
      </c>
      <c r="J523" s="21" t="str">
        <f>_xlfn.XLOOKUP(F523,'04_Account_Mapping'!$A$6:$A$14,'04_Account_Mapping'!$C$6:$C$14,"Unmapped",0)</f>
        <v>Finance Income</v>
      </c>
      <c r="K523" s="21" t="str">
        <f>_xlfn.XLOOKUP(F523,'04_Account_Mapping'!$A$6:$A$14,'04_Account_Mapping'!$D$6:$D$14,"Unmapped",0)</f>
        <v>Income</v>
      </c>
    </row>
    <row r="524" spans="1:11">
      <c r="A524" s="16">
        <v>45992</v>
      </c>
      <c r="B524" s="13">
        <v>2025</v>
      </c>
      <c r="C524" s="13">
        <v>12</v>
      </c>
      <c r="D524" s="13" t="s">
        <v>72</v>
      </c>
      <c r="E524" s="13" t="s">
        <v>68</v>
      </c>
      <c r="F524" s="13" t="s">
        <v>63</v>
      </c>
      <c r="G524" s="19">
        <v>-54.166077554977306</v>
      </c>
      <c r="H524" s="13" t="s">
        <v>71</v>
      </c>
      <c r="I524" s="13" t="s">
        <v>79</v>
      </c>
      <c r="J524" s="21" t="str">
        <f>_xlfn.XLOOKUP(F524,'04_Account_Mapping'!$A$6:$A$14,'04_Account_Mapping'!$C$6:$C$14,"Unmapped",0)</f>
        <v>Finance Expense</v>
      </c>
      <c r="K524" s="21" t="str">
        <f>_xlfn.XLOOKUP(F524,'04_Account_Mapping'!$A$6:$A$14,'04_Account_Mapping'!$D$6:$D$14,"Unmapped",0)</f>
        <v>Expense</v>
      </c>
    </row>
    <row r="525" spans="1:11">
      <c r="A525" s="16">
        <v>45992</v>
      </c>
      <c r="B525" s="13">
        <v>2025</v>
      </c>
      <c r="C525" s="13">
        <v>12</v>
      </c>
      <c r="D525" s="13" t="s">
        <v>72</v>
      </c>
      <c r="E525" s="13" t="s">
        <v>68</v>
      </c>
      <c r="F525" s="13" t="s">
        <v>64</v>
      </c>
      <c r="G525" s="19">
        <v>0.82199855935872979</v>
      </c>
      <c r="H525" s="13" t="s">
        <v>71</v>
      </c>
      <c r="I525" s="13" t="s">
        <v>79</v>
      </c>
      <c r="J525" s="21" t="str">
        <f>_xlfn.XLOOKUP(F525,'04_Account_Mapping'!$A$6:$A$14,'04_Account_Mapping'!$C$6:$C$14,"Unmapped",0)</f>
        <v>JV Profit/(Loss)</v>
      </c>
      <c r="K525" s="21" t="str">
        <f>_xlfn.XLOOKUP(F525,'04_Account_Mapping'!$A$6:$A$14,'04_Account_Mapping'!$D$6:$D$14,"Unmapped",0)</f>
        <v>Income</v>
      </c>
    </row>
    <row r="526" spans="1:11">
      <c r="A526" s="16">
        <v>45992</v>
      </c>
      <c r="B526" s="13">
        <v>2025</v>
      </c>
      <c r="C526" s="13">
        <v>12</v>
      </c>
      <c r="D526" s="13" t="s">
        <v>72</v>
      </c>
      <c r="E526" s="13" t="s">
        <v>68</v>
      </c>
      <c r="F526" s="13" t="s">
        <v>65</v>
      </c>
      <c r="G526" s="19">
        <v>0.78644191441882616</v>
      </c>
      <c r="H526" s="13" t="s">
        <v>71</v>
      </c>
      <c r="I526" s="13" t="s">
        <v>79</v>
      </c>
      <c r="J526" s="21" t="str">
        <f>_xlfn.XLOOKUP(F526,'04_Account_Mapping'!$A$6:$A$14,'04_Account_Mapping'!$C$6:$C$14,"Unmapped",0)</f>
        <v>Other Net</v>
      </c>
      <c r="K526" s="21" t="str">
        <f>_xlfn.XLOOKUP(F526,'04_Account_Mapping'!$A$6:$A$14,'04_Account_Mapping'!$D$6:$D$14,"Unmapped",0)</f>
        <v>Income</v>
      </c>
    </row>
    <row r="527" spans="1:11">
      <c r="A527" s="16">
        <v>45992</v>
      </c>
      <c r="B527" s="13">
        <v>2025</v>
      </c>
      <c r="C527" s="13">
        <v>12</v>
      </c>
      <c r="D527" s="13" t="s">
        <v>72</v>
      </c>
      <c r="E527" s="13" t="s">
        <v>68</v>
      </c>
      <c r="F527" s="13" t="s">
        <v>66</v>
      </c>
      <c r="G527" s="19">
        <v>-57.4910230301738</v>
      </c>
      <c r="H527" s="13" t="s">
        <v>71</v>
      </c>
      <c r="I527" s="13" t="s">
        <v>79</v>
      </c>
      <c r="J527" s="21" t="str">
        <f>_xlfn.XLOOKUP(F527,'04_Account_Mapping'!$A$6:$A$14,'04_Account_Mapping'!$C$6:$C$14,"Unmapped",0)</f>
        <v>Tax Expense</v>
      </c>
      <c r="K527" s="21" t="str">
        <f>_xlfn.XLOOKUP(F527,'04_Account_Mapping'!$A$6:$A$14,'04_Account_Mapping'!$D$6:$D$14,"Unmapped",0)</f>
        <v>Expense</v>
      </c>
    </row>
    <row r="528" spans="1:11">
      <c r="A528" s="16">
        <v>45992</v>
      </c>
      <c r="B528" s="13">
        <v>2025</v>
      </c>
      <c r="C528" s="13">
        <v>12</v>
      </c>
      <c r="D528" s="13" t="s">
        <v>73</v>
      </c>
      <c r="E528" s="13" t="s">
        <v>74</v>
      </c>
      <c r="F528" s="13" t="s">
        <v>55</v>
      </c>
      <c r="G528" s="19">
        <v>4260.3001329098097</v>
      </c>
      <c r="H528" s="13" t="s">
        <v>69</v>
      </c>
      <c r="I528" s="13" t="s">
        <v>79</v>
      </c>
      <c r="J528" s="21" t="str">
        <f>_xlfn.XLOOKUP(F528,'04_Account_Mapping'!$A$6:$A$14,'04_Account_Mapping'!$C$6:$C$14,"Unmapped",0)</f>
        <v>Revenue</v>
      </c>
      <c r="K528" s="21" t="str">
        <f>_xlfn.XLOOKUP(F528,'04_Account_Mapping'!$A$6:$A$14,'04_Account_Mapping'!$D$6:$D$14,"Unmapped",0)</f>
        <v>Income</v>
      </c>
    </row>
    <row r="529" spans="1:11">
      <c r="A529" s="16">
        <v>45992</v>
      </c>
      <c r="B529" s="13">
        <v>2025</v>
      </c>
      <c r="C529" s="13">
        <v>12</v>
      </c>
      <c r="D529" s="13" t="s">
        <v>73</v>
      </c>
      <c r="E529" s="13" t="s">
        <v>74</v>
      </c>
      <c r="F529" s="13" t="s">
        <v>58</v>
      </c>
      <c r="G529" s="19">
        <v>-3379.0026805757043</v>
      </c>
      <c r="H529" s="13" t="s">
        <v>71</v>
      </c>
      <c r="I529" s="13" t="s">
        <v>79</v>
      </c>
      <c r="J529" s="21" t="str">
        <f>_xlfn.XLOOKUP(F529,'04_Account_Mapping'!$A$6:$A$14,'04_Account_Mapping'!$C$6:$C$14,"Unmapped",0)</f>
        <v>COGS</v>
      </c>
      <c r="K529" s="21" t="str">
        <f>_xlfn.XLOOKUP(F529,'04_Account_Mapping'!$A$6:$A$14,'04_Account_Mapping'!$D$6:$D$14,"Unmapped",0)</f>
        <v>Expense</v>
      </c>
    </row>
    <row r="530" spans="1:11">
      <c r="A530" s="16">
        <v>45992</v>
      </c>
      <c r="B530" s="13">
        <v>2025</v>
      </c>
      <c r="C530" s="13">
        <v>12</v>
      </c>
      <c r="D530" s="13" t="s">
        <v>73</v>
      </c>
      <c r="E530" s="13" t="s">
        <v>74</v>
      </c>
      <c r="F530" s="13" t="s">
        <v>60</v>
      </c>
      <c r="G530" s="19">
        <v>-569.14926545334185</v>
      </c>
      <c r="H530" s="13" t="s">
        <v>71</v>
      </c>
      <c r="I530" s="13" t="s">
        <v>79</v>
      </c>
      <c r="J530" s="21" t="str">
        <f>_xlfn.XLOOKUP(F530,'04_Account_Mapping'!$A$6:$A$14,'04_Account_Mapping'!$C$6:$C$14,"Unmapped",0)</f>
        <v>Selling Expense</v>
      </c>
      <c r="K530" s="21" t="str">
        <f>_xlfn.XLOOKUP(F530,'04_Account_Mapping'!$A$6:$A$14,'04_Account_Mapping'!$D$6:$D$14,"Unmapped",0)</f>
        <v>Expense</v>
      </c>
    </row>
    <row r="531" spans="1:11">
      <c r="A531" s="16">
        <v>45992</v>
      </c>
      <c r="B531" s="13">
        <v>2025</v>
      </c>
      <c r="C531" s="13">
        <v>12</v>
      </c>
      <c r="D531" s="13" t="s">
        <v>73</v>
      </c>
      <c r="E531" s="13" t="s">
        <v>74</v>
      </c>
      <c r="F531" s="13" t="s">
        <v>61</v>
      </c>
      <c r="G531" s="19">
        <v>-106.74674709107862</v>
      </c>
      <c r="H531" s="13" t="s">
        <v>71</v>
      </c>
      <c r="I531" s="13" t="s">
        <v>79</v>
      </c>
      <c r="J531" s="21" t="str">
        <f>_xlfn.XLOOKUP(F531,'04_Account_Mapping'!$A$6:$A$14,'04_Account_Mapping'!$C$6:$C$14,"Unmapped",0)</f>
        <v>G&amp;A</v>
      </c>
      <c r="K531" s="21" t="str">
        <f>_xlfn.XLOOKUP(F531,'04_Account_Mapping'!$A$6:$A$14,'04_Account_Mapping'!$D$6:$D$14,"Unmapped",0)</f>
        <v>Expense</v>
      </c>
    </row>
    <row r="532" spans="1:11">
      <c r="A532" s="16">
        <v>45992</v>
      </c>
      <c r="B532" s="13">
        <v>2025</v>
      </c>
      <c r="C532" s="13">
        <v>12</v>
      </c>
      <c r="D532" s="13" t="s">
        <v>73</v>
      </c>
      <c r="E532" s="13" t="s">
        <v>74</v>
      </c>
      <c r="F532" s="13" t="s">
        <v>62</v>
      </c>
      <c r="G532" s="19">
        <v>84.17312815637402</v>
      </c>
      <c r="H532" s="13" t="s">
        <v>71</v>
      </c>
      <c r="I532" s="13" t="s">
        <v>79</v>
      </c>
      <c r="J532" s="21" t="str">
        <f>_xlfn.XLOOKUP(F532,'04_Account_Mapping'!$A$6:$A$14,'04_Account_Mapping'!$C$6:$C$14,"Unmapped",0)</f>
        <v>Finance Income</v>
      </c>
      <c r="K532" s="21" t="str">
        <f>_xlfn.XLOOKUP(F532,'04_Account_Mapping'!$A$6:$A$14,'04_Account_Mapping'!$D$6:$D$14,"Unmapped",0)</f>
        <v>Income</v>
      </c>
    </row>
    <row r="533" spans="1:11">
      <c r="A533" s="16">
        <v>45992</v>
      </c>
      <c r="B533" s="13">
        <v>2025</v>
      </c>
      <c r="C533" s="13">
        <v>12</v>
      </c>
      <c r="D533" s="13" t="s">
        <v>73</v>
      </c>
      <c r="E533" s="13" t="s">
        <v>74</v>
      </c>
      <c r="F533" s="13" t="s">
        <v>63</v>
      </c>
      <c r="G533" s="19">
        <v>-39.290115214150475</v>
      </c>
      <c r="H533" s="13" t="s">
        <v>71</v>
      </c>
      <c r="I533" s="13" t="s">
        <v>79</v>
      </c>
      <c r="J533" s="21" t="str">
        <f>_xlfn.XLOOKUP(F533,'04_Account_Mapping'!$A$6:$A$14,'04_Account_Mapping'!$C$6:$C$14,"Unmapped",0)</f>
        <v>Finance Expense</v>
      </c>
      <c r="K533" s="21" t="str">
        <f>_xlfn.XLOOKUP(F533,'04_Account_Mapping'!$A$6:$A$14,'04_Account_Mapping'!$D$6:$D$14,"Unmapped",0)</f>
        <v>Expense</v>
      </c>
    </row>
    <row r="534" spans="1:11">
      <c r="A534" s="16">
        <v>45992</v>
      </c>
      <c r="B534" s="13">
        <v>2025</v>
      </c>
      <c r="C534" s="13">
        <v>12</v>
      </c>
      <c r="D534" s="13" t="s">
        <v>73</v>
      </c>
      <c r="E534" s="13" t="s">
        <v>74</v>
      </c>
      <c r="F534" s="13" t="s">
        <v>64</v>
      </c>
      <c r="G534" s="19">
        <v>0.59624804971875789</v>
      </c>
      <c r="H534" s="13" t="s">
        <v>71</v>
      </c>
      <c r="I534" s="13" t="s">
        <v>79</v>
      </c>
      <c r="J534" s="21" t="str">
        <f>_xlfn.XLOOKUP(F534,'04_Account_Mapping'!$A$6:$A$14,'04_Account_Mapping'!$C$6:$C$14,"Unmapped",0)</f>
        <v>JV Profit/(Loss)</v>
      </c>
      <c r="K534" s="21" t="str">
        <f>_xlfn.XLOOKUP(F534,'04_Account_Mapping'!$A$6:$A$14,'04_Account_Mapping'!$D$6:$D$14,"Unmapped",0)</f>
        <v>Income</v>
      </c>
    </row>
    <row r="535" spans="1:11">
      <c r="A535" s="16">
        <v>45992</v>
      </c>
      <c r="B535" s="13">
        <v>2025</v>
      </c>
      <c r="C535" s="13">
        <v>12</v>
      </c>
      <c r="D535" s="13" t="s">
        <v>73</v>
      </c>
      <c r="E535" s="13" t="s">
        <v>74</v>
      </c>
      <c r="F535" s="13" t="s">
        <v>65</v>
      </c>
      <c r="G535" s="19">
        <v>0.57045654441916316</v>
      </c>
      <c r="H535" s="13" t="s">
        <v>71</v>
      </c>
      <c r="I535" s="13" t="s">
        <v>79</v>
      </c>
      <c r="J535" s="21" t="str">
        <f>_xlfn.XLOOKUP(F535,'04_Account_Mapping'!$A$6:$A$14,'04_Account_Mapping'!$C$6:$C$14,"Unmapped",0)</f>
        <v>Other Net</v>
      </c>
      <c r="K535" s="21" t="str">
        <f>_xlfn.XLOOKUP(F535,'04_Account_Mapping'!$A$6:$A$14,'04_Account_Mapping'!$D$6:$D$14,"Unmapped",0)</f>
        <v>Income</v>
      </c>
    </row>
    <row r="536" spans="1:11">
      <c r="A536" s="16">
        <v>45992</v>
      </c>
      <c r="B536" s="13">
        <v>2025</v>
      </c>
      <c r="C536" s="13">
        <v>12</v>
      </c>
      <c r="D536" s="13" t="s">
        <v>73</v>
      </c>
      <c r="E536" s="13" t="s">
        <v>74</v>
      </c>
      <c r="F536" s="13" t="s">
        <v>66</v>
      </c>
      <c r="G536" s="19">
        <v>-41.701910505560392</v>
      </c>
      <c r="H536" s="13" t="s">
        <v>71</v>
      </c>
      <c r="I536" s="13" t="s">
        <v>79</v>
      </c>
      <c r="J536" s="21" t="str">
        <f>_xlfn.XLOOKUP(F536,'04_Account_Mapping'!$A$6:$A$14,'04_Account_Mapping'!$C$6:$C$14,"Unmapped",0)</f>
        <v>Tax Expense</v>
      </c>
      <c r="K536" s="21" t="str">
        <f>_xlfn.XLOOKUP(F536,'04_Account_Mapping'!$A$6:$A$14,'04_Account_Mapping'!$D$6:$D$14,"Unmapped",0)</f>
        <v>Expense</v>
      </c>
    </row>
    <row r="537" spans="1:11">
      <c r="A537" s="16">
        <v>45992</v>
      </c>
      <c r="B537" s="13">
        <v>2025</v>
      </c>
      <c r="C537" s="13">
        <v>12</v>
      </c>
      <c r="D537" s="13" t="s">
        <v>75</v>
      </c>
      <c r="E537" s="13" t="s">
        <v>76</v>
      </c>
      <c r="F537" s="13" t="s">
        <v>55</v>
      </c>
      <c r="G537" s="19">
        <v>315.81768972354678</v>
      </c>
      <c r="H537" s="13" t="s">
        <v>69</v>
      </c>
      <c r="I537" s="13" t="s">
        <v>79</v>
      </c>
      <c r="J537" s="21" t="str">
        <f>_xlfn.XLOOKUP(F537,'04_Account_Mapping'!$A$6:$A$14,'04_Account_Mapping'!$C$6:$C$14,"Unmapped",0)</f>
        <v>Revenue</v>
      </c>
      <c r="K537" s="21" t="str">
        <f>_xlfn.XLOOKUP(F537,'04_Account_Mapping'!$A$6:$A$14,'04_Account_Mapping'!$D$6:$D$14,"Unmapped",0)</f>
        <v>Income</v>
      </c>
    </row>
    <row r="538" spans="1:11">
      <c r="A538" s="16">
        <v>45992</v>
      </c>
      <c r="B538" s="13">
        <v>2025</v>
      </c>
      <c r="C538" s="13">
        <v>12</v>
      </c>
      <c r="D538" s="13" t="s">
        <v>75</v>
      </c>
      <c r="E538" s="13" t="s">
        <v>76</v>
      </c>
      <c r="F538" s="13" t="s">
        <v>58</v>
      </c>
      <c r="G538" s="19">
        <v>-250.4867701469243</v>
      </c>
      <c r="H538" s="13" t="s">
        <v>71</v>
      </c>
      <c r="I538" s="13" t="s">
        <v>79</v>
      </c>
      <c r="J538" s="21" t="str">
        <f>_xlfn.XLOOKUP(F538,'04_Account_Mapping'!$A$6:$A$14,'04_Account_Mapping'!$C$6:$C$14,"Unmapped",0)</f>
        <v>COGS</v>
      </c>
      <c r="K538" s="21" t="str">
        <f>_xlfn.XLOOKUP(F538,'04_Account_Mapping'!$A$6:$A$14,'04_Account_Mapping'!$D$6:$D$14,"Unmapped",0)</f>
        <v>Expense</v>
      </c>
    </row>
    <row r="539" spans="1:11">
      <c r="A539" s="16">
        <v>45992</v>
      </c>
      <c r="B539" s="13">
        <v>2025</v>
      </c>
      <c r="C539" s="13">
        <v>12</v>
      </c>
      <c r="D539" s="13" t="s">
        <v>75</v>
      </c>
      <c r="E539" s="13" t="s">
        <v>76</v>
      </c>
      <c r="F539" s="13" t="s">
        <v>60</v>
      </c>
      <c r="G539" s="19">
        <v>-42.191254258079596</v>
      </c>
      <c r="H539" s="13" t="s">
        <v>71</v>
      </c>
      <c r="I539" s="13" t="s">
        <v>79</v>
      </c>
      <c r="J539" s="21" t="str">
        <f>_xlfn.XLOOKUP(F539,'04_Account_Mapping'!$A$6:$A$14,'04_Account_Mapping'!$C$6:$C$14,"Unmapped",0)</f>
        <v>Selling Expense</v>
      </c>
      <c r="K539" s="21" t="str">
        <f>_xlfn.XLOOKUP(F539,'04_Account_Mapping'!$A$6:$A$14,'04_Account_Mapping'!$D$6:$D$14,"Unmapped",0)</f>
        <v>Expense</v>
      </c>
    </row>
    <row r="540" spans="1:11">
      <c r="A540" s="16">
        <v>45992</v>
      </c>
      <c r="B540" s="13">
        <v>2025</v>
      </c>
      <c r="C540" s="13">
        <v>12</v>
      </c>
      <c r="D540" s="13" t="s">
        <v>75</v>
      </c>
      <c r="E540" s="13" t="s">
        <v>76</v>
      </c>
      <c r="F540" s="13" t="s">
        <v>61</v>
      </c>
      <c r="G540" s="19">
        <v>-7.9131774757808779</v>
      </c>
      <c r="H540" s="13" t="s">
        <v>71</v>
      </c>
      <c r="I540" s="13" t="s">
        <v>79</v>
      </c>
      <c r="J540" s="21" t="str">
        <f>_xlfn.XLOOKUP(F540,'04_Account_Mapping'!$A$6:$A$14,'04_Account_Mapping'!$C$6:$C$14,"Unmapped",0)</f>
        <v>G&amp;A</v>
      </c>
      <c r="K540" s="21" t="str">
        <f>_xlfn.XLOOKUP(F540,'04_Account_Mapping'!$A$6:$A$14,'04_Account_Mapping'!$D$6:$D$14,"Unmapped",0)</f>
        <v>Expense</v>
      </c>
    </row>
    <row r="541" spans="1:11">
      <c r="A541" s="16">
        <v>45992</v>
      </c>
      <c r="B541" s="13">
        <v>2025</v>
      </c>
      <c r="C541" s="13">
        <v>12</v>
      </c>
      <c r="D541" s="13" t="s">
        <v>75</v>
      </c>
      <c r="E541" s="13" t="s">
        <v>76</v>
      </c>
      <c r="F541" s="13" t="s">
        <v>62</v>
      </c>
      <c r="G541" s="19">
        <v>6.2397864098352809</v>
      </c>
      <c r="H541" s="13" t="s">
        <v>71</v>
      </c>
      <c r="I541" s="13" t="s">
        <v>79</v>
      </c>
      <c r="J541" s="21" t="str">
        <f>_xlfn.XLOOKUP(F541,'04_Account_Mapping'!$A$6:$A$14,'04_Account_Mapping'!$C$6:$C$14,"Unmapped",0)</f>
        <v>Finance Income</v>
      </c>
      <c r="K541" s="21" t="str">
        <f>_xlfn.XLOOKUP(F541,'04_Account_Mapping'!$A$6:$A$14,'04_Account_Mapping'!$D$6:$D$14,"Unmapped",0)</f>
        <v>Income</v>
      </c>
    </row>
    <row r="542" spans="1:11">
      <c r="A542" s="16">
        <v>45992</v>
      </c>
      <c r="B542" s="13">
        <v>2025</v>
      </c>
      <c r="C542" s="13">
        <v>12</v>
      </c>
      <c r="D542" s="13" t="s">
        <v>75</v>
      </c>
      <c r="E542" s="13" t="s">
        <v>76</v>
      </c>
      <c r="F542" s="13" t="s">
        <v>63</v>
      </c>
      <c r="G542" s="19">
        <v>-2.9125913735636022</v>
      </c>
      <c r="H542" s="13" t="s">
        <v>71</v>
      </c>
      <c r="I542" s="13" t="s">
        <v>79</v>
      </c>
      <c r="J542" s="21" t="str">
        <f>_xlfn.XLOOKUP(F542,'04_Account_Mapping'!$A$6:$A$14,'04_Account_Mapping'!$C$6:$C$14,"Unmapped",0)</f>
        <v>Finance Expense</v>
      </c>
      <c r="K542" s="21" t="str">
        <f>_xlfn.XLOOKUP(F542,'04_Account_Mapping'!$A$6:$A$14,'04_Account_Mapping'!$D$6:$D$14,"Unmapped",0)</f>
        <v>Expense</v>
      </c>
    </row>
    <row r="543" spans="1:11">
      <c r="A543" s="16">
        <v>45992</v>
      </c>
      <c r="B543" s="13">
        <v>2025</v>
      </c>
      <c r="C543" s="13">
        <v>12</v>
      </c>
      <c r="D543" s="13" t="s">
        <v>75</v>
      </c>
      <c r="E543" s="13" t="s">
        <v>76</v>
      </c>
      <c r="F543" s="13" t="s">
        <v>64</v>
      </c>
      <c r="G543" s="19">
        <v>4.4200097572875623E-2</v>
      </c>
      <c r="H543" s="13" t="s">
        <v>71</v>
      </c>
      <c r="I543" s="13" t="s">
        <v>79</v>
      </c>
      <c r="J543" s="21" t="str">
        <f>_xlfn.XLOOKUP(F543,'04_Account_Mapping'!$A$6:$A$14,'04_Account_Mapping'!$C$6:$C$14,"Unmapped",0)</f>
        <v>JV Profit/(Loss)</v>
      </c>
      <c r="K543" s="21" t="str">
        <f>_xlfn.XLOOKUP(F543,'04_Account_Mapping'!$A$6:$A$14,'04_Account_Mapping'!$D$6:$D$14,"Unmapped",0)</f>
        <v>Income</v>
      </c>
    </row>
    <row r="544" spans="1:11">
      <c r="A544" s="16">
        <v>45992</v>
      </c>
      <c r="B544" s="13">
        <v>2025</v>
      </c>
      <c r="C544" s="13">
        <v>12</v>
      </c>
      <c r="D544" s="13" t="s">
        <v>75</v>
      </c>
      <c r="E544" s="13" t="s">
        <v>76</v>
      </c>
      <c r="F544" s="13" t="s">
        <v>65</v>
      </c>
      <c r="G544" s="19">
        <v>4.2288163351319435E-2</v>
      </c>
      <c r="H544" s="13" t="s">
        <v>71</v>
      </c>
      <c r="I544" s="13" t="s">
        <v>79</v>
      </c>
      <c r="J544" s="21" t="str">
        <f>_xlfn.XLOOKUP(F544,'04_Account_Mapping'!$A$6:$A$14,'04_Account_Mapping'!$C$6:$C$14,"Unmapped",0)</f>
        <v>Other Net</v>
      </c>
      <c r="K544" s="21" t="str">
        <f>_xlfn.XLOOKUP(F544,'04_Account_Mapping'!$A$6:$A$14,'04_Account_Mapping'!$D$6:$D$14,"Unmapped",0)</f>
        <v>Income</v>
      </c>
    </row>
    <row r="545" spans="1:11">
      <c r="A545" s="16">
        <v>45992</v>
      </c>
      <c r="B545" s="13">
        <v>2025</v>
      </c>
      <c r="C545" s="13">
        <v>12</v>
      </c>
      <c r="D545" s="13" t="s">
        <v>75</v>
      </c>
      <c r="E545" s="13" t="s">
        <v>76</v>
      </c>
      <c r="F545" s="13" t="s">
        <v>66</v>
      </c>
      <c r="G545" s="19">
        <v>-3.0913786874280293</v>
      </c>
      <c r="H545" s="13" t="s">
        <v>71</v>
      </c>
      <c r="I545" s="13" t="s">
        <v>79</v>
      </c>
      <c r="J545" s="21" t="str">
        <f>_xlfn.XLOOKUP(F545,'04_Account_Mapping'!$A$6:$A$14,'04_Account_Mapping'!$C$6:$C$14,"Unmapped",0)</f>
        <v>Tax Expense</v>
      </c>
      <c r="K545" s="21" t="str">
        <f>_xlfn.XLOOKUP(F545,'04_Account_Mapping'!$A$6:$A$14,'04_Account_Mapping'!$D$6:$D$14,"Unmapped",0)</f>
        <v>Expense</v>
      </c>
    </row>
    <row r="546" spans="1:11">
      <c r="A546" s="16">
        <v>46023</v>
      </c>
      <c r="B546" s="13">
        <v>2026</v>
      </c>
      <c r="C546" s="13">
        <v>1</v>
      </c>
      <c r="D546" s="13" t="s">
        <v>67</v>
      </c>
      <c r="E546" s="13" t="s">
        <v>68</v>
      </c>
      <c r="F546" s="13" t="s">
        <v>55</v>
      </c>
      <c r="G546" s="19">
        <v>3671.2560000000003</v>
      </c>
      <c r="H546" s="13" t="s">
        <v>80</v>
      </c>
      <c r="I546" s="13" t="s">
        <v>81</v>
      </c>
      <c r="J546" s="21" t="str">
        <f>_xlfn.XLOOKUP(F546,'04_Account_Mapping'!$A$6:$A$14,'04_Account_Mapping'!$C$6:$C$14,"Unmapped",0)</f>
        <v>Revenue</v>
      </c>
      <c r="K546" s="21" t="str">
        <f>_xlfn.XLOOKUP(F546,'04_Account_Mapping'!$A$6:$A$14,'04_Account_Mapping'!$D$6:$D$14,"Unmapped",0)</f>
        <v>Income</v>
      </c>
    </row>
    <row r="547" spans="1:11">
      <c r="A547" s="16">
        <v>46023</v>
      </c>
      <c r="B547" s="13">
        <v>2026</v>
      </c>
      <c r="C547" s="13">
        <v>1</v>
      </c>
      <c r="D547" s="13" t="s">
        <v>72</v>
      </c>
      <c r="E547" s="13" t="s">
        <v>68</v>
      </c>
      <c r="F547" s="13" t="s">
        <v>55</v>
      </c>
      <c r="G547" s="19">
        <v>7728.96</v>
      </c>
      <c r="H547" s="13" t="s">
        <v>80</v>
      </c>
      <c r="I547" s="13" t="s">
        <v>81</v>
      </c>
      <c r="J547" s="21" t="str">
        <f>_xlfn.XLOOKUP(F547,'04_Account_Mapping'!$A$6:$A$14,'04_Account_Mapping'!$C$6:$C$14,"Unmapped",0)</f>
        <v>Revenue</v>
      </c>
      <c r="K547" s="21" t="str">
        <f>_xlfn.XLOOKUP(F547,'04_Account_Mapping'!$A$6:$A$14,'04_Account_Mapping'!$D$6:$D$14,"Unmapped",0)</f>
        <v>Income</v>
      </c>
    </row>
    <row r="548" spans="1:11">
      <c r="A548" s="16">
        <v>46023</v>
      </c>
      <c r="B548" s="13">
        <v>2026</v>
      </c>
      <c r="C548" s="13">
        <v>1</v>
      </c>
      <c r="D548" s="13" t="s">
        <v>73</v>
      </c>
      <c r="E548" s="13" t="s">
        <v>74</v>
      </c>
      <c r="F548" s="13" t="s">
        <v>55</v>
      </c>
      <c r="G548" s="19">
        <v>4395.8460000000005</v>
      </c>
      <c r="H548" s="13" t="s">
        <v>80</v>
      </c>
      <c r="I548" s="13" t="s">
        <v>81</v>
      </c>
      <c r="J548" s="21" t="str">
        <f>_xlfn.XLOOKUP(F548,'04_Account_Mapping'!$A$6:$A$14,'04_Account_Mapping'!$C$6:$C$14,"Unmapped",0)</f>
        <v>Revenue</v>
      </c>
      <c r="K548" s="21" t="str">
        <f>_xlfn.XLOOKUP(F548,'04_Account_Mapping'!$A$6:$A$14,'04_Account_Mapping'!$D$6:$D$14,"Unmapped",0)</f>
        <v>Income</v>
      </c>
    </row>
    <row r="549" spans="1:11">
      <c r="A549" s="16">
        <v>46023</v>
      </c>
      <c r="B549" s="13">
        <v>2026</v>
      </c>
      <c r="C549" s="13">
        <v>1</v>
      </c>
      <c r="D549" s="13" t="s">
        <v>75</v>
      </c>
      <c r="E549" s="13" t="s">
        <v>76</v>
      </c>
      <c r="F549" s="13" t="s">
        <v>55</v>
      </c>
      <c r="G549" s="19">
        <v>305.93799999999999</v>
      </c>
      <c r="H549" s="13" t="s">
        <v>80</v>
      </c>
      <c r="I549" s="13" t="s">
        <v>81</v>
      </c>
      <c r="J549" s="21" t="str">
        <f>_xlfn.XLOOKUP(F549,'04_Account_Mapping'!$A$6:$A$14,'04_Account_Mapping'!$C$6:$C$14,"Unmapped",0)</f>
        <v>Revenue</v>
      </c>
      <c r="K549" s="21" t="str">
        <f>_xlfn.XLOOKUP(F549,'04_Account_Mapping'!$A$6:$A$14,'04_Account_Mapping'!$D$6:$D$14,"Unmapped",0)</f>
        <v>Income</v>
      </c>
    </row>
    <row r="550" spans="1:11">
      <c r="A550" s="16">
        <v>46054</v>
      </c>
      <c r="B550" s="13">
        <v>2026</v>
      </c>
      <c r="C550" s="13">
        <v>2</v>
      </c>
      <c r="D550" s="13" t="s">
        <v>67</v>
      </c>
      <c r="E550" s="13" t="s">
        <v>68</v>
      </c>
      <c r="F550" s="13" t="s">
        <v>55</v>
      </c>
      <c r="G550" s="19">
        <v>3671.2560000000003</v>
      </c>
      <c r="H550" s="13" t="s">
        <v>80</v>
      </c>
      <c r="I550" s="13" t="s">
        <v>81</v>
      </c>
      <c r="J550" s="21" t="str">
        <f>_xlfn.XLOOKUP(F550,'04_Account_Mapping'!$A$6:$A$14,'04_Account_Mapping'!$C$6:$C$14,"Unmapped",0)</f>
        <v>Revenue</v>
      </c>
      <c r="K550" s="21" t="str">
        <f>_xlfn.XLOOKUP(F550,'04_Account_Mapping'!$A$6:$A$14,'04_Account_Mapping'!$D$6:$D$14,"Unmapped",0)</f>
        <v>Income</v>
      </c>
    </row>
    <row r="551" spans="1:11">
      <c r="A551" s="16">
        <v>46054</v>
      </c>
      <c r="B551" s="13">
        <v>2026</v>
      </c>
      <c r="C551" s="13">
        <v>2</v>
      </c>
      <c r="D551" s="13" t="s">
        <v>72</v>
      </c>
      <c r="E551" s="13" t="s">
        <v>68</v>
      </c>
      <c r="F551" s="13" t="s">
        <v>55</v>
      </c>
      <c r="G551" s="19">
        <v>7728.96</v>
      </c>
      <c r="H551" s="13" t="s">
        <v>80</v>
      </c>
      <c r="I551" s="13" t="s">
        <v>81</v>
      </c>
      <c r="J551" s="21" t="str">
        <f>_xlfn.XLOOKUP(F551,'04_Account_Mapping'!$A$6:$A$14,'04_Account_Mapping'!$C$6:$C$14,"Unmapped",0)</f>
        <v>Revenue</v>
      </c>
      <c r="K551" s="21" t="str">
        <f>_xlfn.XLOOKUP(F551,'04_Account_Mapping'!$A$6:$A$14,'04_Account_Mapping'!$D$6:$D$14,"Unmapped",0)</f>
        <v>Income</v>
      </c>
    </row>
    <row r="552" spans="1:11">
      <c r="A552" s="16">
        <v>46054</v>
      </c>
      <c r="B552" s="13">
        <v>2026</v>
      </c>
      <c r="C552" s="13">
        <v>2</v>
      </c>
      <c r="D552" s="13" t="s">
        <v>73</v>
      </c>
      <c r="E552" s="13" t="s">
        <v>74</v>
      </c>
      <c r="F552" s="13" t="s">
        <v>55</v>
      </c>
      <c r="G552" s="19">
        <v>4395.8460000000005</v>
      </c>
      <c r="H552" s="13" t="s">
        <v>80</v>
      </c>
      <c r="I552" s="13" t="s">
        <v>81</v>
      </c>
      <c r="J552" s="21" t="str">
        <f>_xlfn.XLOOKUP(F552,'04_Account_Mapping'!$A$6:$A$14,'04_Account_Mapping'!$C$6:$C$14,"Unmapped",0)</f>
        <v>Revenue</v>
      </c>
      <c r="K552" s="21" t="str">
        <f>_xlfn.XLOOKUP(F552,'04_Account_Mapping'!$A$6:$A$14,'04_Account_Mapping'!$D$6:$D$14,"Unmapped",0)</f>
        <v>Income</v>
      </c>
    </row>
    <row r="553" spans="1:11">
      <c r="A553" s="16">
        <v>46054</v>
      </c>
      <c r="B553" s="13">
        <v>2026</v>
      </c>
      <c r="C553" s="13">
        <v>2</v>
      </c>
      <c r="D553" s="13" t="s">
        <v>75</v>
      </c>
      <c r="E553" s="13" t="s">
        <v>76</v>
      </c>
      <c r="F553" s="13" t="s">
        <v>55</v>
      </c>
      <c r="G553" s="19">
        <v>305.93799999999999</v>
      </c>
      <c r="H553" s="13" t="s">
        <v>80</v>
      </c>
      <c r="I553" s="13" t="s">
        <v>81</v>
      </c>
      <c r="J553" s="21" t="str">
        <f>_xlfn.XLOOKUP(F553,'04_Account_Mapping'!$A$6:$A$14,'04_Account_Mapping'!$C$6:$C$14,"Unmapped",0)</f>
        <v>Revenue</v>
      </c>
      <c r="K553" s="21" t="str">
        <f>_xlfn.XLOOKUP(F553,'04_Account_Mapping'!$A$6:$A$14,'04_Account_Mapping'!$D$6:$D$14,"Unmapped",0)</f>
        <v>Income</v>
      </c>
    </row>
    <row r="554" spans="1:11">
      <c r="A554" s="16">
        <v>46082</v>
      </c>
      <c r="B554" s="13">
        <v>2026</v>
      </c>
      <c r="C554" s="13">
        <v>3</v>
      </c>
      <c r="D554" s="13" t="s">
        <v>67</v>
      </c>
      <c r="E554" s="13" t="s">
        <v>68</v>
      </c>
      <c r="F554" s="13" t="s">
        <v>55</v>
      </c>
      <c r="G554" s="19">
        <v>3540.3600000000006</v>
      </c>
      <c r="H554" s="13" t="s">
        <v>82</v>
      </c>
      <c r="I554" s="13" t="s">
        <v>81</v>
      </c>
      <c r="J554" s="21" t="str">
        <f>_xlfn.XLOOKUP(F554,'04_Account_Mapping'!$A$6:$A$14,'04_Account_Mapping'!$C$6:$C$14,"Unmapped",0)</f>
        <v>Revenue</v>
      </c>
      <c r="K554" s="21" t="str">
        <f>_xlfn.XLOOKUP(F554,'04_Account_Mapping'!$A$6:$A$14,'04_Account_Mapping'!$D$6:$D$14,"Unmapped",0)</f>
        <v>Income</v>
      </c>
    </row>
    <row r="555" spans="1:11">
      <c r="A555" s="16">
        <v>46082</v>
      </c>
      <c r="B555" s="13">
        <v>2026</v>
      </c>
      <c r="C555" s="13">
        <v>3</v>
      </c>
      <c r="D555" s="13" t="s">
        <v>72</v>
      </c>
      <c r="E555" s="13" t="s">
        <v>68</v>
      </c>
      <c r="F555" s="13" t="s">
        <v>55</v>
      </c>
      <c r="G555" s="19">
        <v>6075.2840000000015</v>
      </c>
      <c r="H555" s="13" t="s">
        <v>82</v>
      </c>
      <c r="I555" s="13" t="s">
        <v>81</v>
      </c>
      <c r="J555" s="21" t="str">
        <f>_xlfn.XLOOKUP(F555,'04_Account_Mapping'!$A$6:$A$14,'04_Account_Mapping'!$C$6:$C$14,"Unmapped",0)</f>
        <v>Revenue</v>
      </c>
      <c r="K555" s="21" t="str">
        <f>_xlfn.XLOOKUP(F555,'04_Account_Mapping'!$A$6:$A$14,'04_Account_Mapping'!$D$6:$D$14,"Unmapped",0)</f>
        <v>Income</v>
      </c>
    </row>
    <row r="556" spans="1:11">
      <c r="A556" s="16">
        <v>46082</v>
      </c>
      <c r="B556" s="13">
        <v>2026</v>
      </c>
      <c r="C556" s="13">
        <v>3</v>
      </c>
      <c r="D556" s="13" t="s">
        <v>73</v>
      </c>
      <c r="E556" s="13" t="s">
        <v>74</v>
      </c>
      <c r="F556" s="13" t="s">
        <v>55</v>
      </c>
      <c r="G556" s="19">
        <v>4323.5639999999985</v>
      </c>
      <c r="H556" s="13" t="s">
        <v>82</v>
      </c>
      <c r="I556" s="13" t="s">
        <v>81</v>
      </c>
      <c r="J556" s="21" t="str">
        <f>_xlfn.XLOOKUP(F556,'04_Account_Mapping'!$A$6:$A$14,'04_Account_Mapping'!$C$6:$C$14,"Unmapped",0)</f>
        <v>Revenue</v>
      </c>
      <c r="K556" s="21" t="str">
        <f>_xlfn.XLOOKUP(F556,'04_Account_Mapping'!$A$6:$A$14,'04_Account_Mapping'!$D$6:$D$14,"Unmapped",0)</f>
        <v>Income</v>
      </c>
    </row>
    <row r="557" spans="1:11">
      <c r="A557" s="16">
        <v>46082</v>
      </c>
      <c r="B557" s="13">
        <v>2026</v>
      </c>
      <c r="C557" s="13">
        <v>3</v>
      </c>
      <c r="D557" s="13" t="s">
        <v>75</v>
      </c>
      <c r="E557" s="13" t="s">
        <v>76</v>
      </c>
      <c r="F557" s="13" t="s">
        <v>55</v>
      </c>
      <c r="G557" s="19">
        <v>364.79200000000003</v>
      </c>
      <c r="H557" s="13" t="s">
        <v>82</v>
      </c>
      <c r="I557" s="13" t="s">
        <v>81</v>
      </c>
      <c r="J557" s="21" t="str">
        <f>_xlfn.XLOOKUP(F557,'04_Account_Mapping'!$A$6:$A$14,'04_Account_Mapping'!$C$6:$C$14,"Unmapped",0)</f>
        <v>Revenue</v>
      </c>
      <c r="K557" s="21" t="str">
        <f>_xlfn.XLOOKUP(F557,'04_Account_Mapping'!$A$6:$A$14,'04_Account_Mapping'!$D$6:$D$14,"Unmapped",0)</f>
        <v>Income</v>
      </c>
    </row>
    <row r="558" spans="1:11">
      <c r="A558" s="16">
        <v>46113</v>
      </c>
      <c r="B558" s="13">
        <v>2026</v>
      </c>
      <c r="C558" s="13">
        <v>4</v>
      </c>
      <c r="D558" s="13" t="s">
        <v>67</v>
      </c>
      <c r="E558" s="13" t="s">
        <v>68</v>
      </c>
      <c r="F558" s="13" t="s">
        <v>55</v>
      </c>
      <c r="G558" s="19">
        <v>3428.7119999999995</v>
      </c>
      <c r="H558" s="13" t="s">
        <v>82</v>
      </c>
      <c r="I558" s="13" t="s">
        <v>81</v>
      </c>
      <c r="J558" s="21" t="str">
        <f>_xlfn.XLOOKUP(F558,'04_Account_Mapping'!$A$6:$A$14,'04_Account_Mapping'!$C$6:$C$14,"Unmapped",0)</f>
        <v>Revenue</v>
      </c>
      <c r="K558" s="21" t="str">
        <f>_xlfn.XLOOKUP(F558,'04_Account_Mapping'!$A$6:$A$14,'04_Account_Mapping'!$D$6:$D$14,"Unmapped",0)</f>
        <v>Income</v>
      </c>
    </row>
    <row r="559" spans="1:11">
      <c r="A559" s="16">
        <v>46113</v>
      </c>
      <c r="B559" s="13">
        <v>2026</v>
      </c>
      <c r="C559" s="13">
        <v>4</v>
      </c>
      <c r="D559" s="13" t="s">
        <v>72</v>
      </c>
      <c r="E559" s="13" t="s">
        <v>68</v>
      </c>
      <c r="F559" s="13" t="s">
        <v>55</v>
      </c>
      <c r="G559" s="19">
        <v>7464.9399999999987</v>
      </c>
      <c r="H559" s="13" t="s">
        <v>82</v>
      </c>
      <c r="I559" s="13" t="s">
        <v>81</v>
      </c>
      <c r="J559" s="21" t="str">
        <f>_xlfn.XLOOKUP(F559,'04_Account_Mapping'!$A$6:$A$14,'04_Account_Mapping'!$C$6:$C$14,"Unmapped",0)</f>
        <v>Revenue</v>
      </c>
      <c r="K559" s="21" t="str">
        <f>_xlfn.XLOOKUP(F559,'04_Account_Mapping'!$A$6:$A$14,'04_Account_Mapping'!$D$6:$D$14,"Unmapped",0)</f>
        <v>Income</v>
      </c>
    </row>
    <row r="560" spans="1:11">
      <c r="A560" s="16">
        <v>46113</v>
      </c>
      <c r="B560" s="13">
        <v>2026</v>
      </c>
      <c r="C560" s="13">
        <v>4</v>
      </c>
      <c r="D560" s="13" t="s">
        <v>73</v>
      </c>
      <c r="E560" s="13" t="s">
        <v>74</v>
      </c>
      <c r="F560" s="13" t="s">
        <v>55</v>
      </c>
      <c r="G560" s="19">
        <v>4821.0959999999995</v>
      </c>
      <c r="H560" s="13" t="s">
        <v>82</v>
      </c>
      <c r="I560" s="13" t="s">
        <v>81</v>
      </c>
      <c r="J560" s="21" t="str">
        <f>_xlfn.XLOOKUP(F560,'04_Account_Mapping'!$A$6:$A$14,'04_Account_Mapping'!$C$6:$C$14,"Unmapped",0)</f>
        <v>Revenue</v>
      </c>
      <c r="K560" s="21" t="str">
        <f>_xlfn.XLOOKUP(F560,'04_Account_Mapping'!$A$6:$A$14,'04_Account_Mapping'!$D$6:$D$14,"Unmapped",0)</f>
        <v>Income</v>
      </c>
    </row>
    <row r="561" spans="1:11">
      <c r="A561" s="16">
        <v>46113</v>
      </c>
      <c r="B561" s="13">
        <v>2026</v>
      </c>
      <c r="C561" s="13">
        <v>4</v>
      </c>
      <c r="D561" s="13" t="s">
        <v>75</v>
      </c>
      <c r="E561" s="13" t="s">
        <v>76</v>
      </c>
      <c r="F561" s="13" t="s">
        <v>55</v>
      </c>
      <c r="G561" s="19">
        <v>273.25200000000007</v>
      </c>
      <c r="H561" s="13" t="s">
        <v>82</v>
      </c>
      <c r="I561" s="13" t="s">
        <v>81</v>
      </c>
      <c r="J561" s="21" t="str">
        <f>_xlfn.XLOOKUP(F561,'04_Account_Mapping'!$A$6:$A$14,'04_Account_Mapping'!$C$6:$C$14,"Unmapped",0)</f>
        <v>Revenue</v>
      </c>
      <c r="K561" s="21" t="str">
        <f>_xlfn.XLOOKUP(F561,'04_Account_Mapping'!$A$6:$A$14,'04_Account_Mapping'!$D$6:$D$14,"Unmapped",0)</f>
        <v>Income</v>
      </c>
    </row>
    <row r="562" spans="1:11">
      <c r="A562" s="16">
        <v>46143</v>
      </c>
      <c r="B562" s="13">
        <v>2026</v>
      </c>
      <c r="C562" s="13">
        <v>5</v>
      </c>
      <c r="D562" s="13" t="s">
        <v>67</v>
      </c>
      <c r="E562" s="13" t="s">
        <v>68</v>
      </c>
      <c r="F562" s="13" t="s">
        <v>55</v>
      </c>
      <c r="G562" s="19">
        <v>3499.1910000000007</v>
      </c>
      <c r="H562" s="13" t="s">
        <v>82</v>
      </c>
      <c r="I562" s="13" t="s">
        <v>81</v>
      </c>
      <c r="J562" s="21" t="str">
        <f>_xlfn.XLOOKUP(F562,'04_Account_Mapping'!$A$6:$A$14,'04_Account_Mapping'!$C$6:$C$14,"Unmapped",0)</f>
        <v>Revenue</v>
      </c>
      <c r="K562" s="21" t="str">
        <f>_xlfn.XLOOKUP(F562,'04_Account_Mapping'!$A$6:$A$14,'04_Account_Mapping'!$D$6:$D$14,"Unmapped",0)</f>
        <v>Income</v>
      </c>
    </row>
    <row r="563" spans="1:11">
      <c r="A563" s="16">
        <v>46143</v>
      </c>
      <c r="B563" s="13">
        <v>2026</v>
      </c>
      <c r="C563" s="13">
        <v>5</v>
      </c>
      <c r="D563" s="13" t="s">
        <v>72</v>
      </c>
      <c r="E563" s="13" t="s">
        <v>68</v>
      </c>
      <c r="F563" s="13" t="s">
        <v>55</v>
      </c>
      <c r="G563" s="19">
        <v>7652.4729999999981</v>
      </c>
      <c r="H563" s="13" t="s">
        <v>82</v>
      </c>
      <c r="I563" s="13" t="s">
        <v>81</v>
      </c>
      <c r="J563" s="21" t="str">
        <f>_xlfn.XLOOKUP(F563,'04_Account_Mapping'!$A$6:$A$14,'04_Account_Mapping'!$C$6:$C$14,"Unmapped",0)</f>
        <v>Revenue</v>
      </c>
      <c r="K563" s="21" t="str">
        <f>_xlfn.XLOOKUP(F563,'04_Account_Mapping'!$A$6:$A$14,'04_Account_Mapping'!$D$6:$D$14,"Unmapped",0)</f>
        <v>Income</v>
      </c>
    </row>
    <row r="564" spans="1:11">
      <c r="A564" s="16">
        <v>46143</v>
      </c>
      <c r="B564" s="13">
        <v>2026</v>
      </c>
      <c r="C564" s="13">
        <v>5</v>
      </c>
      <c r="D564" s="13" t="s">
        <v>73</v>
      </c>
      <c r="E564" s="13" t="s">
        <v>74</v>
      </c>
      <c r="F564" s="13" t="s">
        <v>55</v>
      </c>
      <c r="G564" s="19">
        <v>5178.0760000000009</v>
      </c>
      <c r="H564" s="13" t="s">
        <v>82</v>
      </c>
      <c r="I564" s="13" t="s">
        <v>81</v>
      </c>
      <c r="J564" s="21" t="str">
        <f>_xlfn.XLOOKUP(F564,'04_Account_Mapping'!$A$6:$A$14,'04_Account_Mapping'!$C$6:$C$14,"Unmapped",0)</f>
        <v>Revenue</v>
      </c>
      <c r="K564" s="21" t="str">
        <f>_xlfn.XLOOKUP(F564,'04_Account_Mapping'!$A$6:$A$14,'04_Account_Mapping'!$D$6:$D$14,"Unmapped",0)</f>
        <v>Income</v>
      </c>
    </row>
    <row r="565" spans="1:11">
      <c r="A565" s="16">
        <v>46143</v>
      </c>
      <c r="B565" s="13">
        <v>2026</v>
      </c>
      <c r="C565" s="13">
        <v>5</v>
      </c>
      <c r="D565" s="13" t="s">
        <v>75</v>
      </c>
      <c r="E565" s="13" t="s">
        <v>76</v>
      </c>
      <c r="F565" s="13" t="s">
        <v>55</v>
      </c>
      <c r="G565" s="19">
        <v>333.26</v>
      </c>
      <c r="H565" s="13" t="s">
        <v>82</v>
      </c>
      <c r="I565" s="13" t="s">
        <v>81</v>
      </c>
      <c r="J565" s="21" t="str">
        <f>_xlfn.XLOOKUP(F565,'04_Account_Mapping'!$A$6:$A$14,'04_Account_Mapping'!$C$6:$C$14,"Unmapped",0)</f>
        <v>Revenue</v>
      </c>
      <c r="K565" s="21" t="str">
        <f>_xlfn.XLOOKUP(F565,'04_Account_Mapping'!$A$6:$A$14,'04_Account_Mapping'!$D$6:$D$14,"Unmapped",0)</f>
        <v>Income</v>
      </c>
    </row>
    <row r="566" spans="1:11">
      <c r="A566" s="16">
        <v>46174</v>
      </c>
      <c r="B566" s="13">
        <v>2026</v>
      </c>
      <c r="C566" s="13">
        <v>6</v>
      </c>
      <c r="D566" s="13" t="s">
        <v>67</v>
      </c>
      <c r="E566" s="13" t="s">
        <v>68</v>
      </c>
      <c r="F566" s="13" t="s">
        <v>55</v>
      </c>
      <c r="G566" s="19">
        <v>3632.8499999999985</v>
      </c>
      <c r="H566" s="13" t="s">
        <v>82</v>
      </c>
      <c r="I566" s="13" t="s">
        <v>81</v>
      </c>
      <c r="J566" s="21" t="str">
        <f>_xlfn.XLOOKUP(F566,'04_Account_Mapping'!$A$6:$A$14,'04_Account_Mapping'!$C$6:$C$14,"Unmapped",0)</f>
        <v>Revenue</v>
      </c>
      <c r="K566" s="21" t="str">
        <f>_xlfn.XLOOKUP(F566,'04_Account_Mapping'!$A$6:$A$14,'04_Account_Mapping'!$D$6:$D$14,"Unmapped",0)</f>
        <v>Income</v>
      </c>
    </row>
    <row r="567" spans="1:11">
      <c r="A567" s="16">
        <v>46174</v>
      </c>
      <c r="B567" s="13">
        <v>2026</v>
      </c>
      <c r="C567" s="13">
        <v>6</v>
      </c>
      <c r="D567" s="13" t="s">
        <v>72</v>
      </c>
      <c r="E567" s="13" t="s">
        <v>68</v>
      </c>
      <c r="F567" s="13" t="s">
        <v>55</v>
      </c>
      <c r="G567" s="19">
        <v>6999.073000000004</v>
      </c>
      <c r="H567" s="13" t="s">
        <v>82</v>
      </c>
      <c r="I567" s="13" t="s">
        <v>81</v>
      </c>
      <c r="J567" s="21" t="str">
        <f>_xlfn.XLOOKUP(F567,'04_Account_Mapping'!$A$6:$A$14,'04_Account_Mapping'!$C$6:$C$14,"Unmapped",0)</f>
        <v>Revenue</v>
      </c>
      <c r="K567" s="21" t="str">
        <f>_xlfn.XLOOKUP(F567,'04_Account_Mapping'!$A$6:$A$14,'04_Account_Mapping'!$D$6:$D$14,"Unmapped",0)</f>
        <v>Income</v>
      </c>
    </row>
    <row r="568" spans="1:11">
      <c r="A568" s="16">
        <v>46174</v>
      </c>
      <c r="B568" s="13">
        <v>2026</v>
      </c>
      <c r="C568" s="13">
        <v>6</v>
      </c>
      <c r="D568" s="13" t="s">
        <v>73</v>
      </c>
      <c r="E568" s="13" t="s">
        <v>74</v>
      </c>
      <c r="F568" s="13" t="s">
        <v>55</v>
      </c>
      <c r="G568" s="19">
        <v>5191.1569999999992</v>
      </c>
      <c r="H568" s="13" t="s">
        <v>82</v>
      </c>
      <c r="I568" s="13" t="s">
        <v>81</v>
      </c>
      <c r="J568" s="21" t="str">
        <f>_xlfn.XLOOKUP(F568,'04_Account_Mapping'!$A$6:$A$14,'04_Account_Mapping'!$C$6:$C$14,"Unmapped",0)</f>
        <v>Revenue</v>
      </c>
      <c r="K568" s="21" t="str">
        <f>_xlfn.XLOOKUP(F568,'04_Account_Mapping'!$A$6:$A$14,'04_Account_Mapping'!$D$6:$D$14,"Unmapped",0)</f>
        <v>Income</v>
      </c>
    </row>
    <row r="569" spans="1:11">
      <c r="A569" s="17">
        <v>46174</v>
      </c>
      <c r="B569" s="14">
        <v>2026</v>
      </c>
      <c r="C569" s="14">
        <v>6</v>
      </c>
      <c r="D569" s="14" t="s">
        <v>75</v>
      </c>
      <c r="E569" s="14" t="s">
        <v>76</v>
      </c>
      <c r="F569" s="14" t="s">
        <v>55</v>
      </c>
      <c r="G569" s="20">
        <v>322.92000000000007</v>
      </c>
      <c r="H569" s="14" t="s">
        <v>82</v>
      </c>
      <c r="I569" s="14" t="s">
        <v>81</v>
      </c>
      <c r="J569" s="21" t="str">
        <f>_xlfn.XLOOKUP(F569,'04_Account_Mapping'!$A$6:$A$14,'04_Account_Mapping'!$C$6:$C$14,"Unmapped",0)</f>
        <v>Revenue</v>
      </c>
      <c r="K569" s="21" t="str">
        <f>_xlfn.XLOOKUP(F569,'04_Account_Mapping'!$A$6:$A$14,'04_Account_Mapping'!$D$6:$D$14,"Unmapped",0)</f>
        <v>Income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9"/>
  <sheetViews>
    <sheetView showGridLines="0" workbookViewId="0"/>
  </sheetViews>
  <sheetFormatPr defaultRowHeight="14.25"/>
  <cols>
    <col min="1" max="1" width="12" customWidth="1"/>
    <col min="2" max="3" width="9" customWidth="1"/>
    <col min="4" max="5" width="18" customWidth="1"/>
    <col min="6" max="6" width="14" customWidth="1"/>
    <col min="7" max="7" width="15" customWidth="1"/>
    <col min="8" max="8" width="44" customWidth="1"/>
    <col min="9" max="11" width="18" customWidth="1"/>
  </cols>
  <sheetData>
    <row r="1" spans="1:11" ht="30" customHeight="1">
      <c r="A1" s="115" t="s">
        <v>83</v>
      </c>
      <c r="B1" s="115" t="s">
        <v>83</v>
      </c>
      <c r="C1" s="115" t="s">
        <v>83</v>
      </c>
      <c r="D1" s="115" t="s">
        <v>83</v>
      </c>
      <c r="E1" s="115" t="s">
        <v>83</v>
      </c>
      <c r="F1" s="115" t="s">
        <v>83</v>
      </c>
      <c r="G1" s="115" t="s">
        <v>83</v>
      </c>
      <c r="H1" s="115" t="s">
        <v>83</v>
      </c>
      <c r="I1" s="115" t="s">
        <v>83</v>
      </c>
      <c r="J1" s="115" t="s">
        <v>83</v>
      </c>
      <c r="K1" s="115" t="s">
        <v>83</v>
      </c>
    </row>
    <row r="2" spans="1:11" ht="33.950000000000003" customHeight="1">
      <c r="A2" s="116" t="s">
        <v>41</v>
      </c>
      <c r="B2" s="116" t="s">
        <v>41</v>
      </c>
      <c r="C2" s="116" t="s">
        <v>41</v>
      </c>
      <c r="D2" s="116" t="s">
        <v>41</v>
      </c>
      <c r="E2" s="116" t="s">
        <v>41</v>
      </c>
      <c r="F2" s="116" t="s">
        <v>41</v>
      </c>
      <c r="G2" s="116" t="s">
        <v>41</v>
      </c>
      <c r="H2" s="116" t="s">
        <v>41</v>
      </c>
      <c r="I2" s="116" t="s">
        <v>41</v>
      </c>
      <c r="J2" s="116" t="s">
        <v>41</v>
      </c>
      <c r="K2" s="116" t="s">
        <v>41</v>
      </c>
    </row>
    <row r="5" spans="1:11" ht="30" customHeight="1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51</v>
      </c>
      <c r="K5" s="11" t="s">
        <v>52</v>
      </c>
    </row>
    <row r="6" spans="1:11">
      <c r="A6" s="15">
        <v>45658</v>
      </c>
      <c r="B6" s="12">
        <v>2025</v>
      </c>
      <c r="C6" s="12">
        <v>1</v>
      </c>
      <c r="D6" s="12" t="s">
        <v>67</v>
      </c>
      <c r="E6" s="12" t="s">
        <v>68</v>
      </c>
      <c r="F6" s="12" t="s">
        <v>55</v>
      </c>
      <c r="G6" s="18">
        <v>2654.5470109646349</v>
      </c>
      <c r="H6" s="12" t="s">
        <v>84</v>
      </c>
      <c r="I6" s="12" t="s">
        <v>85</v>
      </c>
      <c r="J6" s="21" t="str">
        <f>_xlfn.XLOOKUP(F6,'04_Account_Mapping'!$A$6:$A$14,'04_Account_Mapping'!$C$6:$C$14,"Unmapped",0)</f>
        <v>Revenue</v>
      </c>
      <c r="K6" s="21" t="str">
        <f>_xlfn.XLOOKUP(F6,'04_Account_Mapping'!$A$6:$A$14,'04_Account_Mapping'!$D$6:$D$14,"Unmapped",0)</f>
        <v>Income</v>
      </c>
    </row>
    <row r="7" spans="1:11">
      <c r="A7" s="16">
        <v>45658</v>
      </c>
      <c r="B7" s="13">
        <v>2025</v>
      </c>
      <c r="C7" s="13">
        <v>1</v>
      </c>
      <c r="D7" s="13" t="s">
        <v>67</v>
      </c>
      <c r="E7" s="13" t="s">
        <v>68</v>
      </c>
      <c r="F7" s="13" t="s">
        <v>58</v>
      </c>
      <c r="G7" s="19">
        <v>-2112.9751782776666</v>
      </c>
      <c r="H7" s="13" t="s">
        <v>84</v>
      </c>
      <c r="I7" s="13" t="s">
        <v>85</v>
      </c>
      <c r="J7" s="21" t="str">
        <f>_xlfn.XLOOKUP(F7,'04_Account_Mapping'!$A$6:$A$14,'04_Account_Mapping'!$C$6:$C$14,"Unmapped",0)</f>
        <v>COGS</v>
      </c>
      <c r="K7" s="21" t="str">
        <f>_xlfn.XLOOKUP(F7,'04_Account_Mapping'!$A$6:$A$14,'04_Account_Mapping'!$D$6:$D$14,"Unmapped",0)</f>
        <v>Expense</v>
      </c>
    </row>
    <row r="8" spans="1:11">
      <c r="A8" s="16">
        <v>45658</v>
      </c>
      <c r="B8" s="13">
        <v>2025</v>
      </c>
      <c r="C8" s="13">
        <v>1</v>
      </c>
      <c r="D8" s="13" t="s">
        <v>67</v>
      </c>
      <c r="E8" s="13" t="s">
        <v>68</v>
      </c>
      <c r="F8" s="13" t="s">
        <v>60</v>
      </c>
      <c r="G8" s="19">
        <v>-376.94567555697813</v>
      </c>
      <c r="H8" s="13" t="s">
        <v>84</v>
      </c>
      <c r="I8" s="13" t="s">
        <v>85</v>
      </c>
      <c r="J8" s="21" t="str">
        <f>_xlfn.XLOOKUP(F8,'04_Account_Mapping'!$A$6:$A$14,'04_Account_Mapping'!$C$6:$C$14,"Unmapped",0)</f>
        <v>Selling Expense</v>
      </c>
      <c r="K8" s="21" t="str">
        <f>_xlfn.XLOOKUP(F8,'04_Account_Mapping'!$A$6:$A$14,'04_Account_Mapping'!$D$6:$D$14,"Unmapped",0)</f>
        <v>Expense</v>
      </c>
    </row>
    <row r="9" spans="1:11">
      <c r="A9" s="16">
        <v>45658</v>
      </c>
      <c r="B9" s="13">
        <v>2025</v>
      </c>
      <c r="C9" s="13">
        <v>1</v>
      </c>
      <c r="D9" s="13" t="s">
        <v>67</v>
      </c>
      <c r="E9" s="13" t="s">
        <v>68</v>
      </c>
      <c r="F9" s="13" t="s">
        <v>61</v>
      </c>
      <c r="G9" s="19">
        <v>-71.672769296045146</v>
      </c>
      <c r="H9" s="13" t="s">
        <v>84</v>
      </c>
      <c r="I9" s="13" t="s">
        <v>85</v>
      </c>
      <c r="J9" s="21" t="str">
        <f>_xlfn.XLOOKUP(F9,'04_Account_Mapping'!$A$6:$A$14,'04_Account_Mapping'!$C$6:$C$14,"Unmapped",0)</f>
        <v>G&amp;A</v>
      </c>
      <c r="K9" s="21" t="str">
        <f>_xlfn.XLOOKUP(F9,'04_Account_Mapping'!$A$6:$A$14,'04_Account_Mapping'!$D$6:$D$14,"Unmapped",0)</f>
        <v>Expense</v>
      </c>
    </row>
    <row r="10" spans="1:11">
      <c r="A10" s="16">
        <v>45658</v>
      </c>
      <c r="B10" s="13">
        <v>2025</v>
      </c>
      <c r="C10" s="13">
        <v>1</v>
      </c>
      <c r="D10" s="13" t="s">
        <v>67</v>
      </c>
      <c r="E10" s="13" t="s">
        <v>68</v>
      </c>
      <c r="F10" s="13" t="s">
        <v>62</v>
      </c>
      <c r="G10" s="19">
        <v>39.818205164469525</v>
      </c>
      <c r="H10" s="13" t="s">
        <v>84</v>
      </c>
      <c r="I10" s="13" t="s">
        <v>85</v>
      </c>
      <c r="J10" s="21" t="str">
        <f>_xlfn.XLOOKUP(F10,'04_Account_Mapping'!$A$6:$A$14,'04_Account_Mapping'!$C$6:$C$14,"Unmapped",0)</f>
        <v>Finance Income</v>
      </c>
      <c r="K10" s="21" t="str">
        <f>_xlfn.XLOOKUP(F10,'04_Account_Mapping'!$A$6:$A$14,'04_Account_Mapping'!$D$6:$D$14,"Unmapped",0)</f>
        <v>Income</v>
      </c>
    </row>
    <row r="11" spans="1:11">
      <c r="A11" s="16">
        <v>45658</v>
      </c>
      <c r="B11" s="13">
        <v>2025</v>
      </c>
      <c r="C11" s="13">
        <v>1</v>
      </c>
      <c r="D11" s="13" t="s">
        <v>67</v>
      </c>
      <c r="E11" s="13" t="s">
        <v>68</v>
      </c>
      <c r="F11" s="13" t="s">
        <v>63</v>
      </c>
      <c r="G11" s="19">
        <v>-21.23637608771708</v>
      </c>
      <c r="H11" s="13" t="s">
        <v>84</v>
      </c>
      <c r="I11" s="13" t="s">
        <v>85</v>
      </c>
      <c r="J11" s="21" t="str">
        <f>_xlfn.XLOOKUP(F11,'04_Account_Mapping'!$A$6:$A$14,'04_Account_Mapping'!$C$6:$C$14,"Unmapped",0)</f>
        <v>Finance Expense</v>
      </c>
      <c r="K11" s="21" t="str">
        <f>_xlfn.XLOOKUP(F11,'04_Account_Mapping'!$A$6:$A$14,'04_Account_Mapping'!$D$6:$D$14,"Unmapped",0)</f>
        <v>Expense</v>
      </c>
    </row>
    <row r="12" spans="1:11">
      <c r="A12" s="16">
        <v>45658</v>
      </c>
      <c r="B12" s="13">
        <v>2025</v>
      </c>
      <c r="C12" s="13">
        <v>1</v>
      </c>
      <c r="D12" s="13" t="s">
        <v>67</v>
      </c>
      <c r="E12" s="13" t="s">
        <v>68</v>
      </c>
      <c r="F12" s="13" t="s">
        <v>64</v>
      </c>
      <c r="G12" s="19">
        <v>0</v>
      </c>
      <c r="H12" s="13" t="s">
        <v>84</v>
      </c>
      <c r="I12" s="13" t="s">
        <v>85</v>
      </c>
      <c r="J12" s="21" t="str">
        <f>_xlfn.XLOOKUP(F12,'04_Account_Mapping'!$A$6:$A$14,'04_Account_Mapping'!$C$6:$C$14,"Unmapped",0)</f>
        <v>JV Profit/(Loss)</v>
      </c>
      <c r="K12" s="21" t="str">
        <f>_xlfn.XLOOKUP(F12,'04_Account_Mapping'!$A$6:$A$14,'04_Account_Mapping'!$D$6:$D$14,"Unmapped",0)</f>
        <v>Income</v>
      </c>
    </row>
    <row r="13" spans="1:11">
      <c r="A13" s="16">
        <v>45658</v>
      </c>
      <c r="B13" s="13">
        <v>2025</v>
      </c>
      <c r="C13" s="13">
        <v>1</v>
      </c>
      <c r="D13" s="13" t="s">
        <v>67</v>
      </c>
      <c r="E13" s="13" t="s">
        <v>68</v>
      </c>
      <c r="F13" s="13" t="s">
        <v>65</v>
      </c>
      <c r="G13" s="19">
        <v>-4.2472752175434163</v>
      </c>
      <c r="H13" s="13" t="s">
        <v>84</v>
      </c>
      <c r="I13" s="13" t="s">
        <v>85</v>
      </c>
      <c r="J13" s="21" t="str">
        <f>_xlfn.XLOOKUP(F13,'04_Account_Mapping'!$A$6:$A$14,'04_Account_Mapping'!$C$6:$C$14,"Unmapped",0)</f>
        <v>Other Net</v>
      </c>
      <c r="K13" s="21" t="str">
        <f>_xlfn.XLOOKUP(F13,'04_Account_Mapping'!$A$6:$A$14,'04_Account_Mapping'!$D$6:$D$14,"Unmapped",0)</f>
        <v>Income</v>
      </c>
    </row>
    <row r="14" spans="1:11">
      <c r="A14" s="16">
        <v>45658</v>
      </c>
      <c r="B14" s="13">
        <v>2025</v>
      </c>
      <c r="C14" s="13">
        <v>1</v>
      </c>
      <c r="D14" s="13" t="s">
        <v>67</v>
      </c>
      <c r="E14" s="13" t="s">
        <v>68</v>
      </c>
      <c r="F14" s="13" t="s">
        <v>66</v>
      </c>
      <c r="G14" s="19">
        <v>-21.457588338630863</v>
      </c>
      <c r="H14" s="13" t="s">
        <v>84</v>
      </c>
      <c r="I14" s="13" t="s">
        <v>85</v>
      </c>
      <c r="J14" s="21" t="str">
        <f>_xlfn.XLOOKUP(F14,'04_Account_Mapping'!$A$6:$A$14,'04_Account_Mapping'!$C$6:$C$14,"Unmapped",0)</f>
        <v>Tax Expense</v>
      </c>
      <c r="K14" s="21" t="str">
        <f>_xlfn.XLOOKUP(F14,'04_Account_Mapping'!$A$6:$A$14,'04_Account_Mapping'!$D$6:$D$14,"Unmapped",0)</f>
        <v>Expense</v>
      </c>
    </row>
    <row r="15" spans="1:11">
      <c r="A15" s="16">
        <v>45658</v>
      </c>
      <c r="B15" s="13">
        <v>2025</v>
      </c>
      <c r="C15" s="13">
        <v>1</v>
      </c>
      <c r="D15" s="13" t="s">
        <v>72</v>
      </c>
      <c r="E15" s="13" t="s">
        <v>68</v>
      </c>
      <c r="F15" s="13" t="s">
        <v>55</v>
      </c>
      <c r="G15" s="19">
        <v>5067.7715663870295</v>
      </c>
      <c r="H15" s="13" t="s">
        <v>84</v>
      </c>
      <c r="I15" s="13" t="s">
        <v>85</v>
      </c>
      <c r="J15" s="21" t="str">
        <f>_xlfn.XLOOKUP(F15,'04_Account_Mapping'!$A$6:$A$14,'04_Account_Mapping'!$C$6:$C$14,"Unmapped",0)</f>
        <v>Revenue</v>
      </c>
      <c r="K15" s="21" t="str">
        <f>_xlfn.XLOOKUP(F15,'04_Account_Mapping'!$A$6:$A$14,'04_Account_Mapping'!$D$6:$D$14,"Unmapped",0)</f>
        <v>Income</v>
      </c>
    </row>
    <row r="16" spans="1:11">
      <c r="A16" s="16">
        <v>45658</v>
      </c>
      <c r="B16" s="13">
        <v>2025</v>
      </c>
      <c r="C16" s="13">
        <v>1</v>
      </c>
      <c r="D16" s="13" t="s">
        <v>72</v>
      </c>
      <c r="E16" s="13" t="s">
        <v>68</v>
      </c>
      <c r="F16" s="13" t="s">
        <v>58</v>
      </c>
      <c r="G16" s="19">
        <v>-4033.8617039846358</v>
      </c>
      <c r="H16" s="13" t="s">
        <v>84</v>
      </c>
      <c r="I16" s="13" t="s">
        <v>85</v>
      </c>
      <c r="J16" s="21" t="str">
        <f>_xlfn.XLOOKUP(F16,'04_Account_Mapping'!$A$6:$A$14,'04_Account_Mapping'!$C$6:$C$14,"Unmapped",0)</f>
        <v>COGS</v>
      </c>
      <c r="K16" s="21" t="str">
        <f>_xlfn.XLOOKUP(F16,'04_Account_Mapping'!$A$6:$A$14,'04_Account_Mapping'!$D$6:$D$14,"Unmapped",0)</f>
        <v>Expense</v>
      </c>
    </row>
    <row r="17" spans="1:11">
      <c r="A17" s="16">
        <v>45658</v>
      </c>
      <c r="B17" s="13">
        <v>2025</v>
      </c>
      <c r="C17" s="13">
        <v>1</v>
      </c>
      <c r="D17" s="13" t="s">
        <v>72</v>
      </c>
      <c r="E17" s="13" t="s">
        <v>68</v>
      </c>
      <c r="F17" s="13" t="s">
        <v>60</v>
      </c>
      <c r="G17" s="19">
        <v>-719.62356242695807</v>
      </c>
      <c r="H17" s="13" t="s">
        <v>84</v>
      </c>
      <c r="I17" s="13" t="s">
        <v>85</v>
      </c>
      <c r="J17" s="21" t="str">
        <f>_xlfn.XLOOKUP(F17,'04_Account_Mapping'!$A$6:$A$14,'04_Account_Mapping'!$C$6:$C$14,"Unmapped",0)</f>
        <v>Selling Expense</v>
      </c>
      <c r="K17" s="21" t="str">
        <f>_xlfn.XLOOKUP(F17,'04_Account_Mapping'!$A$6:$A$14,'04_Account_Mapping'!$D$6:$D$14,"Unmapped",0)</f>
        <v>Expense</v>
      </c>
    </row>
    <row r="18" spans="1:11">
      <c r="A18" s="16">
        <v>45658</v>
      </c>
      <c r="B18" s="13">
        <v>2025</v>
      </c>
      <c r="C18" s="13">
        <v>1</v>
      </c>
      <c r="D18" s="13" t="s">
        <v>72</v>
      </c>
      <c r="E18" s="13" t="s">
        <v>68</v>
      </c>
      <c r="F18" s="13" t="s">
        <v>61</v>
      </c>
      <c r="G18" s="19">
        <v>-136.82983229244979</v>
      </c>
      <c r="H18" s="13" t="s">
        <v>84</v>
      </c>
      <c r="I18" s="13" t="s">
        <v>85</v>
      </c>
      <c r="J18" s="21" t="str">
        <f>_xlfn.XLOOKUP(F18,'04_Account_Mapping'!$A$6:$A$14,'04_Account_Mapping'!$C$6:$C$14,"Unmapped",0)</f>
        <v>G&amp;A</v>
      </c>
      <c r="K18" s="21" t="str">
        <f>_xlfn.XLOOKUP(F18,'04_Account_Mapping'!$A$6:$A$14,'04_Account_Mapping'!$D$6:$D$14,"Unmapped",0)</f>
        <v>Expense</v>
      </c>
    </row>
    <row r="19" spans="1:11">
      <c r="A19" s="16">
        <v>45658</v>
      </c>
      <c r="B19" s="13">
        <v>2025</v>
      </c>
      <c r="C19" s="13">
        <v>1</v>
      </c>
      <c r="D19" s="13" t="s">
        <v>72</v>
      </c>
      <c r="E19" s="13" t="s">
        <v>68</v>
      </c>
      <c r="F19" s="13" t="s">
        <v>62</v>
      </c>
      <c r="G19" s="19">
        <v>76.016573495805446</v>
      </c>
      <c r="H19" s="13" t="s">
        <v>84</v>
      </c>
      <c r="I19" s="13" t="s">
        <v>85</v>
      </c>
      <c r="J19" s="21" t="str">
        <f>_xlfn.XLOOKUP(F19,'04_Account_Mapping'!$A$6:$A$14,'04_Account_Mapping'!$C$6:$C$14,"Unmapped",0)</f>
        <v>Finance Income</v>
      </c>
      <c r="K19" s="21" t="str">
        <f>_xlfn.XLOOKUP(F19,'04_Account_Mapping'!$A$6:$A$14,'04_Account_Mapping'!$D$6:$D$14,"Unmapped",0)</f>
        <v>Income</v>
      </c>
    </row>
    <row r="20" spans="1:11">
      <c r="A20" s="16">
        <v>45658</v>
      </c>
      <c r="B20" s="13">
        <v>2025</v>
      </c>
      <c r="C20" s="13">
        <v>1</v>
      </c>
      <c r="D20" s="13" t="s">
        <v>72</v>
      </c>
      <c r="E20" s="13" t="s">
        <v>68</v>
      </c>
      <c r="F20" s="13" t="s">
        <v>63</v>
      </c>
      <c r="G20" s="19">
        <v>-40.542172531096234</v>
      </c>
      <c r="H20" s="13" t="s">
        <v>84</v>
      </c>
      <c r="I20" s="13" t="s">
        <v>85</v>
      </c>
      <c r="J20" s="21" t="str">
        <f>_xlfn.XLOOKUP(F20,'04_Account_Mapping'!$A$6:$A$14,'04_Account_Mapping'!$C$6:$C$14,"Unmapped",0)</f>
        <v>Finance Expense</v>
      </c>
      <c r="K20" s="21" t="str">
        <f>_xlfn.XLOOKUP(F20,'04_Account_Mapping'!$A$6:$A$14,'04_Account_Mapping'!$D$6:$D$14,"Unmapped",0)</f>
        <v>Expense</v>
      </c>
    </row>
    <row r="21" spans="1:11">
      <c r="A21" s="16">
        <v>45658</v>
      </c>
      <c r="B21" s="13">
        <v>2025</v>
      </c>
      <c r="C21" s="13">
        <v>1</v>
      </c>
      <c r="D21" s="13" t="s">
        <v>72</v>
      </c>
      <c r="E21" s="13" t="s">
        <v>68</v>
      </c>
      <c r="F21" s="13" t="s">
        <v>64</v>
      </c>
      <c r="G21" s="19">
        <v>0</v>
      </c>
      <c r="H21" s="13" t="s">
        <v>84</v>
      </c>
      <c r="I21" s="13" t="s">
        <v>85</v>
      </c>
      <c r="J21" s="21" t="str">
        <f>_xlfn.XLOOKUP(F21,'04_Account_Mapping'!$A$6:$A$14,'04_Account_Mapping'!$C$6:$C$14,"Unmapped",0)</f>
        <v>JV Profit/(Loss)</v>
      </c>
      <c r="K21" s="21" t="str">
        <f>_xlfn.XLOOKUP(F21,'04_Account_Mapping'!$A$6:$A$14,'04_Account_Mapping'!$D$6:$D$14,"Unmapped",0)</f>
        <v>Income</v>
      </c>
    </row>
    <row r="22" spans="1:11">
      <c r="A22" s="16">
        <v>45658</v>
      </c>
      <c r="B22" s="13">
        <v>2025</v>
      </c>
      <c r="C22" s="13">
        <v>1</v>
      </c>
      <c r="D22" s="13" t="s">
        <v>72</v>
      </c>
      <c r="E22" s="13" t="s">
        <v>68</v>
      </c>
      <c r="F22" s="13" t="s">
        <v>65</v>
      </c>
      <c r="G22" s="19">
        <v>-8.1084345062192469</v>
      </c>
      <c r="H22" s="13" t="s">
        <v>84</v>
      </c>
      <c r="I22" s="13" t="s">
        <v>85</v>
      </c>
      <c r="J22" s="21" t="str">
        <f>_xlfn.XLOOKUP(F22,'04_Account_Mapping'!$A$6:$A$14,'04_Account_Mapping'!$C$6:$C$14,"Unmapped",0)</f>
        <v>Other Net</v>
      </c>
      <c r="K22" s="21" t="str">
        <f>_xlfn.XLOOKUP(F22,'04_Account_Mapping'!$A$6:$A$14,'04_Account_Mapping'!$D$6:$D$14,"Unmapped",0)</f>
        <v>Income</v>
      </c>
    </row>
    <row r="23" spans="1:11">
      <c r="A23" s="16">
        <v>45658</v>
      </c>
      <c r="B23" s="13">
        <v>2025</v>
      </c>
      <c r="C23" s="13">
        <v>1</v>
      </c>
      <c r="D23" s="13" t="s">
        <v>72</v>
      </c>
      <c r="E23" s="13" t="s">
        <v>68</v>
      </c>
      <c r="F23" s="13" t="s">
        <v>66</v>
      </c>
      <c r="G23" s="19">
        <v>-40.964486828295279</v>
      </c>
      <c r="H23" s="13" t="s">
        <v>84</v>
      </c>
      <c r="I23" s="13" t="s">
        <v>85</v>
      </c>
      <c r="J23" s="21" t="str">
        <f>_xlfn.XLOOKUP(F23,'04_Account_Mapping'!$A$6:$A$14,'04_Account_Mapping'!$C$6:$C$14,"Unmapped",0)</f>
        <v>Tax Expense</v>
      </c>
      <c r="K23" s="21" t="str">
        <f>_xlfn.XLOOKUP(F23,'04_Account_Mapping'!$A$6:$A$14,'04_Account_Mapping'!$D$6:$D$14,"Unmapped",0)</f>
        <v>Expense</v>
      </c>
    </row>
    <row r="24" spans="1:11">
      <c r="A24" s="16">
        <v>45658</v>
      </c>
      <c r="B24" s="13">
        <v>2025</v>
      </c>
      <c r="C24" s="13">
        <v>1</v>
      </c>
      <c r="D24" s="13" t="s">
        <v>73</v>
      </c>
      <c r="E24" s="13" t="s">
        <v>74</v>
      </c>
      <c r="F24" s="13" t="s">
        <v>55</v>
      </c>
      <c r="G24" s="19">
        <v>3740.4980609047129</v>
      </c>
      <c r="H24" s="13" t="s">
        <v>84</v>
      </c>
      <c r="I24" s="13" t="s">
        <v>85</v>
      </c>
      <c r="J24" s="21" t="str">
        <f>_xlfn.XLOOKUP(F24,'04_Account_Mapping'!$A$6:$A$14,'04_Account_Mapping'!$C$6:$C$14,"Unmapped",0)</f>
        <v>Revenue</v>
      </c>
      <c r="K24" s="21" t="str">
        <f>_xlfn.XLOOKUP(F24,'04_Account_Mapping'!$A$6:$A$14,'04_Account_Mapping'!$D$6:$D$14,"Unmapped",0)</f>
        <v>Income</v>
      </c>
    </row>
    <row r="25" spans="1:11">
      <c r="A25" s="16">
        <v>45658</v>
      </c>
      <c r="B25" s="13">
        <v>2025</v>
      </c>
      <c r="C25" s="13">
        <v>1</v>
      </c>
      <c r="D25" s="13" t="s">
        <v>73</v>
      </c>
      <c r="E25" s="13" t="s">
        <v>74</v>
      </c>
      <c r="F25" s="13" t="s">
        <v>58</v>
      </c>
      <c r="G25" s="19">
        <v>-2977.374114845803</v>
      </c>
      <c r="H25" s="13" t="s">
        <v>84</v>
      </c>
      <c r="I25" s="13" t="s">
        <v>85</v>
      </c>
      <c r="J25" s="21" t="str">
        <f>_xlfn.XLOOKUP(F25,'04_Account_Mapping'!$A$6:$A$14,'04_Account_Mapping'!$C$6:$C$14,"Unmapped",0)</f>
        <v>COGS</v>
      </c>
      <c r="K25" s="21" t="str">
        <f>_xlfn.XLOOKUP(F25,'04_Account_Mapping'!$A$6:$A$14,'04_Account_Mapping'!$D$6:$D$14,"Unmapped",0)</f>
        <v>Expense</v>
      </c>
    </row>
    <row r="26" spans="1:11">
      <c r="A26" s="16">
        <v>45658</v>
      </c>
      <c r="B26" s="13">
        <v>2025</v>
      </c>
      <c r="C26" s="13">
        <v>1</v>
      </c>
      <c r="D26" s="13" t="s">
        <v>73</v>
      </c>
      <c r="E26" s="13" t="s">
        <v>74</v>
      </c>
      <c r="F26" s="13" t="s">
        <v>60</v>
      </c>
      <c r="G26" s="19">
        <v>-531.15072464846912</v>
      </c>
      <c r="H26" s="13" t="s">
        <v>84</v>
      </c>
      <c r="I26" s="13" t="s">
        <v>85</v>
      </c>
      <c r="J26" s="21" t="str">
        <f>_xlfn.XLOOKUP(F26,'04_Account_Mapping'!$A$6:$A$14,'04_Account_Mapping'!$C$6:$C$14,"Unmapped",0)</f>
        <v>Selling Expense</v>
      </c>
      <c r="K26" s="21" t="str">
        <f>_xlfn.XLOOKUP(F26,'04_Account_Mapping'!$A$6:$A$14,'04_Account_Mapping'!$D$6:$D$14,"Unmapped",0)</f>
        <v>Expense</v>
      </c>
    </row>
    <row r="27" spans="1:11">
      <c r="A27" s="16">
        <v>45658</v>
      </c>
      <c r="B27" s="13">
        <v>2025</v>
      </c>
      <c r="C27" s="13">
        <v>1</v>
      </c>
      <c r="D27" s="13" t="s">
        <v>73</v>
      </c>
      <c r="E27" s="13" t="s">
        <v>74</v>
      </c>
      <c r="F27" s="13" t="s">
        <v>61</v>
      </c>
      <c r="G27" s="19">
        <v>-100.99344764442725</v>
      </c>
      <c r="H27" s="13" t="s">
        <v>84</v>
      </c>
      <c r="I27" s="13" t="s">
        <v>85</v>
      </c>
      <c r="J27" s="21" t="str">
        <f>_xlfn.XLOOKUP(F27,'04_Account_Mapping'!$A$6:$A$14,'04_Account_Mapping'!$C$6:$C$14,"Unmapped",0)</f>
        <v>G&amp;A</v>
      </c>
      <c r="K27" s="21" t="str">
        <f>_xlfn.XLOOKUP(F27,'04_Account_Mapping'!$A$6:$A$14,'04_Account_Mapping'!$D$6:$D$14,"Unmapped",0)</f>
        <v>Expense</v>
      </c>
    </row>
    <row r="28" spans="1:11">
      <c r="A28" s="16">
        <v>45658</v>
      </c>
      <c r="B28" s="13">
        <v>2025</v>
      </c>
      <c r="C28" s="13">
        <v>1</v>
      </c>
      <c r="D28" s="13" t="s">
        <v>73</v>
      </c>
      <c r="E28" s="13" t="s">
        <v>74</v>
      </c>
      <c r="F28" s="13" t="s">
        <v>62</v>
      </c>
      <c r="G28" s="19">
        <v>56.107470913570694</v>
      </c>
      <c r="H28" s="13" t="s">
        <v>84</v>
      </c>
      <c r="I28" s="13" t="s">
        <v>85</v>
      </c>
      <c r="J28" s="21" t="str">
        <f>_xlfn.XLOOKUP(F28,'04_Account_Mapping'!$A$6:$A$14,'04_Account_Mapping'!$C$6:$C$14,"Unmapped",0)</f>
        <v>Finance Income</v>
      </c>
      <c r="K28" s="21" t="str">
        <f>_xlfn.XLOOKUP(F28,'04_Account_Mapping'!$A$6:$A$14,'04_Account_Mapping'!$D$6:$D$14,"Unmapped",0)</f>
        <v>Income</v>
      </c>
    </row>
    <row r="29" spans="1:11">
      <c r="A29" s="16">
        <v>45658</v>
      </c>
      <c r="B29" s="13">
        <v>2025</v>
      </c>
      <c r="C29" s="13">
        <v>1</v>
      </c>
      <c r="D29" s="13" t="s">
        <v>73</v>
      </c>
      <c r="E29" s="13" t="s">
        <v>74</v>
      </c>
      <c r="F29" s="13" t="s">
        <v>63</v>
      </c>
      <c r="G29" s="19">
        <v>-29.923984487237703</v>
      </c>
      <c r="H29" s="13" t="s">
        <v>84</v>
      </c>
      <c r="I29" s="13" t="s">
        <v>85</v>
      </c>
      <c r="J29" s="21" t="str">
        <f>_xlfn.XLOOKUP(F29,'04_Account_Mapping'!$A$6:$A$14,'04_Account_Mapping'!$C$6:$C$14,"Unmapped",0)</f>
        <v>Finance Expense</v>
      </c>
      <c r="K29" s="21" t="str">
        <f>_xlfn.XLOOKUP(F29,'04_Account_Mapping'!$A$6:$A$14,'04_Account_Mapping'!$D$6:$D$14,"Unmapped",0)</f>
        <v>Expense</v>
      </c>
    </row>
    <row r="30" spans="1:11">
      <c r="A30" s="16">
        <v>45658</v>
      </c>
      <c r="B30" s="13">
        <v>2025</v>
      </c>
      <c r="C30" s="13">
        <v>1</v>
      </c>
      <c r="D30" s="13" t="s">
        <v>73</v>
      </c>
      <c r="E30" s="13" t="s">
        <v>74</v>
      </c>
      <c r="F30" s="13" t="s">
        <v>64</v>
      </c>
      <c r="G30" s="19">
        <v>0</v>
      </c>
      <c r="H30" s="13" t="s">
        <v>84</v>
      </c>
      <c r="I30" s="13" t="s">
        <v>85</v>
      </c>
      <c r="J30" s="21" t="str">
        <f>_xlfn.XLOOKUP(F30,'04_Account_Mapping'!$A$6:$A$14,'04_Account_Mapping'!$C$6:$C$14,"Unmapped",0)</f>
        <v>JV Profit/(Loss)</v>
      </c>
      <c r="K30" s="21" t="str">
        <f>_xlfn.XLOOKUP(F30,'04_Account_Mapping'!$A$6:$A$14,'04_Account_Mapping'!$D$6:$D$14,"Unmapped",0)</f>
        <v>Income</v>
      </c>
    </row>
    <row r="31" spans="1:11">
      <c r="A31" s="16">
        <v>45658</v>
      </c>
      <c r="B31" s="13">
        <v>2025</v>
      </c>
      <c r="C31" s="13">
        <v>1</v>
      </c>
      <c r="D31" s="13" t="s">
        <v>73</v>
      </c>
      <c r="E31" s="13" t="s">
        <v>74</v>
      </c>
      <c r="F31" s="13" t="s">
        <v>65</v>
      </c>
      <c r="G31" s="19">
        <v>-5.9847968974475405</v>
      </c>
      <c r="H31" s="13" t="s">
        <v>84</v>
      </c>
      <c r="I31" s="13" t="s">
        <v>85</v>
      </c>
      <c r="J31" s="21" t="str">
        <f>_xlfn.XLOOKUP(F31,'04_Account_Mapping'!$A$6:$A$14,'04_Account_Mapping'!$C$6:$C$14,"Unmapped",0)</f>
        <v>Other Net</v>
      </c>
      <c r="K31" s="21" t="str">
        <f>_xlfn.XLOOKUP(F31,'04_Account_Mapping'!$A$6:$A$14,'04_Account_Mapping'!$D$6:$D$14,"Unmapped",0)</f>
        <v>Income</v>
      </c>
    </row>
    <row r="32" spans="1:11">
      <c r="A32" s="16">
        <v>45658</v>
      </c>
      <c r="B32" s="13">
        <v>2025</v>
      </c>
      <c r="C32" s="13">
        <v>1</v>
      </c>
      <c r="D32" s="13" t="s">
        <v>73</v>
      </c>
      <c r="E32" s="13" t="s">
        <v>74</v>
      </c>
      <c r="F32" s="13" t="s">
        <v>66</v>
      </c>
      <c r="G32" s="19">
        <v>-30.235692658979854</v>
      </c>
      <c r="H32" s="13" t="s">
        <v>84</v>
      </c>
      <c r="I32" s="13" t="s">
        <v>85</v>
      </c>
      <c r="J32" s="21" t="str">
        <f>_xlfn.XLOOKUP(F32,'04_Account_Mapping'!$A$6:$A$14,'04_Account_Mapping'!$C$6:$C$14,"Unmapped",0)</f>
        <v>Tax Expense</v>
      </c>
      <c r="K32" s="21" t="str">
        <f>_xlfn.XLOOKUP(F32,'04_Account_Mapping'!$A$6:$A$14,'04_Account_Mapping'!$D$6:$D$14,"Unmapped",0)</f>
        <v>Expense</v>
      </c>
    </row>
    <row r="33" spans="1:11">
      <c r="A33" s="16">
        <v>45658</v>
      </c>
      <c r="B33" s="13">
        <v>2025</v>
      </c>
      <c r="C33" s="13">
        <v>1</v>
      </c>
      <c r="D33" s="13" t="s">
        <v>75</v>
      </c>
      <c r="E33" s="13" t="s">
        <v>76</v>
      </c>
      <c r="F33" s="13" t="s">
        <v>55</v>
      </c>
      <c r="G33" s="19">
        <v>603.30613885559887</v>
      </c>
      <c r="H33" s="13" t="s">
        <v>84</v>
      </c>
      <c r="I33" s="13" t="s">
        <v>85</v>
      </c>
      <c r="J33" s="21" t="str">
        <f>_xlfn.XLOOKUP(F33,'04_Account_Mapping'!$A$6:$A$14,'04_Account_Mapping'!$C$6:$C$14,"Unmapped",0)</f>
        <v>Revenue</v>
      </c>
      <c r="K33" s="21" t="str">
        <f>_xlfn.XLOOKUP(F33,'04_Account_Mapping'!$A$6:$A$14,'04_Account_Mapping'!$D$6:$D$14,"Unmapped",0)</f>
        <v>Income</v>
      </c>
    </row>
    <row r="34" spans="1:11">
      <c r="A34" s="16">
        <v>45658</v>
      </c>
      <c r="B34" s="13">
        <v>2025</v>
      </c>
      <c r="C34" s="13">
        <v>1</v>
      </c>
      <c r="D34" s="13" t="s">
        <v>75</v>
      </c>
      <c r="E34" s="13" t="s">
        <v>76</v>
      </c>
      <c r="F34" s="13" t="s">
        <v>58</v>
      </c>
      <c r="G34" s="19">
        <v>-480.22163142674248</v>
      </c>
      <c r="H34" s="13" t="s">
        <v>84</v>
      </c>
      <c r="I34" s="13" t="s">
        <v>85</v>
      </c>
      <c r="J34" s="21" t="str">
        <f>_xlfn.XLOOKUP(F34,'04_Account_Mapping'!$A$6:$A$14,'04_Account_Mapping'!$C$6:$C$14,"Unmapped",0)</f>
        <v>COGS</v>
      </c>
      <c r="K34" s="21" t="str">
        <f>_xlfn.XLOOKUP(F34,'04_Account_Mapping'!$A$6:$A$14,'04_Account_Mapping'!$D$6:$D$14,"Unmapped",0)</f>
        <v>Expense</v>
      </c>
    </row>
    <row r="35" spans="1:11">
      <c r="A35" s="16">
        <v>45658</v>
      </c>
      <c r="B35" s="13">
        <v>2025</v>
      </c>
      <c r="C35" s="13">
        <v>1</v>
      </c>
      <c r="D35" s="13" t="s">
        <v>75</v>
      </c>
      <c r="E35" s="13" t="s">
        <v>76</v>
      </c>
      <c r="F35" s="13" t="s">
        <v>60</v>
      </c>
      <c r="G35" s="19">
        <v>-85.669471717495028</v>
      </c>
      <c r="H35" s="13" t="s">
        <v>84</v>
      </c>
      <c r="I35" s="13" t="s">
        <v>85</v>
      </c>
      <c r="J35" s="21" t="str">
        <f>_xlfn.XLOOKUP(F35,'04_Account_Mapping'!$A$6:$A$14,'04_Account_Mapping'!$C$6:$C$14,"Unmapped",0)</f>
        <v>Selling Expense</v>
      </c>
      <c r="K35" s="21" t="str">
        <f>_xlfn.XLOOKUP(F35,'04_Account_Mapping'!$A$6:$A$14,'04_Account_Mapping'!$D$6:$D$14,"Unmapped",0)</f>
        <v>Expense</v>
      </c>
    </row>
    <row r="36" spans="1:11">
      <c r="A36" s="16">
        <v>45658</v>
      </c>
      <c r="B36" s="13">
        <v>2025</v>
      </c>
      <c r="C36" s="13">
        <v>1</v>
      </c>
      <c r="D36" s="13" t="s">
        <v>75</v>
      </c>
      <c r="E36" s="13" t="s">
        <v>76</v>
      </c>
      <c r="F36" s="13" t="s">
        <v>61</v>
      </c>
      <c r="G36" s="19">
        <v>-16.289265749101173</v>
      </c>
      <c r="H36" s="13" t="s">
        <v>84</v>
      </c>
      <c r="I36" s="13" t="s">
        <v>85</v>
      </c>
      <c r="J36" s="21" t="str">
        <f>_xlfn.XLOOKUP(F36,'04_Account_Mapping'!$A$6:$A$14,'04_Account_Mapping'!$C$6:$C$14,"Unmapped",0)</f>
        <v>G&amp;A</v>
      </c>
      <c r="K36" s="21" t="str">
        <f>_xlfn.XLOOKUP(F36,'04_Account_Mapping'!$A$6:$A$14,'04_Account_Mapping'!$D$6:$D$14,"Unmapped",0)</f>
        <v>Expense</v>
      </c>
    </row>
    <row r="37" spans="1:11">
      <c r="A37" s="16">
        <v>45658</v>
      </c>
      <c r="B37" s="13">
        <v>2025</v>
      </c>
      <c r="C37" s="13">
        <v>1</v>
      </c>
      <c r="D37" s="13" t="s">
        <v>75</v>
      </c>
      <c r="E37" s="13" t="s">
        <v>76</v>
      </c>
      <c r="F37" s="13" t="s">
        <v>62</v>
      </c>
      <c r="G37" s="19">
        <v>9.0495920828339838</v>
      </c>
      <c r="H37" s="13" t="s">
        <v>84</v>
      </c>
      <c r="I37" s="13" t="s">
        <v>85</v>
      </c>
      <c r="J37" s="21" t="str">
        <f>_xlfn.XLOOKUP(F37,'04_Account_Mapping'!$A$6:$A$14,'04_Account_Mapping'!$C$6:$C$14,"Unmapped",0)</f>
        <v>Finance Income</v>
      </c>
      <c r="K37" s="21" t="str">
        <f>_xlfn.XLOOKUP(F37,'04_Account_Mapping'!$A$6:$A$14,'04_Account_Mapping'!$D$6:$D$14,"Unmapped",0)</f>
        <v>Income</v>
      </c>
    </row>
    <row r="38" spans="1:11">
      <c r="A38" s="16">
        <v>45658</v>
      </c>
      <c r="B38" s="13">
        <v>2025</v>
      </c>
      <c r="C38" s="13">
        <v>1</v>
      </c>
      <c r="D38" s="13" t="s">
        <v>75</v>
      </c>
      <c r="E38" s="13" t="s">
        <v>76</v>
      </c>
      <c r="F38" s="13" t="s">
        <v>63</v>
      </c>
      <c r="G38" s="19">
        <v>-4.8264491108447913</v>
      </c>
      <c r="H38" s="13" t="s">
        <v>84</v>
      </c>
      <c r="I38" s="13" t="s">
        <v>85</v>
      </c>
      <c r="J38" s="21" t="str">
        <f>_xlfn.XLOOKUP(F38,'04_Account_Mapping'!$A$6:$A$14,'04_Account_Mapping'!$C$6:$C$14,"Unmapped",0)</f>
        <v>Finance Expense</v>
      </c>
      <c r="K38" s="21" t="str">
        <f>_xlfn.XLOOKUP(F38,'04_Account_Mapping'!$A$6:$A$14,'04_Account_Mapping'!$D$6:$D$14,"Unmapped",0)</f>
        <v>Expense</v>
      </c>
    </row>
    <row r="39" spans="1:11">
      <c r="A39" s="16">
        <v>45658</v>
      </c>
      <c r="B39" s="13">
        <v>2025</v>
      </c>
      <c r="C39" s="13">
        <v>1</v>
      </c>
      <c r="D39" s="13" t="s">
        <v>75</v>
      </c>
      <c r="E39" s="13" t="s">
        <v>76</v>
      </c>
      <c r="F39" s="13" t="s">
        <v>64</v>
      </c>
      <c r="G39" s="19">
        <v>0</v>
      </c>
      <c r="H39" s="13" t="s">
        <v>84</v>
      </c>
      <c r="I39" s="13" t="s">
        <v>85</v>
      </c>
      <c r="J39" s="21" t="str">
        <f>_xlfn.XLOOKUP(F39,'04_Account_Mapping'!$A$6:$A$14,'04_Account_Mapping'!$C$6:$C$14,"Unmapped",0)</f>
        <v>JV Profit/(Loss)</v>
      </c>
      <c r="K39" s="21" t="str">
        <f>_xlfn.XLOOKUP(F39,'04_Account_Mapping'!$A$6:$A$14,'04_Account_Mapping'!$D$6:$D$14,"Unmapped",0)</f>
        <v>Income</v>
      </c>
    </row>
    <row r="40" spans="1:11">
      <c r="A40" s="16">
        <v>45658</v>
      </c>
      <c r="B40" s="13">
        <v>2025</v>
      </c>
      <c r="C40" s="13">
        <v>1</v>
      </c>
      <c r="D40" s="13" t="s">
        <v>75</v>
      </c>
      <c r="E40" s="13" t="s">
        <v>76</v>
      </c>
      <c r="F40" s="13" t="s">
        <v>65</v>
      </c>
      <c r="G40" s="19">
        <v>-0.96528982216895831</v>
      </c>
      <c r="H40" s="13" t="s">
        <v>84</v>
      </c>
      <c r="I40" s="13" t="s">
        <v>85</v>
      </c>
      <c r="J40" s="21" t="str">
        <f>_xlfn.XLOOKUP(F40,'04_Account_Mapping'!$A$6:$A$14,'04_Account_Mapping'!$C$6:$C$14,"Unmapped",0)</f>
        <v>Other Net</v>
      </c>
      <c r="K40" s="21" t="str">
        <f>_xlfn.XLOOKUP(F40,'04_Account_Mapping'!$A$6:$A$14,'04_Account_Mapping'!$D$6:$D$14,"Unmapped",0)</f>
        <v>Income</v>
      </c>
    </row>
    <row r="41" spans="1:11">
      <c r="A41" s="16">
        <v>45658</v>
      </c>
      <c r="B41" s="13">
        <v>2025</v>
      </c>
      <c r="C41" s="13">
        <v>1</v>
      </c>
      <c r="D41" s="13" t="s">
        <v>75</v>
      </c>
      <c r="E41" s="13" t="s">
        <v>76</v>
      </c>
      <c r="F41" s="13" t="s">
        <v>66</v>
      </c>
      <c r="G41" s="19">
        <v>-4.8767246224161056</v>
      </c>
      <c r="H41" s="13" t="s">
        <v>84</v>
      </c>
      <c r="I41" s="13" t="s">
        <v>85</v>
      </c>
      <c r="J41" s="21" t="str">
        <f>_xlfn.XLOOKUP(F41,'04_Account_Mapping'!$A$6:$A$14,'04_Account_Mapping'!$C$6:$C$14,"Unmapped",0)</f>
        <v>Tax Expense</v>
      </c>
      <c r="K41" s="21" t="str">
        <f>_xlfn.XLOOKUP(F41,'04_Account_Mapping'!$A$6:$A$14,'04_Account_Mapping'!$D$6:$D$14,"Unmapped",0)</f>
        <v>Expense</v>
      </c>
    </row>
    <row r="42" spans="1:11">
      <c r="A42" s="16">
        <v>45689</v>
      </c>
      <c r="B42" s="13">
        <v>2025</v>
      </c>
      <c r="C42" s="13">
        <v>2</v>
      </c>
      <c r="D42" s="13" t="s">
        <v>67</v>
      </c>
      <c r="E42" s="13" t="s">
        <v>68</v>
      </c>
      <c r="F42" s="13" t="s">
        <v>55</v>
      </c>
      <c r="G42" s="19">
        <v>2654.5470109646349</v>
      </c>
      <c r="H42" s="13" t="s">
        <v>84</v>
      </c>
      <c r="I42" s="13" t="s">
        <v>85</v>
      </c>
      <c r="J42" s="21" t="str">
        <f>_xlfn.XLOOKUP(F42,'04_Account_Mapping'!$A$6:$A$14,'04_Account_Mapping'!$C$6:$C$14,"Unmapped",0)</f>
        <v>Revenue</v>
      </c>
      <c r="K42" s="21" t="str">
        <f>_xlfn.XLOOKUP(F42,'04_Account_Mapping'!$A$6:$A$14,'04_Account_Mapping'!$D$6:$D$14,"Unmapped",0)</f>
        <v>Income</v>
      </c>
    </row>
    <row r="43" spans="1:11">
      <c r="A43" s="16">
        <v>45689</v>
      </c>
      <c r="B43" s="13">
        <v>2025</v>
      </c>
      <c r="C43" s="13">
        <v>2</v>
      </c>
      <c r="D43" s="13" t="s">
        <v>67</v>
      </c>
      <c r="E43" s="13" t="s">
        <v>68</v>
      </c>
      <c r="F43" s="13" t="s">
        <v>58</v>
      </c>
      <c r="G43" s="19">
        <v>-2112.9751782776666</v>
      </c>
      <c r="H43" s="13" t="s">
        <v>84</v>
      </c>
      <c r="I43" s="13" t="s">
        <v>85</v>
      </c>
      <c r="J43" s="21" t="str">
        <f>_xlfn.XLOOKUP(F43,'04_Account_Mapping'!$A$6:$A$14,'04_Account_Mapping'!$C$6:$C$14,"Unmapped",0)</f>
        <v>COGS</v>
      </c>
      <c r="K43" s="21" t="str">
        <f>_xlfn.XLOOKUP(F43,'04_Account_Mapping'!$A$6:$A$14,'04_Account_Mapping'!$D$6:$D$14,"Unmapped",0)</f>
        <v>Expense</v>
      </c>
    </row>
    <row r="44" spans="1:11">
      <c r="A44" s="16">
        <v>45689</v>
      </c>
      <c r="B44" s="13">
        <v>2025</v>
      </c>
      <c r="C44" s="13">
        <v>2</v>
      </c>
      <c r="D44" s="13" t="s">
        <v>67</v>
      </c>
      <c r="E44" s="13" t="s">
        <v>68</v>
      </c>
      <c r="F44" s="13" t="s">
        <v>60</v>
      </c>
      <c r="G44" s="19">
        <v>-376.94567555697813</v>
      </c>
      <c r="H44" s="13" t="s">
        <v>84</v>
      </c>
      <c r="I44" s="13" t="s">
        <v>85</v>
      </c>
      <c r="J44" s="21" t="str">
        <f>_xlfn.XLOOKUP(F44,'04_Account_Mapping'!$A$6:$A$14,'04_Account_Mapping'!$C$6:$C$14,"Unmapped",0)</f>
        <v>Selling Expense</v>
      </c>
      <c r="K44" s="21" t="str">
        <f>_xlfn.XLOOKUP(F44,'04_Account_Mapping'!$A$6:$A$14,'04_Account_Mapping'!$D$6:$D$14,"Unmapped",0)</f>
        <v>Expense</v>
      </c>
    </row>
    <row r="45" spans="1:11">
      <c r="A45" s="16">
        <v>45689</v>
      </c>
      <c r="B45" s="13">
        <v>2025</v>
      </c>
      <c r="C45" s="13">
        <v>2</v>
      </c>
      <c r="D45" s="13" t="s">
        <v>67</v>
      </c>
      <c r="E45" s="13" t="s">
        <v>68</v>
      </c>
      <c r="F45" s="13" t="s">
        <v>61</v>
      </c>
      <c r="G45" s="19">
        <v>-71.672769296045146</v>
      </c>
      <c r="H45" s="13" t="s">
        <v>84</v>
      </c>
      <c r="I45" s="13" t="s">
        <v>85</v>
      </c>
      <c r="J45" s="21" t="str">
        <f>_xlfn.XLOOKUP(F45,'04_Account_Mapping'!$A$6:$A$14,'04_Account_Mapping'!$C$6:$C$14,"Unmapped",0)</f>
        <v>G&amp;A</v>
      </c>
      <c r="K45" s="21" t="str">
        <f>_xlfn.XLOOKUP(F45,'04_Account_Mapping'!$A$6:$A$14,'04_Account_Mapping'!$D$6:$D$14,"Unmapped",0)</f>
        <v>Expense</v>
      </c>
    </row>
    <row r="46" spans="1:11">
      <c r="A46" s="16">
        <v>45689</v>
      </c>
      <c r="B46" s="13">
        <v>2025</v>
      </c>
      <c r="C46" s="13">
        <v>2</v>
      </c>
      <c r="D46" s="13" t="s">
        <v>67</v>
      </c>
      <c r="E46" s="13" t="s">
        <v>68</v>
      </c>
      <c r="F46" s="13" t="s">
        <v>62</v>
      </c>
      <c r="G46" s="19">
        <v>39.818205164469525</v>
      </c>
      <c r="H46" s="13" t="s">
        <v>84</v>
      </c>
      <c r="I46" s="13" t="s">
        <v>85</v>
      </c>
      <c r="J46" s="21" t="str">
        <f>_xlfn.XLOOKUP(F46,'04_Account_Mapping'!$A$6:$A$14,'04_Account_Mapping'!$C$6:$C$14,"Unmapped",0)</f>
        <v>Finance Income</v>
      </c>
      <c r="K46" s="21" t="str">
        <f>_xlfn.XLOOKUP(F46,'04_Account_Mapping'!$A$6:$A$14,'04_Account_Mapping'!$D$6:$D$14,"Unmapped",0)</f>
        <v>Income</v>
      </c>
    </row>
    <row r="47" spans="1:11">
      <c r="A47" s="16">
        <v>45689</v>
      </c>
      <c r="B47" s="13">
        <v>2025</v>
      </c>
      <c r="C47" s="13">
        <v>2</v>
      </c>
      <c r="D47" s="13" t="s">
        <v>67</v>
      </c>
      <c r="E47" s="13" t="s">
        <v>68</v>
      </c>
      <c r="F47" s="13" t="s">
        <v>63</v>
      </c>
      <c r="G47" s="19">
        <v>-21.23637608771708</v>
      </c>
      <c r="H47" s="13" t="s">
        <v>84</v>
      </c>
      <c r="I47" s="13" t="s">
        <v>85</v>
      </c>
      <c r="J47" s="21" t="str">
        <f>_xlfn.XLOOKUP(F47,'04_Account_Mapping'!$A$6:$A$14,'04_Account_Mapping'!$C$6:$C$14,"Unmapped",0)</f>
        <v>Finance Expense</v>
      </c>
      <c r="K47" s="21" t="str">
        <f>_xlfn.XLOOKUP(F47,'04_Account_Mapping'!$A$6:$A$14,'04_Account_Mapping'!$D$6:$D$14,"Unmapped",0)</f>
        <v>Expense</v>
      </c>
    </row>
    <row r="48" spans="1:11">
      <c r="A48" s="16">
        <v>45689</v>
      </c>
      <c r="B48" s="13">
        <v>2025</v>
      </c>
      <c r="C48" s="13">
        <v>2</v>
      </c>
      <c r="D48" s="13" t="s">
        <v>67</v>
      </c>
      <c r="E48" s="13" t="s">
        <v>68</v>
      </c>
      <c r="F48" s="13" t="s">
        <v>64</v>
      </c>
      <c r="G48" s="19">
        <v>0</v>
      </c>
      <c r="H48" s="13" t="s">
        <v>84</v>
      </c>
      <c r="I48" s="13" t="s">
        <v>85</v>
      </c>
      <c r="J48" s="21" t="str">
        <f>_xlfn.XLOOKUP(F48,'04_Account_Mapping'!$A$6:$A$14,'04_Account_Mapping'!$C$6:$C$14,"Unmapped",0)</f>
        <v>JV Profit/(Loss)</v>
      </c>
      <c r="K48" s="21" t="str">
        <f>_xlfn.XLOOKUP(F48,'04_Account_Mapping'!$A$6:$A$14,'04_Account_Mapping'!$D$6:$D$14,"Unmapped",0)</f>
        <v>Income</v>
      </c>
    </row>
    <row r="49" spans="1:11">
      <c r="A49" s="16">
        <v>45689</v>
      </c>
      <c r="B49" s="13">
        <v>2025</v>
      </c>
      <c r="C49" s="13">
        <v>2</v>
      </c>
      <c r="D49" s="13" t="s">
        <v>67</v>
      </c>
      <c r="E49" s="13" t="s">
        <v>68</v>
      </c>
      <c r="F49" s="13" t="s">
        <v>65</v>
      </c>
      <c r="G49" s="19">
        <v>-4.2472752175434163</v>
      </c>
      <c r="H49" s="13" t="s">
        <v>84</v>
      </c>
      <c r="I49" s="13" t="s">
        <v>85</v>
      </c>
      <c r="J49" s="21" t="str">
        <f>_xlfn.XLOOKUP(F49,'04_Account_Mapping'!$A$6:$A$14,'04_Account_Mapping'!$C$6:$C$14,"Unmapped",0)</f>
        <v>Other Net</v>
      </c>
      <c r="K49" s="21" t="str">
        <f>_xlfn.XLOOKUP(F49,'04_Account_Mapping'!$A$6:$A$14,'04_Account_Mapping'!$D$6:$D$14,"Unmapped",0)</f>
        <v>Income</v>
      </c>
    </row>
    <row r="50" spans="1:11">
      <c r="A50" s="16">
        <v>45689</v>
      </c>
      <c r="B50" s="13">
        <v>2025</v>
      </c>
      <c r="C50" s="13">
        <v>2</v>
      </c>
      <c r="D50" s="13" t="s">
        <v>67</v>
      </c>
      <c r="E50" s="13" t="s">
        <v>68</v>
      </c>
      <c r="F50" s="13" t="s">
        <v>66</v>
      </c>
      <c r="G50" s="19">
        <v>-21.457588338630863</v>
      </c>
      <c r="H50" s="13" t="s">
        <v>84</v>
      </c>
      <c r="I50" s="13" t="s">
        <v>85</v>
      </c>
      <c r="J50" s="21" t="str">
        <f>_xlfn.XLOOKUP(F50,'04_Account_Mapping'!$A$6:$A$14,'04_Account_Mapping'!$C$6:$C$14,"Unmapped",0)</f>
        <v>Tax Expense</v>
      </c>
      <c r="K50" s="21" t="str">
        <f>_xlfn.XLOOKUP(F50,'04_Account_Mapping'!$A$6:$A$14,'04_Account_Mapping'!$D$6:$D$14,"Unmapped",0)</f>
        <v>Expense</v>
      </c>
    </row>
    <row r="51" spans="1:11">
      <c r="A51" s="16">
        <v>45689</v>
      </c>
      <c r="B51" s="13">
        <v>2025</v>
      </c>
      <c r="C51" s="13">
        <v>2</v>
      </c>
      <c r="D51" s="13" t="s">
        <v>72</v>
      </c>
      <c r="E51" s="13" t="s">
        <v>68</v>
      </c>
      <c r="F51" s="13" t="s">
        <v>55</v>
      </c>
      <c r="G51" s="19">
        <v>5067.7715663870295</v>
      </c>
      <c r="H51" s="13" t="s">
        <v>84</v>
      </c>
      <c r="I51" s="13" t="s">
        <v>85</v>
      </c>
      <c r="J51" s="21" t="str">
        <f>_xlfn.XLOOKUP(F51,'04_Account_Mapping'!$A$6:$A$14,'04_Account_Mapping'!$C$6:$C$14,"Unmapped",0)</f>
        <v>Revenue</v>
      </c>
      <c r="K51" s="21" t="str">
        <f>_xlfn.XLOOKUP(F51,'04_Account_Mapping'!$A$6:$A$14,'04_Account_Mapping'!$D$6:$D$14,"Unmapped",0)</f>
        <v>Income</v>
      </c>
    </row>
    <row r="52" spans="1:11">
      <c r="A52" s="16">
        <v>45689</v>
      </c>
      <c r="B52" s="13">
        <v>2025</v>
      </c>
      <c r="C52" s="13">
        <v>2</v>
      </c>
      <c r="D52" s="13" t="s">
        <v>72</v>
      </c>
      <c r="E52" s="13" t="s">
        <v>68</v>
      </c>
      <c r="F52" s="13" t="s">
        <v>58</v>
      </c>
      <c r="G52" s="19">
        <v>-4033.8617039846358</v>
      </c>
      <c r="H52" s="13" t="s">
        <v>84</v>
      </c>
      <c r="I52" s="13" t="s">
        <v>85</v>
      </c>
      <c r="J52" s="21" t="str">
        <f>_xlfn.XLOOKUP(F52,'04_Account_Mapping'!$A$6:$A$14,'04_Account_Mapping'!$C$6:$C$14,"Unmapped",0)</f>
        <v>COGS</v>
      </c>
      <c r="K52" s="21" t="str">
        <f>_xlfn.XLOOKUP(F52,'04_Account_Mapping'!$A$6:$A$14,'04_Account_Mapping'!$D$6:$D$14,"Unmapped",0)</f>
        <v>Expense</v>
      </c>
    </row>
    <row r="53" spans="1:11">
      <c r="A53" s="16">
        <v>45689</v>
      </c>
      <c r="B53" s="13">
        <v>2025</v>
      </c>
      <c r="C53" s="13">
        <v>2</v>
      </c>
      <c r="D53" s="13" t="s">
        <v>72</v>
      </c>
      <c r="E53" s="13" t="s">
        <v>68</v>
      </c>
      <c r="F53" s="13" t="s">
        <v>60</v>
      </c>
      <c r="G53" s="19">
        <v>-719.62356242695807</v>
      </c>
      <c r="H53" s="13" t="s">
        <v>84</v>
      </c>
      <c r="I53" s="13" t="s">
        <v>85</v>
      </c>
      <c r="J53" s="21" t="str">
        <f>_xlfn.XLOOKUP(F53,'04_Account_Mapping'!$A$6:$A$14,'04_Account_Mapping'!$C$6:$C$14,"Unmapped",0)</f>
        <v>Selling Expense</v>
      </c>
      <c r="K53" s="21" t="str">
        <f>_xlfn.XLOOKUP(F53,'04_Account_Mapping'!$A$6:$A$14,'04_Account_Mapping'!$D$6:$D$14,"Unmapped",0)</f>
        <v>Expense</v>
      </c>
    </row>
    <row r="54" spans="1:11">
      <c r="A54" s="16">
        <v>45689</v>
      </c>
      <c r="B54" s="13">
        <v>2025</v>
      </c>
      <c r="C54" s="13">
        <v>2</v>
      </c>
      <c r="D54" s="13" t="s">
        <v>72</v>
      </c>
      <c r="E54" s="13" t="s">
        <v>68</v>
      </c>
      <c r="F54" s="13" t="s">
        <v>61</v>
      </c>
      <c r="G54" s="19">
        <v>-136.82983229244979</v>
      </c>
      <c r="H54" s="13" t="s">
        <v>84</v>
      </c>
      <c r="I54" s="13" t="s">
        <v>85</v>
      </c>
      <c r="J54" s="21" t="str">
        <f>_xlfn.XLOOKUP(F54,'04_Account_Mapping'!$A$6:$A$14,'04_Account_Mapping'!$C$6:$C$14,"Unmapped",0)</f>
        <v>G&amp;A</v>
      </c>
      <c r="K54" s="21" t="str">
        <f>_xlfn.XLOOKUP(F54,'04_Account_Mapping'!$A$6:$A$14,'04_Account_Mapping'!$D$6:$D$14,"Unmapped",0)</f>
        <v>Expense</v>
      </c>
    </row>
    <row r="55" spans="1:11">
      <c r="A55" s="16">
        <v>45689</v>
      </c>
      <c r="B55" s="13">
        <v>2025</v>
      </c>
      <c r="C55" s="13">
        <v>2</v>
      </c>
      <c r="D55" s="13" t="s">
        <v>72</v>
      </c>
      <c r="E55" s="13" t="s">
        <v>68</v>
      </c>
      <c r="F55" s="13" t="s">
        <v>62</v>
      </c>
      <c r="G55" s="19">
        <v>76.016573495805446</v>
      </c>
      <c r="H55" s="13" t="s">
        <v>84</v>
      </c>
      <c r="I55" s="13" t="s">
        <v>85</v>
      </c>
      <c r="J55" s="21" t="str">
        <f>_xlfn.XLOOKUP(F55,'04_Account_Mapping'!$A$6:$A$14,'04_Account_Mapping'!$C$6:$C$14,"Unmapped",0)</f>
        <v>Finance Income</v>
      </c>
      <c r="K55" s="21" t="str">
        <f>_xlfn.XLOOKUP(F55,'04_Account_Mapping'!$A$6:$A$14,'04_Account_Mapping'!$D$6:$D$14,"Unmapped",0)</f>
        <v>Income</v>
      </c>
    </row>
    <row r="56" spans="1:11">
      <c r="A56" s="16">
        <v>45689</v>
      </c>
      <c r="B56" s="13">
        <v>2025</v>
      </c>
      <c r="C56" s="13">
        <v>2</v>
      </c>
      <c r="D56" s="13" t="s">
        <v>72</v>
      </c>
      <c r="E56" s="13" t="s">
        <v>68</v>
      </c>
      <c r="F56" s="13" t="s">
        <v>63</v>
      </c>
      <c r="G56" s="19">
        <v>-40.542172531096234</v>
      </c>
      <c r="H56" s="13" t="s">
        <v>84</v>
      </c>
      <c r="I56" s="13" t="s">
        <v>85</v>
      </c>
      <c r="J56" s="21" t="str">
        <f>_xlfn.XLOOKUP(F56,'04_Account_Mapping'!$A$6:$A$14,'04_Account_Mapping'!$C$6:$C$14,"Unmapped",0)</f>
        <v>Finance Expense</v>
      </c>
      <c r="K56" s="21" t="str">
        <f>_xlfn.XLOOKUP(F56,'04_Account_Mapping'!$A$6:$A$14,'04_Account_Mapping'!$D$6:$D$14,"Unmapped",0)</f>
        <v>Expense</v>
      </c>
    </row>
    <row r="57" spans="1:11">
      <c r="A57" s="16">
        <v>45689</v>
      </c>
      <c r="B57" s="13">
        <v>2025</v>
      </c>
      <c r="C57" s="13">
        <v>2</v>
      </c>
      <c r="D57" s="13" t="s">
        <v>72</v>
      </c>
      <c r="E57" s="13" t="s">
        <v>68</v>
      </c>
      <c r="F57" s="13" t="s">
        <v>64</v>
      </c>
      <c r="G57" s="19">
        <v>0</v>
      </c>
      <c r="H57" s="13" t="s">
        <v>84</v>
      </c>
      <c r="I57" s="13" t="s">
        <v>85</v>
      </c>
      <c r="J57" s="21" t="str">
        <f>_xlfn.XLOOKUP(F57,'04_Account_Mapping'!$A$6:$A$14,'04_Account_Mapping'!$C$6:$C$14,"Unmapped",0)</f>
        <v>JV Profit/(Loss)</v>
      </c>
      <c r="K57" s="21" t="str">
        <f>_xlfn.XLOOKUP(F57,'04_Account_Mapping'!$A$6:$A$14,'04_Account_Mapping'!$D$6:$D$14,"Unmapped",0)</f>
        <v>Income</v>
      </c>
    </row>
    <row r="58" spans="1:11">
      <c r="A58" s="16">
        <v>45689</v>
      </c>
      <c r="B58" s="13">
        <v>2025</v>
      </c>
      <c r="C58" s="13">
        <v>2</v>
      </c>
      <c r="D58" s="13" t="s">
        <v>72</v>
      </c>
      <c r="E58" s="13" t="s">
        <v>68</v>
      </c>
      <c r="F58" s="13" t="s">
        <v>65</v>
      </c>
      <c r="G58" s="19">
        <v>-8.1084345062192469</v>
      </c>
      <c r="H58" s="13" t="s">
        <v>84</v>
      </c>
      <c r="I58" s="13" t="s">
        <v>85</v>
      </c>
      <c r="J58" s="21" t="str">
        <f>_xlfn.XLOOKUP(F58,'04_Account_Mapping'!$A$6:$A$14,'04_Account_Mapping'!$C$6:$C$14,"Unmapped",0)</f>
        <v>Other Net</v>
      </c>
      <c r="K58" s="21" t="str">
        <f>_xlfn.XLOOKUP(F58,'04_Account_Mapping'!$A$6:$A$14,'04_Account_Mapping'!$D$6:$D$14,"Unmapped",0)</f>
        <v>Income</v>
      </c>
    </row>
    <row r="59" spans="1:11">
      <c r="A59" s="16">
        <v>45689</v>
      </c>
      <c r="B59" s="13">
        <v>2025</v>
      </c>
      <c r="C59" s="13">
        <v>2</v>
      </c>
      <c r="D59" s="13" t="s">
        <v>72</v>
      </c>
      <c r="E59" s="13" t="s">
        <v>68</v>
      </c>
      <c r="F59" s="13" t="s">
        <v>66</v>
      </c>
      <c r="G59" s="19">
        <v>-40.964486828295279</v>
      </c>
      <c r="H59" s="13" t="s">
        <v>84</v>
      </c>
      <c r="I59" s="13" t="s">
        <v>85</v>
      </c>
      <c r="J59" s="21" t="str">
        <f>_xlfn.XLOOKUP(F59,'04_Account_Mapping'!$A$6:$A$14,'04_Account_Mapping'!$C$6:$C$14,"Unmapped",0)</f>
        <v>Tax Expense</v>
      </c>
      <c r="K59" s="21" t="str">
        <f>_xlfn.XLOOKUP(F59,'04_Account_Mapping'!$A$6:$A$14,'04_Account_Mapping'!$D$6:$D$14,"Unmapped",0)</f>
        <v>Expense</v>
      </c>
    </row>
    <row r="60" spans="1:11">
      <c r="A60" s="16">
        <v>45689</v>
      </c>
      <c r="B60" s="13">
        <v>2025</v>
      </c>
      <c r="C60" s="13">
        <v>2</v>
      </c>
      <c r="D60" s="13" t="s">
        <v>73</v>
      </c>
      <c r="E60" s="13" t="s">
        <v>74</v>
      </c>
      <c r="F60" s="13" t="s">
        <v>55</v>
      </c>
      <c r="G60" s="19">
        <v>3740.4980609047129</v>
      </c>
      <c r="H60" s="13" t="s">
        <v>84</v>
      </c>
      <c r="I60" s="13" t="s">
        <v>85</v>
      </c>
      <c r="J60" s="21" t="str">
        <f>_xlfn.XLOOKUP(F60,'04_Account_Mapping'!$A$6:$A$14,'04_Account_Mapping'!$C$6:$C$14,"Unmapped",0)</f>
        <v>Revenue</v>
      </c>
      <c r="K60" s="21" t="str">
        <f>_xlfn.XLOOKUP(F60,'04_Account_Mapping'!$A$6:$A$14,'04_Account_Mapping'!$D$6:$D$14,"Unmapped",0)</f>
        <v>Income</v>
      </c>
    </row>
    <row r="61" spans="1:11">
      <c r="A61" s="16">
        <v>45689</v>
      </c>
      <c r="B61" s="13">
        <v>2025</v>
      </c>
      <c r="C61" s="13">
        <v>2</v>
      </c>
      <c r="D61" s="13" t="s">
        <v>73</v>
      </c>
      <c r="E61" s="13" t="s">
        <v>74</v>
      </c>
      <c r="F61" s="13" t="s">
        <v>58</v>
      </c>
      <c r="G61" s="19">
        <v>-2977.374114845803</v>
      </c>
      <c r="H61" s="13" t="s">
        <v>84</v>
      </c>
      <c r="I61" s="13" t="s">
        <v>85</v>
      </c>
      <c r="J61" s="21" t="str">
        <f>_xlfn.XLOOKUP(F61,'04_Account_Mapping'!$A$6:$A$14,'04_Account_Mapping'!$C$6:$C$14,"Unmapped",0)</f>
        <v>COGS</v>
      </c>
      <c r="K61" s="21" t="str">
        <f>_xlfn.XLOOKUP(F61,'04_Account_Mapping'!$A$6:$A$14,'04_Account_Mapping'!$D$6:$D$14,"Unmapped",0)</f>
        <v>Expense</v>
      </c>
    </row>
    <row r="62" spans="1:11">
      <c r="A62" s="16">
        <v>45689</v>
      </c>
      <c r="B62" s="13">
        <v>2025</v>
      </c>
      <c r="C62" s="13">
        <v>2</v>
      </c>
      <c r="D62" s="13" t="s">
        <v>73</v>
      </c>
      <c r="E62" s="13" t="s">
        <v>74</v>
      </c>
      <c r="F62" s="13" t="s">
        <v>60</v>
      </c>
      <c r="G62" s="19">
        <v>-531.15072464846912</v>
      </c>
      <c r="H62" s="13" t="s">
        <v>84</v>
      </c>
      <c r="I62" s="13" t="s">
        <v>85</v>
      </c>
      <c r="J62" s="21" t="str">
        <f>_xlfn.XLOOKUP(F62,'04_Account_Mapping'!$A$6:$A$14,'04_Account_Mapping'!$C$6:$C$14,"Unmapped",0)</f>
        <v>Selling Expense</v>
      </c>
      <c r="K62" s="21" t="str">
        <f>_xlfn.XLOOKUP(F62,'04_Account_Mapping'!$A$6:$A$14,'04_Account_Mapping'!$D$6:$D$14,"Unmapped",0)</f>
        <v>Expense</v>
      </c>
    </row>
    <row r="63" spans="1:11">
      <c r="A63" s="16">
        <v>45689</v>
      </c>
      <c r="B63" s="13">
        <v>2025</v>
      </c>
      <c r="C63" s="13">
        <v>2</v>
      </c>
      <c r="D63" s="13" t="s">
        <v>73</v>
      </c>
      <c r="E63" s="13" t="s">
        <v>74</v>
      </c>
      <c r="F63" s="13" t="s">
        <v>61</v>
      </c>
      <c r="G63" s="19">
        <v>-100.99344764442725</v>
      </c>
      <c r="H63" s="13" t="s">
        <v>84</v>
      </c>
      <c r="I63" s="13" t="s">
        <v>85</v>
      </c>
      <c r="J63" s="21" t="str">
        <f>_xlfn.XLOOKUP(F63,'04_Account_Mapping'!$A$6:$A$14,'04_Account_Mapping'!$C$6:$C$14,"Unmapped",0)</f>
        <v>G&amp;A</v>
      </c>
      <c r="K63" s="21" t="str">
        <f>_xlfn.XLOOKUP(F63,'04_Account_Mapping'!$A$6:$A$14,'04_Account_Mapping'!$D$6:$D$14,"Unmapped",0)</f>
        <v>Expense</v>
      </c>
    </row>
    <row r="64" spans="1:11">
      <c r="A64" s="16">
        <v>45689</v>
      </c>
      <c r="B64" s="13">
        <v>2025</v>
      </c>
      <c r="C64" s="13">
        <v>2</v>
      </c>
      <c r="D64" s="13" t="s">
        <v>73</v>
      </c>
      <c r="E64" s="13" t="s">
        <v>74</v>
      </c>
      <c r="F64" s="13" t="s">
        <v>62</v>
      </c>
      <c r="G64" s="19">
        <v>56.107470913570694</v>
      </c>
      <c r="H64" s="13" t="s">
        <v>84</v>
      </c>
      <c r="I64" s="13" t="s">
        <v>85</v>
      </c>
      <c r="J64" s="21" t="str">
        <f>_xlfn.XLOOKUP(F64,'04_Account_Mapping'!$A$6:$A$14,'04_Account_Mapping'!$C$6:$C$14,"Unmapped",0)</f>
        <v>Finance Income</v>
      </c>
      <c r="K64" s="21" t="str">
        <f>_xlfn.XLOOKUP(F64,'04_Account_Mapping'!$A$6:$A$14,'04_Account_Mapping'!$D$6:$D$14,"Unmapped",0)</f>
        <v>Income</v>
      </c>
    </row>
    <row r="65" spans="1:11">
      <c r="A65" s="16">
        <v>45689</v>
      </c>
      <c r="B65" s="13">
        <v>2025</v>
      </c>
      <c r="C65" s="13">
        <v>2</v>
      </c>
      <c r="D65" s="13" t="s">
        <v>73</v>
      </c>
      <c r="E65" s="13" t="s">
        <v>74</v>
      </c>
      <c r="F65" s="13" t="s">
        <v>63</v>
      </c>
      <c r="G65" s="19">
        <v>-29.923984487237703</v>
      </c>
      <c r="H65" s="13" t="s">
        <v>84</v>
      </c>
      <c r="I65" s="13" t="s">
        <v>85</v>
      </c>
      <c r="J65" s="21" t="str">
        <f>_xlfn.XLOOKUP(F65,'04_Account_Mapping'!$A$6:$A$14,'04_Account_Mapping'!$C$6:$C$14,"Unmapped",0)</f>
        <v>Finance Expense</v>
      </c>
      <c r="K65" s="21" t="str">
        <f>_xlfn.XLOOKUP(F65,'04_Account_Mapping'!$A$6:$A$14,'04_Account_Mapping'!$D$6:$D$14,"Unmapped",0)</f>
        <v>Expense</v>
      </c>
    </row>
    <row r="66" spans="1:11">
      <c r="A66" s="16">
        <v>45689</v>
      </c>
      <c r="B66" s="13">
        <v>2025</v>
      </c>
      <c r="C66" s="13">
        <v>2</v>
      </c>
      <c r="D66" s="13" t="s">
        <v>73</v>
      </c>
      <c r="E66" s="13" t="s">
        <v>74</v>
      </c>
      <c r="F66" s="13" t="s">
        <v>64</v>
      </c>
      <c r="G66" s="19">
        <v>0</v>
      </c>
      <c r="H66" s="13" t="s">
        <v>84</v>
      </c>
      <c r="I66" s="13" t="s">
        <v>85</v>
      </c>
      <c r="J66" s="21" t="str">
        <f>_xlfn.XLOOKUP(F66,'04_Account_Mapping'!$A$6:$A$14,'04_Account_Mapping'!$C$6:$C$14,"Unmapped",0)</f>
        <v>JV Profit/(Loss)</v>
      </c>
      <c r="K66" s="21" t="str">
        <f>_xlfn.XLOOKUP(F66,'04_Account_Mapping'!$A$6:$A$14,'04_Account_Mapping'!$D$6:$D$14,"Unmapped",0)</f>
        <v>Income</v>
      </c>
    </row>
    <row r="67" spans="1:11">
      <c r="A67" s="16">
        <v>45689</v>
      </c>
      <c r="B67" s="13">
        <v>2025</v>
      </c>
      <c r="C67" s="13">
        <v>2</v>
      </c>
      <c r="D67" s="13" t="s">
        <v>73</v>
      </c>
      <c r="E67" s="13" t="s">
        <v>74</v>
      </c>
      <c r="F67" s="13" t="s">
        <v>65</v>
      </c>
      <c r="G67" s="19">
        <v>-5.9847968974475405</v>
      </c>
      <c r="H67" s="13" t="s">
        <v>84</v>
      </c>
      <c r="I67" s="13" t="s">
        <v>85</v>
      </c>
      <c r="J67" s="21" t="str">
        <f>_xlfn.XLOOKUP(F67,'04_Account_Mapping'!$A$6:$A$14,'04_Account_Mapping'!$C$6:$C$14,"Unmapped",0)</f>
        <v>Other Net</v>
      </c>
      <c r="K67" s="21" t="str">
        <f>_xlfn.XLOOKUP(F67,'04_Account_Mapping'!$A$6:$A$14,'04_Account_Mapping'!$D$6:$D$14,"Unmapped",0)</f>
        <v>Income</v>
      </c>
    </row>
    <row r="68" spans="1:11">
      <c r="A68" s="16">
        <v>45689</v>
      </c>
      <c r="B68" s="13">
        <v>2025</v>
      </c>
      <c r="C68" s="13">
        <v>2</v>
      </c>
      <c r="D68" s="13" t="s">
        <v>73</v>
      </c>
      <c r="E68" s="13" t="s">
        <v>74</v>
      </c>
      <c r="F68" s="13" t="s">
        <v>66</v>
      </c>
      <c r="G68" s="19">
        <v>-30.235692658979854</v>
      </c>
      <c r="H68" s="13" t="s">
        <v>84</v>
      </c>
      <c r="I68" s="13" t="s">
        <v>85</v>
      </c>
      <c r="J68" s="21" t="str">
        <f>_xlfn.XLOOKUP(F68,'04_Account_Mapping'!$A$6:$A$14,'04_Account_Mapping'!$C$6:$C$14,"Unmapped",0)</f>
        <v>Tax Expense</v>
      </c>
      <c r="K68" s="21" t="str">
        <f>_xlfn.XLOOKUP(F68,'04_Account_Mapping'!$A$6:$A$14,'04_Account_Mapping'!$D$6:$D$14,"Unmapped",0)</f>
        <v>Expense</v>
      </c>
    </row>
    <row r="69" spans="1:11">
      <c r="A69" s="16">
        <v>45689</v>
      </c>
      <c r="B69" s="13">
        <v>2025</v>
      </c>
      <c r="C69" s="13">
        <v>2</v>
      </c>
      <c r="D69" s="13" t="s">
        <v>75</v>
      </c>
      <c r="E69" s="13" t="s">
        <v>76</v>
      </c>
      <c r="F69" s="13" t="s">
        <v>55</v>
      </c>
      <c r="G69" s="19">
        <v>603.30613885559887</v>
      </c>
      <c r="H69" s="13" t="s">
        <v>84</v>
      </c>
      <c r="I69" s="13" t="s">
        <v>85</v>
      </c>
      <c r="J69" s="21" t="str">
        <f>_xlfn.XLOOKUP(F69,'04_Account_Mapping'!$A$6:$A$14,'04_Account_Mapping'!$C$6:$C$14,"Unmapped",0)</f>
        <v>Revenue</v>
      </c>
      <c r="K69" s="21" t="str">
        <f>_xlfn.XLOOKUP(F69,'04_Account_Mapping'!$A$6:$A$14,'04_Account_Mapping'!$D$6:$D$14,"Unmapped",0)</f>
        <v>Income</v>
      </c>
    </row>
    <row r="70" spans="1:11">
      <c r="A70" s="16">
        <v>45689</v>
      </c>
      <c r="B70" s="13">
        <v>2025</v>
      </c>
      <c r="C70" s="13">
        <v>2</v>
      </c>
      <c r="D70" s="13" t="s">
        <v>75</v>
      </c>
      <c r="E70" s="13" t="s">
        <v>76</v>
      </c>
      <c r="F70" s="13" t="s">
        <v>58</v>
      </c>
      <c r="G70" s="19">
        <v>-480.22163142674248</v>
      </c>
      <c r="H70" s="13" t="s">
        <v>84</v>
      </c>
      <c r="I70" s="13" t="s">
        <v>85</v>
      </c>
      <c r="J70" s="21" t="str">
        <f>_xlfn.XLOOKUP(F70,'04_Account_Mapping'!$A$6:$A$14,'04_Account_Mapping'!$C$6:$C$14,"Unmapped",0)</f>
        <v>COGS</v>
      </c>
      <c r="K70" s="21" t="str">
        <f>_xlfn.XLOOKUP(F70,'04_Account_Mapping'!$A$6:$A$14,'04_Account_Mapping'!$D$6:$D$14,"Unmapped",0)</f>
        <v>Expense</v>
      </c>
    </row>
    <row r="71" spans="1:11">
      <c r="A71" s="16">
        <v>45689</v>
      </c>
      <c r="B71" s="13">
        <v>2025</v>
      </c>
      <c r="C71" s="13">
        <v>2</v>
      </c>
      <c r="D71" s="13" t="s">
        <v>75</v>
      </c>
      <c r="E71" s="13" t="s">
        <v>76</v>
      </c>
      <c r="F71" s="13" t="s">
        <v>60</v>
      </c>
      <c r="G71" s="19">
        <v>-85.669471717495028</v>
      </c>
      <c r="H71" s="13" t="s">
        <v>84</v>
      </c>
      <c r="I71" s="13" t="s">
        <v>85</v>
      </c>
      <c r="J71" s="21" t="str">
        <f>_xlfn.XLOOKUP(F71,'04_Account_Mapping'!$A$6:$A$14,'04_Account_Mapping'!$C$6:$C$14,"Unmapped",0)</f>
        <v>Selling Expense</v>
      </c>
      <c r="K71" s="21" t="str">
        <f>_xlfn.XLOOKUP(F71,'04_Account_Mapping'!$A$6:$A$14,'04_Account_Mapping'!$D$6:$D$14,"Unmapped",0)</f>
        <v>Expense</v>
      </c>
    </row>
    <row r="72" spans="1:11">
      <c r="A72" s="16">
        <v>45689</v>
      </c>
      <c r="B72" s="13">
        <v>2025</v>
      </c>
      <c r="C72" s="13">
        <v>2</v>
      </c>
      <c r="D72" s="13" t="s">
        <v>75</v>
      </c>
      <c r="E72" s="13" t="s">
        <v>76</v>
      </c>
      <c r="F72" s="13" t="s">
        <v>61</v>
      </c>
      <c r="G72" s="19">
        <v>-16.289265749101173</v>
      </c>
      <c r="H72" s="13" t="s">
        <v>84</v>
      </c>
      <c r="I72" s="13" t="s">
        <v>85</v>
      </c>
      <c r="J72" s="21" t="str">
        <f>_xlfn.XLOOKUP(F72,'04_Account_Mapping'!$A$6:$A$14,'04_Account_Mapping'!$C$6:$C$14,"Unmapped",0)</f>
        <v>G&amp;A</v>
      </c>
      <c r="K72" s="21" t="str">
        <f>_xlfn.XLOOKUP(F72,'04_Account_Mapping'!$A$6:$A$14,'04_Account_Mapping'!$D$6:$D$14,"Unmapped",0)</f>
        <v>Expense</v>
      </c>
    </row>
    <row r="73" spans="1:11">
      <c r="A73" s="16">
        <v>45689</v>
      </c>
      <c r="B73" s="13">
        <v>2025</v>
      </c>
      <c r="C73" s="13">
        <v>2</v>
      </c>
      <c r="D73" s="13" t="s">
        <v>75</v>
      </c>
      <c r="E73" s="13" t="s">
        <v>76</v>
      </c>
      <c r="F73" s="13" t="s">
        <v>62</v>
      </c>
      <c r="G73" s="19">
        <v>9.0495920828339838</v>
      </c>
      <c r="H73" s="13" t="s">
        <v>84</v>
      </c>
      <c r="I73" s="13" t="s">
        <v>85</v>
      </c>
      <c r="J73" s="21" t="str">
        <f>_xlfn.XLOOKUP(F73,'04_Account_Mapping'!$A$6:$A$14,'04_Account_Mapping'!$C$6:$C$14,"Unmapped",0)</f>
        <v>Finance Income</v>
      </c>
      <c r="K73" s="21" t="str">
        <f>_xlfn.XLOOKUP(F73,'04_Account_Mapping'!$A$6:$A$14,'04_Account_Mapping'!$D$6:$D$14,"Unmapped",0)</f>
        <v>Income</v>
      </c>
    </row>
    <row r="74" spans="1:11">
      <c r="A74" s="16">
        <v>45689</v>
      </c>
      <c r="B74" s="13">
        <v>2025</v>
      </c>
      <c r="C74" s="13">
        <v>2</v>
      </c>
      <c r="D74" s="13" t="s">
        <v>75</v>
      </c>
      <c r="E74" s="13" t="s">
        <v>76</v>
      </c>
      <c r="F74" s="13" t="s">
        <v>63</v>
      </c>
      <c r="G74" s="19">
        <v>-4.8264491108447913</v>
      </c>
      <c r="H74" s="13" t="s">
        <v>84</v>
      </c>
      <c r="I74" s="13" t="s">
        <v>85</v>
      </c>
      <c r="J74" s="21" t="str">
        <f>_xlfn.XLOOKUP(F74,'04_Account_Mapping'!$A$6:$A$14,'04_Account_Mapping'!$C$6:$C$14,"Unmapped",0)</f>
        <v>Finance Expense</v>
      </c>
      <c r="K74" s="21" t="str">
        <f>_xlfn.XLOOKUP(F74,'04_Account_Mapping'!$A$6:$A$14,'04_Account_Mapping'!$D$6:$D$14,"Unmapped",0)</f>
        <v>Expense</v>
      </c>
    </row>
    <row r="75" spans="1:11">
      <c r="A75" s="16">
        <v>45689</v>
      </c>
      <c r="B75" s="13">
        <v>2025</v>
      </c>
      <c r="C75" s="13">
        <v>2</v>
      </c>
      <c r="D75" s="13" t="s">
        <v>75</v>
      </c>
      <c r="E75" s="13" t="s">
        <v>76</v>
      </c>
      <c r="F75" s="13" t="s">
        <v>64</v>
      </c>
      <c r="G75" s="19">
        <v>0</v>
      </c>
      <c r="H75" s="13" t="s">
        <v>84</v>
      </c>
      <c r="I75" s="13" t="s">
        <v>85</v>
      </c>
      <c r="J75" s="21" t="str">
        <f>_xlfn.XLOOKUP(F75,'04_Account_Mapping'!$A$6:$A$14,'04_Account_Mapping'!$C$6:$C$14,"Unmapped",0)</f>
        <v>JV Profit/(Loss)</v>
      </c>
      <c r="K75" s="21" t="str">
        <f>_xlfn.XLOOKUP(F75,'04_Account_Mapping'!$A$6:$A$14,'04_Account_Mapping'!$D$6:$D$14,"Unmapped",0)</f>
        <v>Income</v>
      </c>
    </row>
    <row r="76" spans="1:11">
      <c r="A76" s="16">
        <v>45689</v>
      </c>
      <c r="B76" s="13">
        <v>2025</v>
      </c>
      <c r="C76" s="13">
        <v>2</v>
      </c>
      <c r="D76" s="13" t="s">
        <v>75</v>
      </c>
      <c r="E76" s="13" t="s">
        <v>76</v>
      </c>
      <c r="F76" s="13" t="s">
        <v>65</v>
      </c>
      <c r="G76" s="19">
        <v>-0.96528982216895831</v>
      </c>
      <c r="H76" s="13" t="s">
        <v>84</v>
      </c>
      <c r="I76" s="13" t="s">
        <v>85</v>
      </c>
      <c r="J76" s="21" t="str">
        <f>_xlfn.XLOOKUP(F76,'04_Account_Mapping'!$A$6:$A$14,'04_Account_Mapping'!$C$6:$C$14,"Unmapped",0)</f>
        <v>Other Net</v>
      </c>
      <c r="K76" s="21" t="str">
        <f>_xlfn.XLOOKUP(F76,'04_Account_Mapping'!$A$6:$A$14,'04_Account_Mapping'!$D$6:$D$14,"Unmapped",0)</f>
        <v>Income</v>
      </c>
    </row>
    <row r="77" spans="1:11">
      <c r="A77" s="16">
        <v>45689</v>
      </c>
      <c r="B77" s="13">
        <v>2025</v>
      </c>
      <c r="C77" s="13">
        <v>2</v>
      </c>
      <c r="D77" s="13" t="s">
        <v>75</v>
      </c>
      <c r="E77" s="13" t="s">
        <v>76</v>
      </c>
      <c r="F77" s="13" t="s">
        <v>66</v>
      </c>
      <c r="G77" s="19">
        <v>-4.8767246224161056</v>
      </c>
      <c r="H77" s="13" t="s">
        <v>84</v>
      </c>
      <c r="I77" s="13" t="s">
        <v>85</v>
      </c>
      <c r="J77" s="21" t="str">
        <f>_xlfn.XLOOKUP(F77,'04_Account_Mapping'!$A$6:$A$14,'04_Account_Mapping'!$C$6:$C$14,"Unmapped",0)</f>
        <v>Tax Expense</v>
      </c>
      <c r="K77" s="21" t="str">
        <f>_xlfn.XLOOKUP(F77,'04_Account_Mapping'!$A$6:$A$14,'04_Account_Mapping'!$D$6:$D$14,"Unmapped",0)</f>
        <v>Expense</v>
      </c>
    </row>
    <row r="78" spans="1:11">
      <c r="A78" s="16">
        <v>45717</v>
      </c>
      <c r="B78" s="13">
        <v>2025</v>
      </c>
      <c r="C78" s="13">
        <v>3</v>
      </c>
      <c r="D78" s="13" t="s">
        <v>67</v>
      </c>
      <c r="E78" s="13" t="s">
        <v>68</v>
      </c>
      <c r="F78" s="13" t="s">
        <v>55</v>
      </c>
      <c r="G78" s="19">
        <v>2414.1847983861962</v>
      </c>
      <c r="H78" s="13" t="s">
        <v>84</v>
      </c>
      <c r="I78" s="13" t="s">
        <v>85</v>
      </c>
      <c r="J78" s="21" t="str">
        <f>_xlfn.XLOOKUP(F78,'04_Account_Mapping'!$A$6:$A$14,'04_Account_Mapping'!$C$6:$C$14,"Unmapped",0)</f>
        <v>Revenue</v>
      </c>
      <c r="K78" s="21" t="str">
        <f>_xlfn.XLOOKUP(F78,'04_Account_Mapping'!$A$6:$A$14,'04_Account_Mapping'!$D$6:$D$14,"Unmapped",0)</f>
        <v>Income</v>
      </c>
    </row>
    <row r="79" spans="1:11">
      <c r="A79" s="16">
        <v>45717</v>
      </c>
      <c r="B79" s="13">
        <v>2025</v>
      </c>
      <c r="C79" s="13">
        <v>3</v>
      </c>
      <c r="D79" s="13" t="s">
        <v>67</v>
      </c>
      <c r="E79" s="13" t="s">
        <v>68</v>
      </c>
      <c r="F79" s="13" t="s">
        <v>58</v>
      </c>
      <c r="G79" s="19">
        <v>-1921.6508631021059</v>
      </c>
      <c r="H79" s="13" t="s">
        <v>84</v>
      </c>
      <c r="I79" s="13" t="s">
        <v>85</v>
      </c>
      <c r="J79" s="21" t="str">
        <f>_xlfn.XLOOKUP(F79,'04_Account_Mapping'!$A$6:$A$14,'04_Account_Mapping'!$C$6:$C$14,"Unmapped",0)</f>
        <v>COGS</v>
      </c>
      <c r="K79" s="21" t="str">
        <f>_xlfn.XLOOKUP(F79,'04_Account_Mapping'!$A$6:$A$14,'04_Account_Mapping'!$D$6:$D$14,"Unmapped",0)</f>
        <v>Expense</v>
      </c>
    </row>
    <row r="80" spans="1:11">
      <c r="A80" s="16">
        <v>45717</v>
      </c>
      <c r="B80" s="13">
        <v>2025</v>
      </c>
      <c r="C80" s="13">
        <v>3</v>
      </c>
      <c r="D80" s="13" t="s">
        <v>67</v>
      </c>
      <c r="E80" s="13" t="s">
        <v>68</v>
      </c>
      <c r="F80" s="13" t="s">
        <v>60</v>
      </c>
      <c r="G80" s="19">
        <v>-342.8142413708398</v>
      </c>
      <c r="H80" s="13" t="s">
        <v>84</v>
      </c>
      <c r="I80" s="13" t="s">
        <v>85</v>
      </c>
      <c r="J80" s="21" t="str">
        <f>_xlfn.XLOOKUP(F80,'04_Account_Mapping'!$A$6:$A$14,'04_Account_Mapping'!$C$6:$C$14,"Unmapped",0)</f>
        <v>Selling Expense</v>
      </c>
      <c r="K80" s="21" t="str">
        <f>_xlfn.XLOOKUP(F80,'04_Account_Mapping'!$A$6:$A$14,'04_Account_Mapping'!$D$6:$D$14,"Unmapped",0)</f>
        <v>Expense</v>
      </c>
    </row>
    <row r="81" spans="1:11">
      <c r="A81" s="16">
        <v>45717</v>
      </c>
      <c r="B81" s="13">
        <v>2025</v>
      </c>
      <c r="C81" s="13">
        <v>3</v>
      </c>
      <c r="D81" s="13" t="s">
        <v>67</v>
      </c>
      <c r="E81" s="13" t="s">
        <v>68</v>
      </c>
      <c r="F81" s="13" t="s">
        <v>61</v>
      </c>
      <c r="G81" s="19">
        <v>-65.182989556427302</v>
      </c>
      <c r="H81" s="13" t="s">
        <v>84</v>
      </c>
      <c r="I81" s="13" t="s">
        <v>85</v>
      </c>
      <c r="J81" s="21" t="str">
        <f>_xlfn.XLOOKUP(F81,'04_Account_Mapping'!$A$6:$A$14,'04_Account_Mapping'!$C$6:$C$14,"Unmapped",0)</f>
        <v>G&amp;A</v>
      </c>
      <c r="K81" s="21" t="str">
        <f>_xlfn.XLOOKUP(F81,'04_Account_Mapping'!$A$6:$A$14,'04_Account_Mapping'!$D$6:$D$14,"Unmapped",0)</f>
        <v>Expense</v>
      </c>
    </row>
    <row r="82" spans="1:11">
      <c r="A82" s="16">
        <v>45717</v>
      </c>
      <c r="B82" s="13">
        <v>2025</v>
      </c>
      <c r="C82" s="13">
        <v>3</v>
      </c>
      <c r="D82" s="13" t="s">
        <v>67</v>
      </c>
      <c r="E82" s="13" t="s">
        <v>68</v>
      </c>
      <c r="F82" s="13" t="s">
        <v>62</v>
      </c>
      <c r="G82" s="19">
        <v>36.212771975792947</v>
      </c>
      <c r="H82" s="13" t="s">
        <v>84</v>
      </c>
      <c r="I82" s="13" t="s">
        <v>85</v>
      </c>
      <c r="J82" s="21" t="str">
        <f>_xlfn.XLOOKUP(F82,'04_Account_Mapping'!$A$6:$A$14,'04_Account_Mapping'!$C$6:$C$14,"Unmapped",0)</f>
        <v>Finance Income</v>
      </c>
      <c r="K82" s="21" t="str">
        <f>_xlfn.XLOOKUP(F82,'04_Account_Mapping'!$A$6:$A$14,'04_Account_Mapping'!$D$6:$D$14,"Unmapped",0)</f>
        <v>Income</v>
      </c>
    </row>
    <row r="83" spans="1:11">
      <c r="A83" s="16">
        <v>45717</v>
      </c>
      <c r="B83" s="13">
        <v>2025</v>
      </c>
      <c r="C83" s="13">
        <v>3</v>
      </c>
      <c r="D83" s="13" t="s">
        <v>67</v>
      </c>
      <c r="E83" s="13" t="s">
        <v>68</v>
      </c>
      <c r="F83" s="13" t="s">
        <v>63</v>
      </c>
      <c r="G83" s="19">
        <v>-19.313478387089571</v>
      </c>
      <c r="H83" s="13" t="s">
        <v>84</v>
      </c>
      <c r="I83" s="13" t="s">
        <v>85</v>
      </c>
      <c r="J83" s="21" t="str">
        <f>_xlfn.XLOOKUP(F83,'04_Account_Mapping'!$A$6:$A$14,'04_Account_Mapping'!$C$6:$C$14,"Unmapped",0)</f>
        <v>Finance Expense</v>
      </c>
      <c r="K83" s="21" t="str">
        <f>_xlfn.XLOOKUP(F83,'04_Account_Mapping'!$A$6:$A$14,'04_Account_Mapping'!$D$6:$D$14,"Unmapped",0)</f>
        <v>Expense</v>
      </c>
    </row>
    <row r="84" spans="1:11">
      <c r="A84" s="16">
        <v>45717</v>
      </c>
      <c r="B84" s="13">
        <v>2025</v>
      </c>
      <c r="C84" s="13">
        <v>3</v>
      </c>
      <c r="D84" s="13" t="s">
        <v>67</v>
      </c>
      <c r="E84" s="13" t="s">
        <v>68</v>
      </c>
      <c r="F84" s="13" t="s">
        <v>64</v>
      </c>
      <c r="G84" s="19">
        <v>0</v>
      </c>
      <c r="H84" s="13" t="s">
        <v>84</v>
      </c>
      <c r="I84" s="13" t="s">
        <v>85</v>
      </c>
      <c r="J84" s="21" t="str">
        <f>_xlfn.XLOOKUP(F84,'04_Account_Mapping'!$A$6:$A$14,'04_Account_Mapping'!$C$6:$C$14,"Unmapped",0)</f>
        <v>JV Profit/(Loss)</v>
      </c>
      <c r="K84" s="21" t="str">
        <f>_xlfn.XLOOKUP(F84,'04_Account_Mapping'!$A$6:$A$14,'04_Account_Mapping'!$D$6:$D$14,"Unmapped",0)</f>
        <v>Income</v>
      </c>
    </row>
    <row r="85" spans="1:11">
      <c r="A85" s="16">
        <v>45717</v>
      </c>
      <c r="B85" s="13">
        <v>2025</v>
      </c>
      <c r="C85" s="13">
        <v>3</v>
      </c>
      <c r="D85" s="13" t="s">
        <v>67</v>
      </c>
      <c r="E85" s="13" t="s">
        <v>68</v>
      </c>
      <c r="F85" s="13" t="s">
        <v>65</v>
      </c>
      <c r="G85" s="19">
        <v>-3.8626956774179142</v>
      </c>
      <c r="H85" s="13" t="s">
        <v>84</v>
      </c>
      <c r="I85" s="13" t="s">
        <v>85</v>
      </c>
      <c r="J85" s="21" t="str">
        <f>_xlfn.XLOOKUP(F85,'04_Account_Mapping'!$A$6:$A$14,'04_Account_Mapping'!$C$6:$C$14,"Unmapped",0)</f>
        <v>Other Net</v>
      </c>
      <c r="K85" s="21" t="str">
        <f>_xlfn.XLOOKUP(F85,'04_Account_Mapping'!$A$6:$A$14,'04_Account_Mapping'!$D$6:$D$14,"Unmapped",0)</f>
        <v>Income</v>
      </c>
    </row>
    <row r="86" spans="1:11">
      <c r="A86" s="16">
        <v>45717</v>
      </c>
      <c r="B86" s="13">
        <v>2025</v>
      </c>
      <c r="C86" s="13">
        <v>3</v>
      </c>
      <c r="D86" s="13" t="s">
        <v>67</v>
      </c>
      <c r="E86" s="13" t="s">
        <v>68</v>
      </c>
      <c r="F86" s="13" t="s">
        <v>66</v>
      </c>
      <c r="G86" s="19">
        <v>-19.514660453621811</v>
      </c>
      <c r="H86" s="13" t="s">
        <v>84</v>
      </c>
      <c r="I86" s="13" t="s">
        <v>85</v>
      </c>
      <c r="J86" s="21" t="str">
        <f>_xlfn.XLOOKUP(F86,'04_Account_Mapping'!$A$6:$A$14,'04_Account_Mapping'!$C$6:$C$14,"Unmapped",0)</f>
        <v>Tax Expense</v>
      </c>
      <c r="K86" s="21" t="str">
        <f>_xlfn.XLOOKUP(F86,'04_Account_Mapping'!$A$6:$A$14,'04_Account_Mapping'!$D$6:$D$14,"Unmapped",0)</f>
        <v>Expense</v>
      </c>
    </row>
    <row r="87" spans="1:11">
      <c r="A87" s="16">
        <v>45717</v>
      </c>
      <c r="B87" s="13">
        <v>2025</v>
      </c>
      <c r="C87" s="13">
        <v>3</v>
      </c>
      <c r="D87" s="13" t="s">
        <v>72</v>
      </c>
      <c r="E87" s="13" t="s">
        <v>68</v>
      </c>
      <c r="F87" s="13" t="s">
        <v>55</v>
      </c>
      <c r="G87" s="19">
        <v>4608.8982514645568</v>
      </c>
      <c r="H87" s="13" t="s">
        <v>84</v>
      </c>
      <c r="I87" s="13" t="s">
        <v>85</v>
      </c>
      <c r="J87" s="21" t="str">
        <f>_xlfn.XLOOKUP(F87,'04_Account_Mapping'!$A$6:$A$14,'04_Account_Mapping'!$C$6:$C$14,"Unmapped",0)</f>
        <v>Revenue</v>
      </c>
      <c r="K87" s="21" t="str">
        <f>_xlfn.XLOOKUP(F87,'04_Account_Mapping'!$A$6:$A$14,'04_Account_Mapping'!$D$6:$D$14,"Unmapped",0)</f>
        <v>Income</v>
      </c>
    </row>
    <row r="88" spans="1:11">
      <c r="A88" s="16">
        <v>45717</v>
      </c>
      <c r="B88" s="13">
        <v>2025</v>
      </c>
      <c r="C88" s="13">
        <v>3</v>
      </c>
      <c r="D88" s="13" t="s">
        <v>72</v>
      </c>
      <c r="E88" s="13" t="s">
        <v>68</v>
      </c>
      <c r="F88" s="13" t="s">
        <v>58</v>
      </c>
      <c r="G88" s="19">
        <v>-3668.6061931949293</v>
      </c>
      <c r="H88" s="13" t="s">
        <v>84</v>
      </c>
      <c r="I88" s="13" t="s">
        <v>85</v>
      </c>
      <c r="J88" s="21" t="str">
        <f>_xlfn.XLOOKUP(F88,'04_Account_Mapping'!$A$6:$A$14,'04_Account_Mapping'!$C$6:$C$14,"Unmapped",0)</f>
        <v>COGS</v>
      </c>
      <c r="K88" s="21" t="str">
        <f>_xlfn.XLOOKUP(F88,'04_Account_Mapping'!$A$6:$A$14,'04_Account_Mapping'!$D$6:$D$14,"Unmapped",0)</f>
        <v>Expense</v>
      </c>
    </row>
    <row r="89" spans="1:11">
      <c r="A89" s="16">
        <v>45717</v>
      </c>
      <c r="B89" s="13">
        <v>2025</v>
      </c>
      <c r="C89" s="13">
        <v>3</v>
      </c>
      <c r="D89" s="13" t="s">
        <v>72</v>
      </c>
      <c r="E89" s="13" t="s">
        <v>68</v>
      </c>
      <c r="F89" s="13" t="s">
        <v>60</v>
      </c>
      <c r="G89" s="19">
        <v>-654.46355170796687</v>
      </c>
      <c r="H89" s="13" t="s">
        <v>84</v>
      </c>
      <c r="I89" s="13" t="s">
        <v>85</v>
      </c>
      <c r="J89" s="21" t="str">
        <f>_xlfn.XLOOKUP(F89,'04_Account_Mapping'!$A$6:$A$14,'04_Account_Mapping'!$C$6:$C$14,"Unmapped",0)</f>
        <v>Selling Expense</v>
      </c>
      <c r="K89" s="21" t="str">
        <f>_xlfn.XLOOKUP(F89,'04_Account_Mapping'!$A$6:$A$14,'04_Account_Mapping'!$D$6:$D$14,"Unmapped",0)</f>
        <v>Expense</v>
      </c>
    </row>
    <row r="90" spans="1:11">
      <c r="A90" s="16">
        <v>45717</v>
      </c>
      <c r="B90" s="13">
        <v>2025</v>
      </c>
      <c r="C90" s="13">
        <v>3</v>
      </c>
      <c r="D90" s="13" t="s">
        <v>72</v>
      </c>
      <c r="E90" s="13" t="s">
        <v>68</v>
      </c>
      <c r="F90" s="13" t="s">
        <v>61</v>
      </c>
      <c r="G90" s="19">
        <v>-124.44025278954302</v>
      </c>
      <c r="H90" s="13" t="s">
        <v>84</v>
      </c>
      <c r="I90" s="13" t="s">
        <v>85</v>
      </c>
      <c r="J90" s="21" t="str">
        <f>_xlfn.XLOOKUP(F90,'04_Account_Mapping'!$A$6:$A$14,'04_Account_Mapping'!$C$6:$C$14,"Unmapped",0)</f>
        <v>G&amp;A</v>
      </c>
      <c r="K90" s="21" t="str">
        <f>_xlfn.XLOOKUP(F90,'04_Account_Mapping'!$A$6:$A$14,'04_Account_Mapping'!$D$6:$D$14,"Unmapped",0)</f>
        <v>Expense</v>
      </c>
    </row>
    <row r="91" spans="1:11">
      <c r="A91" s="16">
        <v>45717</v>
      </c>
      <c r="B91" s="13">
        <v>2025</v>
      </c>
      <c r="C91" s="13">
        <v>3</v>
      </c>
      <c r="D91" s="13" t="s">
        <v>72</v>
      </c>
      <c r="E91" s="13" t="s">
        <v>68</v>
      </c>
      <c r="F91" s="13" t="s">
        <v>62</v>
      </c>
      <c r="G91" s="19">
        <v>69.13347377196834</v>
      </c>
      <c r="H91" s="13" t="s">
        <v>84</v>
      </c>
      <c r="I91" s="13" t="s">
        <v>85</v>
      </c>
      <c r="J91" s="21" t="str">
        <f>_xlfn.XLOOKUP(F91,'04_Account_Mapping'!$A$6:$A$14,'04_Account_Mapping'!$C$6:$C$14,"Unmapped",0)</f>
        <v>Finance Income</v>
      </c>
      <c r="K91" s="21" t="str">
        <f>_xlfn.XLOOKUP(F91,'04_Account_Mapping'!$A$6:$A$14,'04_Account_Mapping'!$D$6:$D$14,"Unmapped",0)</f>
        <v>Income</v>
      </c>
    </row>
    <row r="92" spans="1:11">
      <c r="A92" s="16">
        <v>45717</v>
      </c>
      <c r="B92" s="13">
        <v>2025</v>
      </c>
      <c r="C92" s="13">
        <v>3</v>
      </c>
      <c r="D92" s="13" t="s">
        <v>72</v>
      </c>
      <c r="E92" s="13" t="s">
        <v>68</v>
      </c>
      <c r="F92" s="13" t="s">
        <v>63</v>
      </c>
      <c r="G92" s="19">
        <v>-36.871186011716453</v>
      </c>
      <c r="H92" s="13" t="s">
        <v>84</v>
      </c>
      <c r="I92" s="13" t="s">
        <v>85</v>
      </c>
      <c r="J92" s="21" t="str">
        <f>_xlfn.XLOOKUP(F92,'04_Account_Mapping'!$A$6:$A$14,'04_Account_Mapping'!$C$6:$C$14,"Unmapped",0)</f>
        <v>Finance Expense</v>
      </c>
      <c r="K92" s="21" t="str">
        <f>_xlfn.XLOOKUP(F92,'04_Account_Mapping'!$A$6:$A$14,'04_Account_Mapping'!$D$6:$D$14,"Unmapped",0)</f>
        <v>Expense</v>
      </c>
    </row>
    <row r="93" spans="1:11">
      <c r="A93" s="16">
        <v>45717</v>
      </c>
      <c r="B93" s="13">
        <v>2025</v>
      </c>
      <c r="C93" s="13">
        <v>3</v>
      </c>
      <c r="D93" s="13" t="s">
        <v>72</v>
      </c>
      <c r="E93" s="13" t="s">
        <v>68</v>
      </c>
      <c r="F93" s="13" t="s">
        <v>64</v>
      </c>
      <c r="G93" s="19">
        <v>0</v>
      </c>
      <c r="H93" s="13" t="s">
        <v>84</v>
      </c>
      <c r="I93" s="13" t="s">
        <v>85</v>
      </c>
      <c r="J93" s="21" t="str">
        <f>_xlfn.XLOOKUP(F93,'04_Account_Mapping'!$A$6:$A$14,'04_Account_Mapping'!$C$6:$C$14,"Unmapped",0)</f>
        <v>JV Profit/(Loss)</v>
      </c>
      <c r="K93" s="21" t="str">
        <f>_xlfn.XLOOKUP(F93,'04_Account_Mapping'!$A$6:$A$14,'04_Account_Mapping'!$D$6:$D$14,"Unmapped",0)</f>
        <v>Income</v>
      </c>
    </row>
    <row r="94" spans="1:11">
      <c r="A94" s="16">
        <v>45717</v>
      </c>
      <c r="B94" s="13">
        <v>2025</v>
      </c>
      <c r="C94" s="13">
        <v>3</v>
      </c>
      <c r="D94" s="13" t="s">
        <v>72</v>
      </c>
      <c r="E94" s="13" t="s">
        <v>68</v>
      </c>
      <c r="F94" s="13" t="s">
        <v>65</v>
      </c>
      <c r="G94" s="19">
        <v>-7.3742372023432905</v>
      </c>
      <c r="H94" s="13" t="s">
        <v>84</v>
      </c>
      <c r="I94" s="13" t="s">
        <v>85</v>
      </c>
      <c r="J94" s="21" t="str">
        <f>_xlfn.XLOOKUP(F94,'04_Account_Mapping'!$A$6:$A$14,'04_Account_Mapping'!$C$6:$C$14,"Unmapped",0)</f>
        <v>Other Net</v>
      </c>
      <c r="K94" s="21" t="str">
        <f>_xlfn.XLOOKUP(F94,'04_Account_Mapping'!$A$6:$A$14,'04_Account_Mapping'!$D$6:$D$14,"Unmapped",0)</f>
        <v>Income</v>
      </c>
    </row>
    <row r="95" spans="1:11">
      <c r="A95" s="16">
        <v>45717</v>
      </c>
      <c r="B95" s="13">
        <v>2025</v>
      </c>
      <c r="C95" s="13">
        <v>3</v>
      </c>
      <c r="D95" s="13" t="s">
        <v>72</v>
      </c>
      <c r="E95" s="13" t="s">
        <v>68</v>
      </c>
      <c r="F95" s="13" t="s">
        <v>66</v>
      </c>
      <c r="G95" s="19">
        <v>-37.25526086600528</v>
      </c>
      <c r="H95" s="13" t="s">
        <v>84</v>
      </c>
      <c r="I95" s="13" t="s">
        <v>85</v>
      </c>
      <c r="J95" s="21" t="str">
        <f>_xlfn.XLOOKUP(F95,'04_Account_Mapping'!$A$6:$A$14,'04_Account_Mapping'!$C$6:$C$14,"Unmapped",0)</f>
        <v>Tax Expense</v>
      </c>
      <c r="K95" s="21" t="str">
        <f>_xlfn.XLOOKUP(F95,'04_Account_Mapping'!$A$6:$A$14,'04_Account_Mapping'!$D$6:$D$14,"Unmapped",0)</f>
        <v>Expense</v>
      </c>
    </row>
    <row r="96" spans="1:11">
      <c r="A96" s="16">
        <v>45717</v>
      </c>
      <c r="B96" s="13">
        <v>2025</v>
      </c>
      <c r="C96" s="13">
        <v>3</v>
      </c>
      <c r="D96" s="13" t="s">
        <v>73</v>
      </c>
      <c r="E96" s="13" t="s">
        <v>74</v>
      </c>
      <c r="F96" s="13" t="s">
        <v>55</v>
      </c>
      <c r="G96" s="19">
        <v>3401.8058522714587</v>
      </c>
      <c r="H96" s="13" t="s">
        <v>84</v>
      </c>
      <c r="I96" s="13" t="s">
        <v>85</v>
      </c>
      <c r="J96" s="21" t="str">
        <f>_xlfn.XLOOKUP(F96,'04_Account_Mapping'!$A$6:$A$14,'04_Account_Mapping'!$C$6:$C$14,"Unmapped",0)</f>
        <v>Revenue</v>
      </c>
      <c r="K96" s="21" t="str">
        <f>_xlfn.XLOOKUP(F96,'04_Account_Mapping'!$A$6:$A$14,'04_Account_Mapping'!$D$6:$D$14,"Unmapped",0)</f>
        <v>Income</v>
      </c>
    </row>
    <row r="97" spans="1:11">
      <c r="A97" s="16">
        <v>45717</v>
      </c>
      <c r="B97" s="13">
        <v>2025</v>
      </c>
      <c r="C97" s="13">
        <v>3</v>
      </c>
      <c r="D97" s="13" t="s">
        <v>73</v>
      </c>
      <c r="E97" s="13" t="s">
        <v>74</v>
      </c>
      <c r="F97" s="13" t="s">
        <v>58</v>
      </c>
      <c r="G97" s="19">
        <v>-2707.7807616438763</v>
      </c>
      <c r="H97" s="13" t="s">
        <v>84</v>
      </c>
      <c r="I97" s="13" t="s">
        <v>85</v>
      </c>
      <c r="J97" s="21" t="str">
        <f>_xlfn.XLOOKUP(F97,'04_Account_Mapping'!$A$6:$A$14,'04_Account_Mapping'!$C$6:$C$14,"Unmapped",0)</f>
        <v>COGS</v>
      </c>
      <c r="K97" s="21" t="str">
        <f>_xlfn.XLOOKUP(F97,'04_Account_Mapping'!$A$6:$A$14,'04_Account_Mapping'!$D$6:$D$14,"Unmapped",0)</f>
        <v>Expense</v>
      </c>
    </row>
    <row r="98" spans="1:11">
      <c r="A98" s="16">
        <v>45717</v>
      </c>
      <c r="B98" s="13">
        <v>2025</v>
      </c>
      <c r="C98" s="13">
        <v>3</v>
      </c>
      <c r="D98" s="13" t="s">
        <v>73</v>
      </c>
      <c r="E98" s="13" t="s">
        <v>74</v>
      </c>
      <c r="F98" s="13" t="s">
        <v>60</v>
      </c>
      <c r="G98" s="19">
        <v>-483.05643102254703</v>
      </c>
      <c r="H98" s="13" t="s">
        <v>84</v>
      </c>
      <c r="I98" s="13" t="s">
        <v>85</v>
      </c>
      <c r="J98" s="21" t="str">
        <f>_xlfn.XLOOKUP(F98,'04_Account_Mapping'!$A$6:$A$14,'04_Account_Mapping'!$C$6:$C$14,"Unmapped",0)</f>
        <v>Selling Expense</v>
      </c>
      <c r="K98" s="21" t="str">
        <f>_xlfn.XLOOKUP(F98,'04_Account_Mapping'!$A$6:$A$14,'04_Account_Mapping'!$D$6:$D$14,"Unmapped",0)</f>
        <v>Expense</v>
      </c>
    </row>
    <row r="99" spans="1:11">
      <c r="A99" s="16">
        <v>45717</v>
      </c>
      <c r="B99" s="13">
        <v>2025</v>
      </c>
      <c r="C99" s="13">
        <v>3</v>
      </c>
      <c r="D99" s="13" t="s">
        <v>73</v>
      </c>
      <c r="E99" s="13" t="s">
        <v>74</v>
      </c>
      <c r="F99" s="13" t="s">
        <v>61</v>
      </c>
      <c r="G99" s="19">
        <v>-91.84875801132938</v>
      </c>
      <c r="H99" s="13" t="s">
        <v>84</v>
      </c>
      <c r="I99" s="13" t="s">
        <v>85</v>
      </c>
      <c r="J99" s="21" t="str">
        <f>_xlfn.XLOOKUP(F99,'04_Account_Mapping'!$A$6:$A$14,'04_Account_Mapping'!$C$6:$C$14,"Unmapped",0)</f>
        <v>G&amp;A</v>
      </c>
      <c r="K99" s="21" t="str">
        <f>_xlfn.XLOOKUP(F99,'04_Account_Mapping'!$A$6:$A$14,'04_Account_Mapping'!$D$6:$D$14,"Unmapped",0)</f>
        <v>Expense</v>
      </c>
    </row>
    <row r="100" spans="1:11">
      <c r="A100" s="16">
        <v>45717</v>
      </c>
      <c r="B100" s="13">
        <v>2025</v>
      </c>
      <c r="C100" s="13">
        <v>3</v>
      </c>
      <c r="D100" s="13" t="s">
        <v>73</v>
      </c>
      <c r="E100" s="13" t="s">
        <v>74</v>
      </c>
      <c r="F100" s="13" t="s">
        <v>62</v>
      </c>
      <c r="G100" s="19">
        <v>51.027087784071881</v>
      </c>
      <c r="H100" s="13" t="s">
        <v>84</v>
      </c>
      <c r="I100" s="13" t="s">
        <v>85</v>
      </c>
      <c r="J100" s="21" t="str">
        <f>_xlfn.XLOOKUP(F100,'04_Account_Mapping'!$A$6:$A$14,'04_Account_Mapping'!$C$6:$C$14,"Unmapped",0)</f>
        <v>Finance Income</v>
      </c>
      <c r="K100" s="21" t="str">
        <f>_xlfn.XLOOKUP(F100,'04_Account_Mapping'!$A$6:$A$14,'04_Account_Mapping'!$D$6:$D$14,"Unmapped",0)</f>
        <v>Income</v>
      </c>
    </row>
    <row r="101" spans="1:11">
      <c r="A101" s="16">
        <v>45717</v>
      </c>
      <c r="B101" s="13">
        <v>2025</v>
      </c>
      <c r="C101" s="13">
        <v>3</v>
      </c>
      <c r="D101" s="13" t="s">
        <v>73</v>
      </c>
      <c r="E101" s="13" t="s">
        <v>74</v>
      </c>
      <c r="F101" s="13" t="s">
        <v>63</v>
      </c>
      <c r="G101" s="19">
        <v>-27.21444681817167</v>
      </c>
      <c r="H101" s="13" t="s">
        <v>84</v>
      </c>
      <c r="I101" s="13" t="s">
        <v>85</v>
      </c>
      <c r="J101" s="21" t="str">
        <f>_xlfn.XLOOKUP(F101,'04_Account_Mapping'!$A$6:$A$14,'04_Account_Mapping'!$C$6:$C$14,"Unmapped",0)</f>
        <v>Finance Expense</v>
      </c>
      <c r="K101" s="21" t="str">
        <f>_xlfn.XLOOKUP(F101,'04_Account_Mapping'!$A$6:$A$14,'04_Account_Mapping'!$D$6:$D$14,"Unmapped",0)</f>
        <v>Expense</v>
      </c>
    </row>
    <row r="102" spans="1:11">
      <c r="A102" s="16">
        <v>45717</v>
      </c>
      <c r="B102" s="13">
        <v>2025</v>
      </c>
      <c r="C102" s="13">
        <v>3</v>
      </c>
      <c r="D102" s="13" t="s">
        <v>73</v>
      </c>
      <c r="E102" s="13" t="s">
        <v>74</v>
      </c>
      <c r="F102" s="13" t="s">
        <v>64</v>
      </c>
      <c r="G102" s="19">
        <v>0</v>
      </c>
      <c r="H102" s="13" t="s">
        <v>84</v>
      </c>
      <c r="I102" s="13" t="s">
        <v>85</v>
      </c>
      <c r="J102" s="21" t="str">
        <f>_xlfn.XLOOKUP(F102,'04_Account_Mapping'!$A$6:$A$14,'04_Account_Mapping'!$C$6:$C$14,"Unmapped",0)</f>
        <v>JV Profit/(Loss)</v>
      </c>
      <c r="K102" s="21" t="str">
        <f>_xlfn.XLOOKUP(F102,'04_Account_Mapping'!$A$6:$A$14,'04_Account_Mapping'!$D$6:$D$14,"Unmapped",0)</f>
        <v>Income</v>
      </c>
    </row>
    <row r="103" spans="1:11">
      <c r="A103" s="16">
        <v>45717</v>
      </c>
      <c r="B103" s="13">
        <v>2025</v>
      </c>
      <c r="C103" s="13">
        <v>3</v>
      </c>
      <c r="D103" s="13" t="s">
        <v>73</v>
      </c>
      <c r="E103" s="13" t="s">
        <v>74</v>
      </c>
      <c r="F103" s="13" t="s">
        <v>65</v>
      </c>
      <c r="G103" s="19">
        <v>-5.4428893636343334</v>
      </c>
      <c r="H103" s="13" t="s">
        <v>84</v>
      </c>
      <c r="I103" s="13" t="s">
        <v>85</v>
      </c>
      <c r="J103" s="21" t="str">
        <f>_xlfn.XLOOKUP(F103,'04_Account_Mapping'!$A$6:$A$14,'04_Account_Mapping'!$C$6:$C$14,"Unmapped",0)</f>
        <v>Other Net</v>
      </c>
      <c r="K103" s="21" t="str">
        <f>_xlfn.XLOOKUP(F103,'04_Account_Mapping'!$A$6:$A$14,'04_Account_Mapping'!$D$6:$D$14,"Unmapped",0)</f>
        <v>Income</v>
      </c>
    </row>
    <row r="104" spans="1:11">
      <c r="A104" s="16">
        <v>45717</v>
      </c>
      <c r="B104" s="13">
        <v>2025</v>
      </c>
      <c r="C104" s="13">
        <v>3</v>
      </c>
      <c r="D104" s="13" t="s">
        <v>73</v>
      </c>
      <c r="E104" s="13" t="s">
        <v>74</v>
      </c>
      <c r="F104" s="13" t="s">
        <v>66</v>
      </c>
      <c r="G104" s="19">
        <v>-27.497930639194372</v>
      </c>
      <c r="H104" s="13" t="s">
        <v>84</v>
      </c>
      <c r="I104" s="13" t="s">
        <v>85</v>
      </c>
      <c r="J104" s="21" t="str">
        <f>_xlfn.XLOOKUP(F104,'04_Account_Mapping'!$A$6:$A$14,'04_Account_Mapping'!$C$6:$C$14,"Unmapped",0)</f>
        <v>Tax Expense</v>
      </c>
      <c r="K104" s="21" t="str">
        <f>_xlfn.XLOOKUP(F104,'04_Account_Mapping'!$A$6:$A$14,'04_Account_Mapping'!$D$6:$D$14,"Unmapped",0)</f>
        <v>Expense</v>
      </c>
    </row>
    <row r="105" spans="1:11">
      <c r="A105" s="16">
        <v>45717</v>
      </c>
      <c r="B105" s="13">
        <v>2025</v>
      </c>
      <c r="C105" s="13">
        <v>3</v>
      </c>
      <c r="D105" s="13" t="s">
        <v>75</v>
      </c>
      <c r="E105" s="13" t="s">
        <v>76</v>
      </c>
      <c r="F105" s="13" t="s">
        <v>55</v>
      </c>
      <c r="G105" s="19">
        <v>548.67836326959014</v>
      </c>
      <c r="H105" s="13" t="s">
        <v>84</v>
      </c>
      <c r="I105" s="13" t="s">
        <v>85</v>
      </c>
      <c r="J105" s="21" t="str">
        <f>_xlfn.XLOOKUP(F105,'04_Account_Mapping'!$A$6:$A$14,'04_Account_Mapping'!$C$6:$C$14,"Unmapped",0)</f>
        <v>Revenue</v>
      </c>
      <c r="K105" s="21" t="str">
        <f>_xlfn.XLOOKUP(F105,'04_Account_Mapping'!$A$6:$A$14,'04_Account_Mapping'!$D$6:$D$14,"Unmapped",0)</f>
        <v>Income</v>
      </c>
    </row>
    <row r="106" spans="1:11">
      <c r="A106" s="16">
        <v>45717</v>
      </c>
      <c r="B106" s="13">
        <v>2025</v>
      </c>
      <c r="C106" s="13">
        <v>3</v>
      </c>
      <c r="D106" s="13" t="s">
        <v>75</v>
      </c>
      <c r="E106" s="13" t="s">
        <v>76</v>
      </c>
      <c r="F106" s="13" t="s">
        <v>58</v>
      </c>
      <c r="G106" s="19">
        <v>-436.73883252320587</v>
      </c>
      <c r="H106" s="13" t="s">
        <v>84</v>
      </c>
      <c r="I106" s="13" t="s">
        <v>85</v>
      </c>
      <c r="J106" s="21" t="str">
        <f>_xlfn.XLOOKUP(F106,'04_Account_Mapping'!$A$6:$A$14,'04_Account_Mapping'!$C$6:$C$14,"Unmapped",0)</f>
        <v>COGS</v>
      </c>
      <c r="K106" s="21" t="str">
        <f>_xlfn.XLOOKUP(F106,'04_Account_Mapping'!$A$6:$A$14,'04_Account_Mapping'!$D$6:$D$14,"Unmapped",0)</f>
        <v>Expense</v>
      </c>
    </row>
    <row r="107" spans="1:11">
      <c r="A107" s="16">
        <v>45717</v>
      </c>
      <c r="B107" s="13">
        <v>2025</v>
      </c>
      <c r="C107" s="13">
        <v>3</v>
      </c>
      <c r="D107" s="13" t="s">
        <v>75</v>
      </c>
      <c r="E107" s="13" t="s">
        <v>76</v>
      </c>
      <c r="F107" s="13" t="s">
        <v>60</v>
      </c>
      <c r="G107" s="19">
        <v>-77.912327584281783</v>
      </c>
      <c r="H107" s="13" t="s">
        <v>84</v>
      </c>
      <c r="I107" s="13" t="s">
        <v>85</v>
      </c>
      <c r="J107" s="21" t="str">
        <f>_xlfn.XLOOKUP(F107,'04_Account_Mapping'!$A$6:$A$14,'04_Account_Mapping'!$C$6:$C$14,"Unmapped",0)</f>
        <v>Selling Expense</v>
      </c>
      <c r="K107" s="21" t="str">
        <f>_xlfn.XLOOKUP(F107,'04_Account_Mapping'!$A$6:$A$14,'04_Account_Mapping'!$D$6:$D$14,"Unmapped",0)</f>
        <v>Expense</v>
      </c>
    </row>
    <row r="108" spans="1:11">
      <c r="A108" s="16">
        <v>45717</v>
      </c>
      <c r="B108" s="13">
        <v>2025</v>
      </c>
      <c r="C108" s="13">
        <v>3</v>
      </c>
      <c r="D108" s="13" t="s">
        <v>75</v>
      </c>
      <c r="E108" s="13" t="s">
        <v>76</v>
      </c>
      <c r="F108" s="13" t="s">
        <v>61</v>
      </c>
      <c r="G108" s="19">
        <v>-14.814315808278932</v>
      </c>
      <c r="H108" s="13" t="s">
        <v>84</v>
      </c>
      <c r="I108" s="13" t="s">
        <v>85</v>
      </c>
      <c r="J108" s="21" t="str">
        <f>_xlfn.XLOOKUP(F108,'04_Account_Mapping'!$A$6:$A$14,'04_Account_Mapping'!$C$6:$C$14,"Unmapped",0)</f>
        <v>G&amp;A</v>
      </c>
      <c r="K108" s="21" t="str">
        <f>_xlfn.XLOOKUP(F108,'04_Account_Mapping'!$A$6:$A$14,'04_Account_Mapping'!$D$6:$D$14,"Unmapped",0)</f>
        <v>Expense</v>
      </c>
    </row>
    <row r="109" spans="1:11">
      <c r="A109" s="16">
        <v>45717</v>
      </c>
      <c r="B109" s="13">
        <v>2025</v>
      </c>
      <c r="C109" s="13">
        <v>3</v>
      </c>
      <c r="D109" s="13" t="s">
        <v>75</v>
      </c>
      <c r="E109" s="13" t="s">
        <v>76</v>
      </c>
      <c r="F109" s="13" t="s">
        <v>62</v>
      </c>
      <c r="G109" s="19">
        <v>8.2301754490438519</v>
      </c>
      <c r="H109" s="13" t="s">
        <v>84</v>
      </c>
      <c r="I109" s="13" t="s">
        <v>85</v>
      </c>
      <c r="J109" s="21" t="str">
        <f>_xlfn.XLOOKUP(F109,'04_Account_Mapping'!$A$6:$A$14,'04_Account_Mapping'!$C$6:$C$14,"Unmapped",0)</f>
        <v>Finance Income</v>
      </c>
      <c r="K109" s="21" t="str">
        <f>_xlfn.XLOOKUP(F109,'04_Account_Mapping'!$A$6:$A$14,'04_Account_Mapping'!$D$6:$D$14,"Unmapped",0)</f>
        <v>Income</v>
      </c>
    </row>
    <row r="110" spans="1:11">
      <c r="A110" s="16">
        <v>45717</v>
      </c>
      <c r="B110" s="13">
        <v>2025</v>
      </c>
      <c r="C110" s="13">
        <v>3</v>
      </c>
      <c r="D110" s="13" t="s">
        <v>75</v>
      </c>
      <c r="E110" s="13" t="s">
        <v>76</v>
      </c>
      <c r="F110" s="13" t="s">
        <v>63</v>
      </c>
      <c r="G110" s="19">
        <v>-4.3894269061567206</v>
      </c>
      <c r="H110" s="13" t="s">
        <v>84</v>
      </c>
      <c r="I110" s="13" t="s">
        <v>85</v>
      </c>
      <c r="J110" s="21" t="str">
        <f>_xlfn.XLOOKUP(F110,'04_Account_Mapping'!$A$6:$A$14,'04_Account_Mapping'!$C$6:$C$14,"Unmapped",0)</f>
        <v>Finance Expense</v>
      </c>
      <c r="K110" s="21" t="str">
        <f>_xlfn.XLOOKUP(F110,'04_Account_Mapping'!$A$6:$A$14,'04_Account_Mapping'!$D$6:$D$14,"Unmapped",0)</f>
        <v>Expense</v>
      </c>
    </row>
    <row r="111" spans="1:11">
      <c r="A111" s="16">
        <v>45717</v>
      </c>
      <c r="B111" s="13">
        <v>2025</v>
      </c>
      <c r="C111" s="13">
        <v>3</v>
      </c>
      <c r="D111" s="13" t="s">
        <v>75</v>
      </c>
      <c r="E111" s="13" t="s">
        <v>76</v>
      </c>
      <c r="F111" s="13" t="s">
        <v>64</v>
      </c>
      <c r="G111" s="19">
        <v>0</v>
      </c>
      <c r="H111" s="13" t="s">
        <v>84</v>
      </c>
      <c r="I111" s="13" t="s">
        <v>85</v>
      </c>
      <c r="J111" s="21" t="str">
        <f>_xlfn.XLOOKUP(F111,'04_Account_Mapping'!$A$6:$A$14,'04_Account_Mapping'!$C$6:$C$14,"Unmapped",0)</f>
        <v>JV Profit/(Loss)</v>
      </c>
      <c r="K111" s="21" t="str">
        <f>_xlfn.XLOOKUP(F111,'04_Account_Mapping'!$A$6:$A$14,'04_Account_Mapping'!$D$6:$D$14,"Unmapped",0)</f>
        <v>Income</v>
      </c>
    </row>
    <row r="112" spans="1:11">
      <c r="A112" s="16">
        <v>45717</v>
      </c>
      <c r="B112" s="13">
        <v>2025</v>
      </c>
      <c r="C112" s="13">
        <v>3</v>
      </c>
      <c r="D112" s="13" t="s">
        <v>75</v>
      </c>
      <c r="E112" s="13" t="s">
        <v>76</v>
      </c>
      <c r="F112" s="13" t="s">
        <v>65</v>
      </c>
      <c r="G112" s="19">
        <v>-0.87788538123134419</v>
      </c>
      <c r="H112" s="13" t="s">
        <v>84</v>
      </c>
      <c r="I112" s="13" t="s">
        <v>85</v>
      </c>
      <c r="J112" s="21" t="str">
        <f>_xlfn.XLOOKUP(F112,'04_Account_Mapping'!$A$6:$A$14,'04_Account_Mapping'!$C$6:$C$14,"Unmapped",0)</f>
        <v>Other Net</v>
      </c>
      <c r="K112" s="21" t="str">
        <f>_xlfn.XLOOKUP(F112,'04_Account_Mapping'!$A$6:$A$14,'04_Account_Mapping'!$D$6:$D$14,"Unmapped",0)</f>
        <v>Income</v>
      </c>
    </row>
    <row r="113" spans="1:11">
      <c r="A113" s="16">
        <v>45717</v>
      </c>
      <c r="B113" s="13">
        <v>2025</v>
      </c>
      <c r="C113" s="13">
        <v>3</v>
      </c>
      <c r="D113" s="13" t="s">
        <v>75</v>
      </c>
      <c r="E113" s="13" t="s">
        <v>76</v>
      </c>
      <c r="F113" s="13" t="s">
        <v>66</v>
      </c>
      <c r="G113" s="19">
        <v>-4.4351501030958662</v>
      </c>
      <c r="H113" s="13" t="s">
        <v>84</v>
      </c>
      <c r="I113" s="13" t="s">
        <v>85</v>
      </c>
      <c r="J113" s="21" t="str">
        <f>_xlfn.XLOOKUP(F113,'04_Account_Mapping'!$A$6:$A$14,'04_Account_Mapping'!$C$6:$C$14,"Unmapped",0)</f>
        <v>Tax Expense</v>
      </c>
      <c r="K113" s="21" t="str">
        <f>_xlfn.XLOOKUP(F113,'04_Account_Mapping'!$A$6:$A$14,'04_Account_Mapping'!$D$6:$D$14,"Unmapped",0)</f>
        <v>Expense</v>
      </c>
    </row>
    <row r="114" spans="1:11">
      <c r="A114" s="16">
        <v>45748</v>
      </c>
      <c r="B114" s="13">
        <v>2025</v>
      </c>
      <c r="C114" s="13">
        <v>4</v>
      </c>
      <c r="D114" s="13" t="s">
        <v>67</v>
      </c>
      <c r="E114" s="13" t="s">
        <v>68</v>
      </c>
      <c r="F114" s="13" t="s">
        <v>55</v>
      </c>
      <c r="G114" s="19">
        <v>2848.9738799026359</v>
      </c>
      <c r="H114" s="13" t="s">
        <v>84</v>
      </c>
      <c r="I114" s="13" t="s">
        <v>85</v>
      </c>
      <c r="J114" s="21" t="str">
        <f>_xlfn.XLOOKUP(F114,'04_Account_Mapping'!$A$6:$A$14,'04_Account_Mapping'!$C$6:$C$14,"Unmapped",0)</f>
        <v>Revenue</v>
      </c>
      <c r="K114" s="21" t="str">
        <f>_xlfn.XLOOKUP(F114,'04_Account_Mapping'!$A$6:$A$14,'04_Account_Mapping'!$D$6:$D$14,"Unmapped",0)</f>
        <v>Income</v>
      </c>
    </row>
    <row r="115" spans="1:11">
      <c r="A115" s="16">
        <v>45748</v>
      </c>
      <c r="B115" s="13">
        <v>2025</v>
      </c>
      <c r="C115" s="13">
        <v>4</v>
      </c>
      <c r="D115" s="13" t="s">
        <v>67</v>
      </c>
      <c r="E115" s="13" t="s">
        <v>68</v>
      </c>
      <c r="F115" s="13" t="s">
        <v>58</v>
      </c>
      <c r="G115" s="19">
        <v>-2267.7357255044999</v>
      </c>
      <c r="H115" s="13" t="s">
        <v>84</v>
      </c>
      <c r="I115" s="13" t="s">
        <v>85</v>
      </c>
      <c r="J115" s="21" t="str">
        <f>_xlfn.XLOOKUP(F115,'04_Account_Mapping'!$A$6:$A$14,'04_Account_Mapping'!$C$6:$C$14,"Unmapped",0)</f>
        <v>COGS</v>
      </c>
      <c r="K115" s="21" t="str">
        <f>_xlfn.XLOOKUP(F115,'04_Account_Mapping'!$A$6:$A$14,'04_Account_Mapping'!$D$6:$D$14,"Unmapped",0)</f>
        <v>Expense</v>
      </c>
    </row>
    <row r="116" spans="1:11">
      <c r="A116" s="16">
        <v>45748</v>
      </c>
      <c r="B116" s="13">
        <v>2025</v>
      </c>
      <c r="C116" s="13">
        <v>4</v>
      </c>
      <c r="D116" s="13" t="s">
        <v>67</v>
      </c>
      <c r="E116" s="13" t="s">
        <v>68</v>
      </c>
      <c r="F116" s="13" t="s">
        <v>60</v>
      </c>
      <c r="G116" s="19">
        <v>-404.55429094617426</v>
      </c>
      <c r="H116" s="13" t="s">
        <v>84</v>
      </c>
      <c r="I116" s="13" t="s">
        <v>85</v>
      </c>
      <c r="J116" s="21" t="str">
        <f>_xlfn.XLOOKUP(F116,'04_Account_Mapping'!$A$6:$A$14,'04_Account_Mapping'!$C$6:$C$14,"Unmapped",0)</f>
        <v>Selling Expense</v>
      </c>
      <c r="K116" s="21" t="str">
        <f>_xlfn.XLOOKUP(F116,'04_Account_Mapping'!$A$6:$A$14,'04_Account_Mapping'!$D$6:$D$14,"Unmapped",0)</f>
        <v>Expense</v>
      </c>
    </row>
    <row r="117" spans="1:11">
      <c r="A117" s="16">
        <v>45748</v>
      </c>
      <c r="B117" s="13">
        <v>2025</v>
      </c>
      <c r="C117" s="13">
        <v>4</v>
      </c>
      <c r="D117" s="13" t="s">
        <v>67</v>
      </c>
      <c r="E117" s="13" t="s">
        <v>68</v>
      </c>
      <c r="F117" s="13" t="s">
        <v>61</v>
      </c>
      <c r="G117" s="19">
        <v>-76.922294757371176</v>
      </c>
      <c r="H117" s="13" t="s">
        <v>84</v>
      </c>
      <c r="I117" s="13" t="s">
        <v>85</v>
      </c>
      <c r="J117" s="21" t="str">
        <f>_xlfn.XLOOKUP(F117,'04_Account_Mapping'!$A$6:$A$14,'04_Account_Mapping'!$C$6:$C$14,"Unmapped",0)</f>
        <v>G&amp;A</v>
      </c>
      <c r="K117" s="21" t="str">
        <f>_xlfn.XLOOKUP(F117,'04_Account_Mapping'!$A$6:$A$14,'04_Account_Mapping'!$D$6:$D$14,"Unmapped",0)</f>
        <v>Expense</v>
      </c>
    </row>
    <row r="118" spans="1:11">
      <c r="A118" s="16">
        <v>45748</v>
      </c>
      <c r="B118" s="13">
        <v>2025</v>
      </c>
      <c r="C118" s="13">
        <v>4</v>
      </c>
      <c r="D118" s="13" t="s">
        <v>67</v>
      </c>
      <c r="E118" s="13" t="s">
        <v>68</v>
      </c>
      <c r="F118" s="13" t="s">
        <v>62</v>
      </c>
      <c r="G118" s="19">
        <v>42.73460819853954</v>
      </c>
      <c r="H118" s="13" t="s">
        <v>84</v>
      </c>
      <c r="I118" s="13" t="s">
        <v>85</v>
      </c>
      <c r="J118" s="21" t="str">
        <f>_xlfn.XLOOKUP(F118,'04_Account_Mapping'!$A$6:$A$14,'04_Account_Mapping'!$C$6:$C$14,"Unmapped",0)</f>
        <v>Finance Income</v>
      </c>
      <c r="K118" s="21" t="str">
        <f>_xlfn.XLOOKUP(F118,'04_Account_Mapping'!$A$6:$A$14,'04_Account_Mapping'!$D$6:$D$14,"Unmapped",0)</f>
        <v>Income</v>
      </c>
    </row>
    <row r="119" spans="1:11">
      <c r="A119" s="16">
        <v>45748</v>
      </c>
      <c r="B119" s="13">
        <v>2025</v>
      </c>
      <c r="C119" s="13">
        <v>4</v>
      </c>
      <c r="D119" s="13" t="s">
        <v>67</v>
      </c>
      <c r="E119" s="13" t="s">
        <v>68</v>
      </c>
      <c r="F119" s="13" t="s">
        <v>63</v>
      </c>
      <c r="G119" s="19">
        <v>-22.791791039221089</v>
      </c>
      <c r="H119" s="13" t="s">
        <v>84</v>
      </c>
      <c r="I119" s="13" t="s">
        <v>85</v>
      </c>
      <c r="J119" s="21" t="str">
        <f>_xlfn.XLOOKUP(F119,'04_Account_Mapping'!$A$6:$A$14,'04_Account_Mapping'!$C$6:$C$14,"Unmapped",0)</f>
        <v>Finance Expense</v>
      </c>
      <c r="K119" s="21" t="str">
        <f>_xlfn.XLOOKUP(F119,'04_Account_Mapping'!$A$6:$A$14,'04_Account_Mapping'!$D$6:$D$14,"Unmapped",0)</f>
        <v>Expense</v>
      </c>
    </row>
    <row r="120" spans="1:11">
      <c r="A120" s="16">
        <v>45748</v>
      </c>
      <c r="B120" s="13">
        <v>2025</v>
      </c>
      <c r="C120" s="13">
        <v>4</v>
      </c>
      <c r="D120" s="13" t="s">
        <v>67</v>
      </c>
      <c r="E120" s="13" t="s">
        <v>68</v>
      </c>
      <c r="F120" s="13" t="s">
        <v>64</v>
      </c>
      <c r="G120" s="19">
        <v>0</v>
      </c>
      <c r="H120" s="13" t="s">
        <v>84</v>
      </c>
      <c r="I120" s="13" t="s">
        <v>85</v>
      </c>
      <c r="J120" s="21" t="str">
        <f>_xlfn.XLOOKUP(F120,'04_Account_Mapping'!$A$6:$A$14,'04_Account_Mapping'!$C$6:$C$14,"Unmapped",0)</f>
        <v>JV Profit/(Loss)</v>
      </c>
      <c r="K120" s="21" t="str">
        <f>_xlfn.XLOOKUP(F120,'04_Account_Mapping'!$A$6:$A$14,'04_Account_Mapping'!$D$6:$D$14,"Unmapped",0)</f>
        <v>Income</v>
      </c>
    </row>
    <row r="121" spans="1:11">
      <c r="A121" s="16">
        <v>45748</v>
      </c>
      <c r="B121" s="13">
        <v>2025</v>
      </c>
      <c r="C121" s="13">
        <v>4</v>
      </c>
      <c r="D121" s="13" t="s">
        <v>67</v>
      </c>
      <c r="E121" s="13" t="s">
        <v>68</v>
      </c>
      <c r="F121" s="13" t="s">
        <v>65</v>
      </c>
      <c r="G121" s="19">
        <v>-4.5583582078442175</v>
      </c>
      <c r="H121" s="13" t="s">
        <v>84</v>
      </c>
      <c r="I121" s="13" t="s">
        <v>85</v>
      </c>
      <c r="J121" s="21" t="str">
        <f>_xlfn.XLOOKUP(F121,'04_Account_Mapping'!$A$6:$A$14,'04_Account_Mapping'!$C$6:$C$14,"Unmapped",0)</f>
        <v>Other Net</v>
      </c>
      <c r="K121" s="21" t="str">
        <f>_xlfn.XLOOKUP(F121,'04_Account_Mapping'!$A$6:$A$14,'04_Account_Mapping'!$D$6:$D$14,"Unmapped",0)</f>
        <v>Income</v>
      </c>
    </row>
    <row r="122" spans="1:11">
      <c r="A122" s="16">
        <v>45748</v>
      </c>
      <c r="B122" s="13">
        <v>2025</v>
      </c>
      <c r="C122" s="13">
        <v>4</v>
      </c>
      <c r="D122" s="13" t="s">
        <v>67</v>
      </c>
      <c r="E122" s="13" t="s">
        <v>68</v>
      </c>
      <c r="F122" s="13" t="s">
        <v>66</v>
      </c>
      <c r="G122" s="19">
        <v>-23.029205529213044</v>
      </c>
      <c r="H122" s="13" t="s">
        <v>84</v>
      </c>
      <c r="I122" s="13" t="s">
        <v>85</v>
      </c>
      <c r="J122" s="21" t="str">
        <f>_xlfn.XLOOKUP(F122,'04_Account_Mapping'!$A$6:$A$14,'04_Account_Mapping'!$C$6:$C$14,"Unmapped",0)</f>
        <v>Tax Expense</v>
      </c>
      <c r="K122" s="21" t="str">
        <f>_xlfn.XLOOKUP(F122,'04_Account_Mapping'!$A$6:$A$14,'04_Account_Mapping'!$D$6:$D$14,"Unmapped",0)</f>
        <v>Expense</v>
      </c>
    </row>
    <row r="123" spans="1:11">
      <c r="A123" s="16">
        <v>45748</v>
      </c>
      <c r="B123" s="13">
        <v>2025</v>
      </c>
      <c r="C123" s="13">
        <v>4</v>
      </c>
      <c r="D123" s="13" t="s">
        <v>72</v>
      </c>
      <c r="E123" s="13" t="s">
        <v>68</v>
      </c>
      <c r="F123" s="13" t="s">
        <v>55</v>
      </c>
      <c r="G123" s="19">
        <v>5438.9501343595784</v>
      </c>
      <c r="H123" s="13" t="s">
        <v>84</v>
      </c>
      <c r="I123" s="13" t="s">
        <v>85</v>
      </c>
      <c r="J123" s="21" t="str">
        <f>_xlfn.XLOOKUP(F123,'04_Account_Mapping'!$A$6:$A$14,'04_Account_Mapping'!$C$6:$C$14,"Unmapped",0)</f>
        <v>Revenue</v>
      </c>
      <c r="K123" s="21" t="str">
        <f>_xlfn.XLOOKUP(F123,'04_Account_Mapping'!$A$6:$A$14,'04_Account_Mapping'!$D$6:$D$14,"Unmapped",0)</f>
        <v>Income</v>
      </c>
    </row>
    <row r="124" spans="1:11">
      <c r="A124" s="16">
        <v>45748</v>
      </c>
      <c r="B124" s="13">
        <v>2025</v>
      </c>
      <c r="C124" s="13">
        <v>4</v>
      </c>
      <c r="D124" s="13" t="s">
        <v>72</v>
      </c>
      <c r="E124" s="13" t="s">
        <v>68</v>
      </c>
      <c r="F124" s="13" t="s">
        <v>58</v>
      </c>
      <c r="G124" s="19">
        <v>-4329.3136577813184</v>
      </c>
      <c r="H124" s="13" t="s">
        <v>84</v>
      </c>
      <c r="I124" s="13" t="s">
        <v>85</v>
      </c>
      <c r="J124" s="21" t="str">
        <f>_xlfn.XLOOKUP(F124,'04_Account_Mapping'!$A$6:$A$14,'04_Account_Mapping'!$C$6:$C$14,"Unmapped",0)</f>
        <v>COGS</v>
      </c>
      <c r="K124" s="21" t="str">
        <f>_xlfn.XLOOKUP(F124,'04_Account_Mapping'!$A$6:$A$14,'04_Account_Mapping'!$D$6:$D$14,"Unmapped",0)</f>
        <v>Expense</v>
      </c>
    </row>
    <row r="125" spans="1:11">
      <c r="A125" s="16">
        <v>45748</v>
      </c>
      <c r="B125" s="13">
        <v>2025</v>
      </c>
      <c r="C125" s="13">
        <v>4</v>
      </c>
      <c r="D125" s="13" t="s">
        <v>72</v>
      </c>
      <c r="E125" s="13" t="s">
        <v>68</v>
      </c>
      <c r="F125" s="13" t="s">
        <v>60</v>
      </c>
      <c r="G125" s="19">
        <v>-772.33091907905998</v>
      </c>
      <c r="H125" s="13" t="s">
        <v>84</v>
      </c>
      <c r="I125" s="13" t="s">
        <v>85</v>
      </c>
      <c r="J125" s="21" t="str">
        <f>_xlfn.XLOOKUP(F125,'04_Account_Mapping'!$A$6:$A$14,'04_Account_Mapping'!$C$6:$C$14,"Unmapped",0)</f>
        <v>Selling Expense</v>
      </c>
      <c r="K125" s="21" t="str">
        <f>_xlfn.XLOOKUP(F125,'04_Account_Mapping'!$A$6:$A$14,'04_Account_Mapping'!$D$6:$D$14,"Unmapped",0)</f>
        <v>Expense</v>
      </c>
    </row>
    <row r="126" spans="1:11">
      <c r="A126" s="16">
        <v>45748</v>
      </c>
      <c r="B126" s="13">
        <v>2025</v>
      </c>
      <c r="C126" s="13">
        <v>4</v>
      </c>
      <c r="D126" s="13" t="s">
        <v>72</v>
      </c>
      <c r="E126" s="13" t="s">
        <v>68</v>
      </c>
      <c r="F126" s="13" t="s">
        <v>61</v>
      </c>
      <c r="G126" s="19">
        <v>-146.8516536277086</v>
      </c>
      <c r="H126" s="13" t="s">
        <v>84</v>
      </c>
      <c r="I126" s="13" t="s">
        <v>85</v>
      </c>
      <c r="J126" s="21" t="str">
        <f>_xlfn.XLOOKUP(F126,'04_Account_Mapping'!$A$6:$A$14,'04_Account_Mapping'!$C$6:$C$14,"Unmapped",0)</f>
        <v>G&amp;A</v>
      </c>
      <c r="K126" s="21" t="str">
        <f>_xlfn.XLOOKUP(F126,'04_Account_Mapping'!$A$6:$A$14,'04_Account_Mapping'!$D$6:$D$14,"Unmapped",0)</f>
        <v>Expense</v>
      </c>
    </row>
    <row r="127" spans="1:11">
      <c r="A127" s="16">
        <v>45748</v>
      </c>
      <c r="B127" s="13">
        <v>2025</v>
      </c>
      <c r="C127" s="13">
        <v>4</v>
      </c>
      <c r="D127" s="13" t="s">
        <v>72</v>
      </c>
      <c r="E127" s="13" t="s">
        <v>68</v>
      </c>
      <c r="F127" s="13" t="s">
        <v>62</v>
      </c>
      <c r="G127" s="19">
        <v>81.584252015393673</v>
      </c>
      <c r="H127" s="13" t="s">
        <v>84</v>
      </c>
      <c r="I127" s="13" t="s">
        <v>85</v>
      </c>
      <c r="J127" s="21" t="str">
        <f>_xlfn.XLOOKUP(F127,'04_Account_Mapping'!$A$6:$A$14,'04_Account_Mapping'!$C$6:$C$14,"Unmapped",0)</f>
        <v>Finance Income</v>
      </c>
      <c r="K127" s="21" t="str">
        <f>_xlfn.XLOOKUP(F127,'04_Account_Mapping'!$A$6:$A$14,'04_Account_Mapping'!$D$6:$D$14,"Unmapped",0)</f>
        <v>Income</v>
      </c>
    </row>
    <row r="128" spans="1:11">
      <c r="A128" s="16">
        <v>45748</v>
      </c>
      <c r="B128" s="13">
        <v>2025</v>
      </c>
      <c r="C128" s="13">
        <v>4</v>
      </c>
      <c r="D128" s="13" t="s">
        <v>72</v>
      </c>
      <c r="E128" s="13" t="s">
        <v>68</v>
      </c>
      <c r="F128" s="13" t="s">
        <v>63</v>
      </c>
      <c r="G128" s="19">
        <v>-43.511601074876623</v>
      </c>
      <c r="H128" s="13" t="s">
        <v>84</v>
      </c>
      <c r="I128" s="13" t="s">
        <v>85</v>
      </c>
      <c r="J128" s="21" t="str">
        <f>_xlfn.XLOOKUP(F128,'04_Account_Mapping'!$A$6:$A$14,'04_Account_Mapping'!$C$6:$C$14,"Unmapped",0)</f>
        <v>Finance Expense</v>
      </c>
      <c r="K128" s="21" t="str">
        <f>_xlfn.XLOOKUP(F128,'04_Account_Mapping'!$A$6:$A$14,'04_Account_Mapping'!$D$6:$D$14,"Unmapped",0)</f>
        <v>Expense</v>
      </c>
    </row>
    <row r="129" spans="1:11">
      <c r="A129" s="16">
        <v>45748</v>
      </c>
      <c r="B129" s="13">
        <v>2025</v>
      </c>
      <c r="C129" s="13">
        <v>4</v>
      </c>
      <c r="D129" s="13" t="s">
        <v>72</v>
      </c>
      <c r="E129" s="13" t="s">
        <v>68</v>
      </c>
      <c r="F129" s="13" t="s">
        <v>64</v>
      </c>
      <c r="G129" s="19">
        <v>0</v>
      </c>
      <c r="H129" s="13" t="s">
        <v>84</v>
      </c>
      <c r="I129" s="13" t="s">
        <v>85</v>
      </c>
      <c r="J129" s="21" t="str">
        <f>_xlfn.XLOOKUP(F129,'04_Account_Mapping'!$A$6:$A$14,'04_Account_Mapping'!$C$6:$C$14,"Unmapped",0)</f>
        <v>JV Profit/(Loss)</v>
      </c>
      <c r="K129" s="21" t="str">
        <f>_xlfn.XLOOKUP(F129,'04_Account_Mapping'!$A$6:$A$14,'04_Account_Mapping'!$D$6:$D$14,"Unmapped",0)</f>
        <v>Income</v>
      </c>
    </row>
    <row r="130" spans="1:11">
      <c r="A130" s="16">
        <v>45748</v>
      </c>
      <c r="B130" s="13">
        <v>2025</v>
      </c>
      <c r="C130" s="13">
        <v>4</v>
      </c>
      <c r="D130" s="13" t="s">
        <v>72</v>
      </c>
      <c r="E130" s="13" t="s">
        <v>68</v>
      </c>
      <c r="F130" s="13" t="s">
        <v>65</v>
      </c>
      <c r="G130" s="19">
        <v>-8.7023202149753249</v>
      </c>
      <c r="H130" s="13" t="s">
        <v>84</v>
      </c>
      <c r="I130" s="13" t="s">
        <v>85</v>
      </c>
      <c r="J130" s="21" t="str">
        <f>_xlfn.XLOOKUP(F130,'04_Account_Mapping'!$A$6:$A$14,'04_Account_Mapping'!$C$6:$C$14,"Unmapped",0)</f>
        <v>Other Net</v>
      </c>
      <c r="K130" s="21" t="str">
        <f>_xlfn.XLOOKUP(F130,'04_Account_Mapping'!$A$6:$A$14,'04_Account_Mapping'!$D$6:$D$14,"Unmapped",0)</f>
        <v>Income</v>
      </c>
    </row>
    <row r="131" spans="1:11">
      <c r="A131" s="16">
        <v>45748</v>
      </c>
      <c r="B131" s="13">
        <v>2025</v>
      </c>
      <c r="C131" s="13">
        <v>4</v>
      </c>
      <c r="D131" s="13" t="s">
        <v>72</v>
      </c>
      <c r="E131" s="13" t="s">
        <v>68</v>
      </c>
      <c r="F131" s="13" t="s">
        <v>66</v>
      </c>
      <c r="G131" s="19">
        <v>-43.964846919406718</v>
      </c>
      <c r="H131" s="13" t="s">
        <v>84</v>
      </c>
      <c r="I131" s="13" t="s">
        <v>85</v>
      </c>
      <c r="J131" s="21" t="str">
        <f>_xlfn.XLOOKUP(F131,'04_Account_Mapping'!$A$6:$A$14,'04_Account_Mapping'!$C$6:$C$14,"Unmapped",0)</f>
        <v>Tax Expense</v>
      </c>
      <c r="K131" s="21" t="str">
        <f>_xlfn.XLOOKUP(F131,'04_Account_Mapping'!$A$6:$A$14,'04_Account_Mapping'!$D$6:$D$14,"Unmapped",0)</f>
        <v>Expense</v>
      </c>
    </row>
    <row r="132" spans="1:11">
      <c r="A132" s="16">
        <v>45748</v>
      </c>
      <c r="B132" s="13">
        <v>2025</v>
      </c>
      <c r="C132" s="13">
        <v>4</v>
      </c>
      <c r="D132" s="13" t="s">
        <v>73</v>
      </c>
      <c r="E132" s="13" t="s">
        <v>74</v>
      </c>
      <c r="F132" s="13" t="s">
        <v>55</v>
      </c>
      <c r="G132" s="19">
        <v>4014.4631944082598</v>
      </c>
      <c r="H132" s="13" t="s">
        <v>84</v>
      </c>
      <c r="I132" s="13" t="s">
        <v>85</v>
      </c>
      <c r="J132" s="21" t="str">
        <f>_xlfn.XLOOKUP(F132,'04_Account_Mapping'!$A$6:$A$14,'04_Account_Mapping'!$C$6:$C$14,"Unmapped",0)</f>
        <v>Revenue</v>
      </c>
      <c r="K132" s="21" t="str">
        <f>_xlfn.XLOOKUP(F132,'04_Account_Mapping'!$A$6:$A$14,'04_Account_Mapping'!$D$6:$D$14,"Unmapped",0)</f>
        <v>Income</v>
      </c>
    </row>
    <row r="133" spans="1:11">
      <c r="A133" s="16">
        <v>45748</v>
      </c>
      <c r="B133" s="13">
        <v>2025</v>
      </c>
      <c r="C133" s="13">
        <v>4</v>
      </c>
      <c r="D133" s="13" t="s">
        <v>73</v>
      </c>
      <c r="E133" s="13" t="s">
        <v>74</v>
      </c>
      <c r="F133" s="13" t="s">
        <v>58</v>
      </c>
      <c r="G133" s="19">
        <v>-3195.445795029068</v>
      </c>
      <c r="H133" s="13" t="s">
        <v>84</v>
      </c>
      <c r="I133" s="13" t="s">
        <v>85</v>
      </c>
      <c r="J133" s="21" t="str">
        <f>_xlfn.XLOOKUP(F133,'04_Account_Mapping'!$A$6:$A$14,'04_Account_Mapping'!$C$6:$C$14,"Unmapped",0)</f>
        <v>COGS</v>
      </c>
      <c r="K133" s="21" t="str">
        <f>_xlfn.XLOOKUP(F133,'04_Account_Mapping'!$A$6:$A$14,'04_Account_Mapping'!$D$6:$D$14,"Unmapped",0)</f>
        <v>Expense</v>
      </c>
    </row>
    <row r="134" spans="1:11">
      <c r="A134" s="16">
        <v>45748</v>
      </c>
      <c r="B134" s="13">
        <v>2025</v>
      </c>
      <c r="C134" s="13">
        <v>4</v>
      </c>
      <c r="D134" s="13" t="s">
        <v>73</v>
      </c>
      <c r="E134" s="13" t="s">
        <v>74</v>
      </c>
      <c r="F134" s="13" t="s">
        <v>60</v>
      </c>
      <c r="G134" s="19">
        <v>-570.05377360597288</v>
      </c>
      <c r="H134" s="13" t="s">
        <v>84</v>
      </c>
      <c r="I134" s="13" t="s">
        <v>85</v>
      </c>
      <c r="J134" s="21" t="str">
        <f>_xlfn.XLOOKUP(F134,'04_Account_Mapping'!$A$6:$A$14,'04_Account_Mapping'!$C$6:$C$14,"Unmapped",0)</f>
        <v>Selling Expense</v>
      </c>
      <c r="K134" s="21" t="str">
        <f>_xlfn.XLOOKUP(F134,'04_Account_Mapping'!$A$6:$A$14,'04_Account_Mapping'!$D$6:$D$14,"Unmapped",0)</f>
        <v>Expense</v>
      </c>
    </row>
    <row r="135" spans="1:11">
      <c r="A135" s="16">
        <v>45748</v>
      </c>
      <c r="B135" s="13">
        <v>2025</v>
      </c>
      <c r="C135" s="13">
        <v>4</v>
      </c>
      <c r="D135" s="13" t="s">
        <v>73</v>
      </c>
      <c r="E135" s="13" t="s">
        <v>74</v>
      </c>
      <c r="F135" s="13" t="s">
        <v>61</v>
      </c>
      <c r="G135" s="19">
        <v>-108.39050624902302</v>
      </c>
      <c r="H135" s="13" t="s">
        <v>84</v>
      </c>
      <c r="I135" s="13" t="s">
        <v>85</v>
      </c>
      <c r="J135" s="21" t="str">
        <f>_xlfn.XLOOKUP(F135,'04_Account_Mapping'!$A$6:$A$14,'04_Account_Mapping'!$C$6:$C$14,"Unmapped",0)</f>
        <v>G&amp;A</v>
      </c>
      <c r="K135" s="21" t="str">
        <f>_xlfn.XLOOKUP(F135,'04_Account_Mapping'!$A$6:$A$14,'04_Account_Mapping'!$D$6:$D$14,"Unmapped",0)</f>
        <v>Expense</v>
      </c>
    </row>
    <row r="136" spans="1:11">
      <c r="A136" s="16">
        <v>45748</v>
      </c>
      <c r="B136" s="13">
        <v>2025</v>
      </c>
      <c r="C136" s="13">
        <v>4</v>
      </c>
      <c r="D136" s="13" t="s">
        <v>73</v>
      </c>
      <c r="E136" s="13" t="s">
        <v>74</v>
      </c>
      <c r="F136" s="13" t="s">
        <v>62</v>
      </c>
      <c r="G136" s="19">
        <v>60.2169479161239</v>
      </c>
      <c r="H136" s="13" t="s">
        <v>84</v>
      </c>
      <c r="I136" s="13" t="s">
        <v>85</v>
      </c>
      <c r="J136" s="21" t="str">
        <f>_xlfn.XLOOKUP(F136,'04_Account_Mapping'!$A$6:$A$14,'04_Account_Mapping'!$C$6:$C$14,"Unmapped",0)</f>
        <v>Finance Income</v>
      </c>
      <c r="K136" s="21" t="str">
        <f>_xlfn.XLOOKUP(F136,'04_Account_Mapping'!$A$6:$A$14,'04_Account_Mapping'!$D$6:$D$14,"Unmapped",0)</f>
        <v>Income</v>
      </c>
    </row>
    <row r="137" spans="1:11">
      <c r="A137" s="16">
        <v>45748</v>
      </c>
      <c r="B137" s="13">
        <v>2025</v>
      </c>
      <c r="C137" s="13">
        <v>4</v>
      </c>
      <c r="D137" s="13" t="s">
        <v>73</v>
      </c>
      <c r="E137" s="13" t="s">
        <v>74</v>
      </c>
      <c r="F137" s="13" t="s">
        <v>63</v>
      </c>
      <c r="G137" s="19">
        <v>-32.115705555266082</v>
      </c>
      <c r="H137" s="13" t="s">
        <v>84</v>
      </c>
      <c r="I137" s="13" t="s">
        <v>85</v>
      </c>
      <c r="J137" s="21" t="str">
        <f>_xlfn.XLOOKUP(F137,'04_Account_Mapping'!$A$6:$A$14,'04_Account_Mapping'!$C$6:$C$14,"Unmapped",0)</f>
        <v>Finance Expense</v>
      </c>
      <c r="K137" s="21" t="str">
        <f>_xlfn.XLOOKUP(F137,'04_Account_Mapping'!$A$6:$A$14,'04_Account_Mapping'!$D$6:$D$14,"Unmapped",0)</f>
        <v>Expense</v>
      </c>
    </row>
    <row r="138" spans="1:11">
      <c r="A138" s="16">
        <v>45748</v>
      </c>
      <c r="B138" s="13">
        <v>2025</v>
      </c>
      <c r="C138" s="13">
        <v>4</v>
      </c>
      <c r="D138" s="13" t="s">
        <v>73</v>
      </c>
      <c r="E138" s="13" t="s">
        <v>74</v>
      </c>
      <c r="F138" s="13" t="s">
        <v>64</v>
      </c>
      <c r="G138" s="19">
        <v>0</v>
      </c>
      <c r="H138" s="13" t="s">
        <v>84</v>
      </c>
      <c r="I138" s="13" t="s">
        <v>85</v>
      </c>
      <c r="J138" s="21" t="str">
        <f>_xlfn.XLOOKUP(F138,'04_Account_Mapping'!$A$6:$A$14,'04_Account_Mapping'!$C$6:$C$14,"Unmapped",0)</f>
        <v>JV Profit/(Loss)</v>
      </c>
      <c r="K138" s="21" t="str">
        <f>_xlfn.XLOOKUP(F138,'04_Account_Mapping'!$A$6:$A$14,'04_Account_Mapping'!$D$6:$D$14,"Unmapped",0)</f>
        <v>Income</v>
      </c>
    </row>
    <row r="139" spans="1:11">
      <c r="A139" s="16">
        <v>45748</v>
      </c>
      <c r="B139" s="13">
        <v>2025</v>
      </c>
      <c r="C139" s="13">
        <v>4</v>
      </c>
      <c r="D139" s="13" t="s">
        <v>73</v>
      </c>
      <c r="E139" s="13" t="s">
        <v>74</v>
      </c>
      <c r="F139" s="13" t="s">
        <v>65</v>
      </c>
      <c r="G139" s="19">
        <v>-6.4231411110532157</v>
      </c>
      <c r="H139" s="13" t="s">
        <v>84</v>
      </c>
      <c r="I139" s="13" t="s">
        <v>85</v>
      </c>
      <c r="J139" s="21" t="str">
        <f>_xlfn.XLOOKUP(F139,'04_Account_Mapping'!$A$6:$A$14,'04_Account_Mapping'!$C$6:$C$14,"Unmapped",0)</f>
        <v>Other Net</v>
      </c>
      <c r="K139" s="21" t="str">
        <f>_xlfn.XLOOKUP(F139,'04_Account_Mapping'!$A$6:$A$14,'04_Account_Mapping'!$D$6:$D$14,"Unmapped",0)</f>
        <v>Income</v>
      </c>
    </row>
    <row r="140" spans="1:11">
      <c r="A140" s="16">
        <v>45748</v>
      </c>
      <c r="B140" s="13">
        <v>2025</v>
      </c>
      <c r="C140" s="13">
        <v>4</v>
      </c>
      <c r="D140" s="13" t="s">
        <v>73</v>
      </c>
      <c r="E140" s="13" t="s">
        <v>74</v>
      </c>
      <c r="F140" s="13" t="s">
        <v>66</v>
      </c>
      <c r="G140" s="19">
        <v>-32.450244154800203</v>
      </c>
      <c r="H140" s="13" t="s">
        <v>84</v>
      </c>
      <c r="I140" s="13" t="s">
        <v>85</v>
      </c>
      <c r="J140" s="21" t="str">
        <f>_xlfn.XLOOKUP(F140,'04_Account_Mapping'!$A$6:$A$14,'04_Account_Mapping'!$C$6:$C$14,"Unmapped",0)</f>
        <v>Tax Expense</v>
      </c>
      <c r="K140" s="21" t="str">
        <f>_xlfn.XLOOKUP(F140,'04_Account_Mapping'!$A$6:$A$14,'04_Account_Mapping'!$D$6:$D$14,"Unmapped",0)</f>
        <v>Expense</v>
      </c>
    </row>
    <row r="141" spans="1:11">
      <c r="A141" s="16">
        <v>45748</v>
      </c>
      <c r="B141" s="13">
        <v>2025</v>
      </c>
      <c r="C141" s="13">
        <v>4</v>
      </c>
      <c r="D141" s="13" t="s">
        <v>75</v>
      </c>
      <c r="E141" s="13" t="s">
        <v>76</v>
      </c>
      <c r="F141" s="13" t="s">
        <v>55</v>
      </c>
      <c r="G141" s="19">
        <v>647.49406361423553</v>
      </c>
      <c r="H141" s="13" t="s">
        <v>84</v>
      </c>
      <c r="I141" s="13" t="s">
        <v>85</v>
      </c>
      <c r="J141" s="21" t="str">
        <f>_xlfn.XLOOKUP(F141,'04_Account_Mapping'!$A$6:$A$14,'04_Account_Mapping'!$C$6:$C$14,"Unmapped",0)</f>
        <v>Revenue</v>
      </c>
      <c r="K141" s="21" t="str">
        <f>_xlfn.XLOOKUP(F141,'04_Account_Mapping'!$A$6:$A$14,'04_Account_Mapping'!$D$6:$D$14,"Unmapped",0)</f>
        <v>Income</v>
      </c>
    </row>
    <row r="142" spans="1:11">
      <c r="A142" s="16">
        <v>45748</v>
      </c>
      <c r="B142" s="13">
        <v>2025</v>
      </c>
      <c r="C142" s="13">
        <v>4</v>
      </c>
      <c r="D142" s="13" t="s">
        <v>75</v>
      </c>
      <c r="E142" s="13" t="s">
        <v>76</v>
      </c>
      <c r="F142" s="13" t="s">
        <v>58</v>
      </c>
      <c r="G142" s="19">
        <v>-515.39448306920451</v>
      </c>
      <c r="H142" s="13" t="s">
        <v>84</v>
      </c>
      <c r="I142" s="13" t="s">
        <v>85</v>
      </c>
      <c r="J142" s="21" t="str">
        <f>_xlfn.XLOOKUP(F142,'04_Account_Mapping'!$A$6:$A$14,'04_Account_Mapping'!$C$6:$C$14,"Unmapped",0)</f>
        <v>COGS</v>
      </c>
      <c r="K142" s="21" t="str">
        <f>_xlfn.XLOOKUP(F142,'04_Account_Mapping'!$A$6:$A$14,'04_Account_Mapping'!$D$6:$D$14,"Unmapped",0)</f>
        <v>Expense</v>
      </c>
    </row>
    <row r="143" spans="1:11">
      <c r="A143" s="16">
        <v>45748</v>
      </c>
      <c r="B143" s="13">
        <v>2025</v>
      </c>
      <c r="C143" s="13">
        <v>4</v>
      </c>
      <c r="D143" s="13" t="s">
        <v>75</v>
      </c>
      <c r="E143" s="13" t="s">
        <v>76</v>
      </c>
      <c r="F143" s="13" t="s">
        <v>60</v>
      </c>
      <c r="G143" s="19">
        <v>-91.94415703322143</v>
      </c>
      <c r="H143" s="13" t="s">
        <v>84</v>
      </c>
      <c r="I143" s="13" t="s">
        <v>85</v>
      </c>
      <c r="J143" s="21" t="str">
        <f>_xlfn.XLOOKUP(F143,'04_Account_Mapping'!$A$6:$A$14,'04_Account_Mapping'!$C$6:$C$14,"Unmapped",0)</f>
        <v>Selling Expense</v>
      </c>
      <c r="K143" s="21" t="str">
        <f>_xlfn.XLOOKUP(F143,'04_Account_Mapping'!$A$6:$A$14,'04_Account_Mapping'!$D$6:$D$14,"Unmapped",0)</f>
        <v>Expense</v>
      </c>
    </row>
    <row r="144" spans="1:11">
      <c r="A144" s="16">
        <v>45748</v>
      </c>
      <c r="B144" s="13">
        <v>2025</v>
      </c>
      <c r="C144" s="13">
        <v>4</v>
      </c>
      <c r="D144" s="13" t="s">
        <v>75</v>
      </c>
      <c r="E144" s="13" t="s">
        <v>76</v>
      </c>
      <c r="F144" s="13" t="s">
        <v>61</v>
      </c>
      <c r="G144" s="19">
        <v>-17.48233971758436</v>
      </c>
      <c r="H144" s="13" t="s">
        <v>84</v>
      </c>
      <c r="I144" s="13" t="s">
        <v>85</v>
      </c>
      <c r="J144" s="21" t="str">
        <f>_xlfn.XLOOKUP(F144,'04_Account_Mapping'!$A$6:$A$14,'04_Account_Mapping'!$C$6:$C$14,"Unmapped",0)</f>
        <v>G&amp;A</v>
      </c>
      <c r="K144" s="21" t="str">
        <f>_xlfn.XLOOKUP(F144,'04_Account_Mapping'!$A$6:$A$14,'04_Account_Mapping'!$D$6:$D$14,"Unmapped",0)</f>
        <v>Expense</v>
      </c>
    </row>
    <row r="145" spans="1:11">
      <c r="A145" s="16">
        <v>45748</v>
      </c>
      <c r="B145" s="13">
        <v>2025</v>
      </c>
      <c r="C145" s="13">
        <v>4</v>
      </c>
      <c r="D145" s="13" t="s">
        <v>75</v>
      </c>
      <c r="E145" s="13" t="s">
        <v>76</v>
      </c>
      <c r="F145" s="13" t="s">
        <v>62</v>
      </c>
      <c r="G145" s="19">
        <v>9.7124109542135333</v>
      </c>
      <c r="H145" s="13" t="s">
        <v>84</v>
      </c>
      <c r="I145" s="13" t="s">
        <v>85</v>
      </c>
      <c r="J145" s="21" t="str">
        <f>_xlfn.XLOOKUP(F145,'04_Account_Mapping'!$A$6:$A$14,'04_Account_Mapping'!$C$6:$C$14,"Unmapped",0)</f>
        <v>Finance Income</v>
      </c>
      <c r="K145" s="21" t="str">
        <f>_xlfn.XLOOKUP(F145,'04_Account_Mapping'!$A$6:$A$14,'04_Account_Mapping'!$D$6:$D$14,"Unmapped",0)</f>
        <v>Income</v>
      </c>
    </row>
    <row r="146" spans="1:11">
      <c r="A146" s="16">
        <v>45748</v>
      </c>
      <c r="B146" s="13">
        <v>2025</v>
      </c>
      <c r="C146" s="13">
        <v>4</v>
      </c>
      <c r="D146" s="13" t="s">
        <v>75</v>
      </c>
      <c r="E146" s="13" t="s">
        <v>76</v>
      </c>
      <c r="F146" s="13" t="s">
        <v>63</v>
      </c>
      <c r="G146" s="19">
        <v>-5.1799525089138845</v>
      </c>
      <c r="H146" s="13" t="s">
        <v>84</v>
      </c>
      <c r="I146" s="13" t="s">
        <v>85</v>
      </c>
      <c r="J146" s="21" t="str">
        <f>_xlfn.XLOOKUP(F146,'04_Account_Mapping'!$A$6:$A$14,'04_Account_Mapping'!$C$6:$C$14,"Unmapped",0)</f>
        <v>Finance Expense</v>
      </c>
      <c r="K146" s="21" t="str">
        <f>_xlfn.XLOOKUP(F146,'04_Account_Mapping'!$A$6:$A$14,'04_Account_Mapping'!$D$6:$D$14,"Unmapped",0)</f>
        <v>Expense</v>
      </c>
    </row>
    <row r="147" spans="1:11">
      <c r="A147" s="16">
        <v>45748</v>
      </c>
      <c r="B147" s="13">
        <v>2025</v>
      </c>
      <c r="C147" s="13">
        <v>4</v>
      </c>
      <c r="D147" s="13" t="s">
        <v>75</v>
      </c>
      <c r="E147" s="13" t="s">
        <v>76</v>
      </c>
      <c r="F147" s="13" t="s">
        <v>64</v>
      </c>
      <c r="G147" s="19">
        <v>0</v>
      </c>
      <c r="H147" s="13" t="s">
        <v>84</v>
      </c>
      <c r="I147" s="13" t="s">
        <v>85</v>
      </c>
      <c r="J147" s="21" t="str">
        <f>_xlfn.XLOOKUP(F147,'04_Account_Mapping'!$A$6:$A$14,'04_Account_Mapping'!$C$6:$C$14,"Unmapped",0)</f>
        <v>JV Profit/(Loss)</v>
      </c>
      <c r="K147" s="21" t="str">
        <f>_xlfn.XLOOKUP(F147,'04_Account_Mapping'!$A$6:$A$14,'04_Account_Mapping'!$D$6:$D$14,"Unmapped",0)</f>
        <v>Income</v>
      </c>
    </row>
    <row r="148" spans="1:11">
      <c r="A148" s="16">
        <v>45748</v>
      </c>
      <c r="B148" s="13">
        <v>2025</v>
      </c>
      <c r="C148" s="13">
        <v>4</v>
      </c>
      <c r="D148" s="13" t="s">
        <v>75</v>
      </c>
      <c r="E148" s="13" t="s">
        <v>76</v>
      </c>
      <c r="F148" s="13" t="s">
        <v>65</v>
      </c>
      <c r="G148" s="19">
        <v>-1.0359905017827769</v>
      </c>
      <c r="H148" s="13" t="s">
        <v>84</v>
      </c>
      <c r="I148" s="13" t="s">
        <v>85</v>
      </c>
      <c r="J148" s="21" t="str">
        <f>_xlfn.XLOOKUP(F148,'04_Account_Mapping'!$A$6:$A$14,'04_Account_Mapping'!$C$6:$C$14,"Unmapped",0)</f>
        <v>Other Net</v>
      </c>
      <c r="K148" s="21" t="str">
        <f>_xlfn.XLOOKUP(F148,'04_Account_Mapping'!$A$6:$A$14,'04_Account_Mapping'!$D$6:$D$14,"Unmapped",0)</f>
        <v>Income</v>
      </c>
    </row>
    <row r="149" spans="1:11">
      <c r="A149" s="16">
        <v>45748</v>
      </c>
      <c r="B149" s="13">
        <v>2025</v>
      </c>
      <c r="C149" s="13">
        <v>4</v>
      </c>
      <c r="D149" s="13" t="s">
        <v>75</v>
      </c>
      <c r="E149" s="13" t="s">
        <v>76</v>
      </c>
      <c r="F149" s="13" t="s">
        <v>66</v>
      </c>
      <c r="G149" s="19">
        <v>-5.2339103475484192</v>
      </c>
      <c r="H149" s="13" t="s">
        <v>84</v>
      </c>
      <c r="I149" s="13" t="s">
        <v>85</v>
      </c>
      <c r="J149" s="21" t="str">
        <f>_xlfn.XLOOKUP(F149,'04_Account_Mapping'!$A$6:$A$14,'04_Account_Mapping'!$C$6:$C$14,"Unmapped",0)</f>
        <v>Tax Expense</v>
      </c>
      <c r="K149" s="21" t="str">
        <f>_xlfn.XLOOKUP(F149,'04_Account_Mapping'!$A$6:$A$14,'04_Account_Mapping'!$D$6:$D$14,"Unmapped",0)</f>
        <v>Expense</v>
      </c>
    </row>
    <row r="150" spans="1:11">
      <c r="A150" s="16">
        <v>45778</v>
      </c>
      <c r="B150" s="13">
        <v>2025</v>
      </c>
      <c r="C150" s="13">
        <v>5</v>
      </c>
      <c r="D150" s="13" t="s">
        <v>67</v>
      </c>
      <c r="E150" s="13" t="s">
        <v>68</v>
      </c>
      <c r="F150" s="13" t="s">
        <v>55</v>
      </c>
      <c r="G150" s="19">
        <v>2751.4533909975362</v>
      </c>
      <c r="H150" s="13" t="s">
        <v>84</v>
      </c>
      <c r="I150" s="13" t="s">
        <v>85</v>
      </c>
      <c r="J150" s="21" t="str">
        <f>_xlfn.XLOOKUP(F150,'04_Account_Mapping'!$A$6:$A$14,'04_Account_Mapping'!$C$6:$C$14,"Unmapped",0)</f>
        <v>Revenue</v>
      </c>
      <c r="K150" s="21" t="str">
        <f>_xlfn.XLOOKUP(F150,'04_Account_Mapping'!$A$6:$A$14,'04_Account_Mapping'!$D$6:$D$14,"Unmapped",0)</f>
        <v>Income</v>
      </c>
    </row>
    <row r="151" spans="1:11">
      <c r="A151" s="16">
        <v>45778</v>
      </c>
      <c r="B151" s="13">
        <v>2025</v>
      </c>
      <c r="C151" s="13">
        <v>5</v>
      </c>
      <c r="D151" s="13" t="s">
        <v>67</v>
      </c>
      <c r="E151" s="13" t="s">
        <v>68</v>
      </c>
      <c r="F151" s="13" t="s">
        <v>58</v>
      </c>
      <c r="G151" s="19">
        <v>-2190.1110416775223</v>
      </c>
      <c r="H151" s="13" t="s">
        <v>84</v>
      </c>
      <c r="I151" s="13" t="s">
        <v>85</v>
      </c>
      <c r="J151" s="21" t="str">
        <f>_xlfn.XLOOKUP(F151,'04_Account_Mapping'!$A$6:$A$14,'04_Account_Mapping'!$C$6:$C$14,"Unmapped",0)</f>
        <v>COGS</v>
      </c>
      <c r="K151" s="21" t="str">
        <f>_xlfn.XLOOKUP(F151,'04_Account_Mapping'!$A$6:$A$14,'04_Account_Mapping'!$D$6:$D$14,"Unmapped",0)</f>
        <v>Expense</v>
      </c>
    </row>
    <row r="152" spans="1:11">
      <c r="A152" s="16">
        <v>45778</v>
      </c>
      <c r="B152" s="13">
        <v>2025</v>
      </c>
      <c r="C152" s="13">
        <v>5</v>
      </c>
      <c r="D152" s="13" t="s">
        <v>67</v>
      </c>
      <c r="E152" s="13" t="s">
        <v>68</v>
      </c>
      <c r="F152" s="13" t="s">
        <v>60</v>
      </c>
      <c r="G152" s="19">
        <v>-390.70638152165009</v>
      </c>
      <c r="H152" s="13" t="s">
        <v>84</v>
      </c>
      <c r="I152" s="13" t="s">
        <v>85</v>
      </c>
      <c r="J152" s="21" t="str">
        <f>_xlfn.XLOOKUP(F152,'04_Account_Mapping'!$A$6:$A$14,'04_Account_Mapping'!$C$6:$C$14,"Unmapped",0)</f>
        <v>Selling Expense</v>
      </c>
      <c r="K152" s="21" t="str">
        <f>_xlfn.XLOOKUP(F152,'04_Account_Mapping'!$A$6:$A$14,'04_Account_Mapping'!$D$6:$D$14,"Unmapped",0)</f>
        <v>Expense</v>
      </c>
    </row>
    <row r="153" spans="1:11">
      <c r="A153" s="16">
        <v>45778</v>
      </c>
      <c r="B153" s="13">
        <v>2025</v>
      </c>
      <c r="C153" s="13">
        <v>5</v>
      </c>
      <c r="D153" s="13" t="s">
        <v>67</v>
      </c>
      <c r="E153" s="13" t="s">
        <v>68</v>
      </c>
      <c r="F153" s="13" t="s">
        <v>61</v>
      </c>
      <c r="G153" s="19">
        <v>-74.289241556933476</v>
      </c>
      <c r="H153" s="13" t="s">
        <v>84</v>
      </c>
      <c r="I153" s="13" t="s">
        <v>85</v>
      </c>
      <c r="J153" s="21" t="str">
        <f>_xlfn.XLOOKUP(F153,'04_Account_Mapping'!$A$6:$A$14,'04_Account_Mapping'!$C$6:$C$14,"Unmapped",0)</f>
        <v>G&amp;A</v>
      </c>
      <c r="K153" s="21" t="str">
        <f>_xlfn.XLOOKUP(F153,'04_Account_Mapping'!$A$6:$A$14,'04_Account_Mapping'!$D$6:$D$14,"Unmapped",0)</f>
        <v>Expense</v>
      </c>
    </row>
    <row r="154" spans="1:11">
      <c r="A154" s="16">
        <v>45778</v>
      </c>
      <c r="B154" s="13">
        <v>2025</v>
      </c>
      <c r="C154" s="13">
        <v>5</v>
      </c>
      <c r="D154" s="13" t="s">
        <v>67</v>
      </c>
      <c r="E154" s="13" t="s">
        <v>68</v>
      </c>
      <c r="F154" s="13" t="s">
        <v>62</v>
      </c>
      <c r="G154" s="19">
        <v>41.271800864963041</v>
      </c>
      <c r="H154" s="13" t="s">
        <v>84</v>
      </c>
      <c r="I154" s="13" t="s">
        <v>85</v>
      </c>
      <c r="J154" s="21" t="str">
        <f>_xlfn.XLOOKUP(F154,'04_Account_Mapping'!$A$6:$A$14,'04_Account_Mapping'!$C$6:$C$14,"Unmapped",0)</f>
        <v>Finance Income</v>
      </c>
      <c r="K154" s="21" t="str">
        <f>_xlfn.XLOOKUP(F154,'04_Account_Mapping'!$A$6:$A$14,'04_Account_Mapping'!$D$6:$D$14,"Unmapped",0)</f>
        <v>Income</v>
      </c>
    </row>
    <row r="155" spans="1:11">
      <c r="A155" s="16">
        <v>45778</v>
      </c>
      <c r="B155" s="13">
        <v>2025</v>
      </c>
      <c r="C155" s="13">
        <v>5</v>
      </c>
      <c r="D155" s="13" t="s">
        <v>67</v>
      </c>
      <c r="E155" s="13" t="s">
        <v>68</v>
      </c>
      <c r="F155" s="13" t="s">
        <v>63</v>
      </c>
      <c r="G155" s="19">
        <v>-22.01162712798029</v>
      </c>
      <c r="H155" s="13" t="s">
        <v>84</v>
      </c>
      <c r="I155" s="13" t="s">
        <v>85</v>
      </c>
      <c r="J155" s="21" t="str">
        <f>_xlfn.XLOOKUP(F155,'04_Account_Mapping'!$A$6:$A$14,'04_Account_Mapping'!$C$6:$C$14,"Unmapped",0)</f>
        <v>Finance Expense</v>
      </c>
      <c r="K155" s="21" t="str">
        <f>_xlfn.XLOOKUP(F155,'04_Account_Mapping'!$A$6:$A$14,'04_Account_Mapping'!$D$6:$D$14,"Unmapped",0)</f>
        <v>Expense</v>
      </c>
    </row>
    <row r="156" spans="1:11">
      <c r="A156" s="16">
        <v>45778</v>
      </c>
      <c r="B156" s="13">
        <v>2025</v>
      </c>
      <c r="C156" s="13">
        <v>5</v>
      </c>
      <c r="D156" s="13" t="s">
        <v>67</v>
      </c>
      <c r="E156" s="13" t="s">
        <v>68</v>
      </c>
      <c r="F156" s="13" t="s">
        <v>64</v>
      </c>
      <c r="G156" s="19">
        <v>0</v>
      </c>
      <c r="H156" s="13" t="s">
        <v>84</v>
      </c>
      <c r="I156" s="13" t="s">
        <v>85</v>
      </c>
      <c r="J156" s="21" t="str">
        <f>_xlfn.XLOOKUP(F156,'04_Account_Mapping'!$A$6:$A$14,'04_Account_Mapping'!$C$6:$C$14,"Unmapped",0)</f>
        <v>JV Profit/(Loss)</v>
      </c>
      <c r="K156" s="21" t="str">
        <f>_xlfn.XLOOKUP(F156,'04_Account_Mapping'!$A$6:$A$14,'04_Account_Mapping'!$D$6:$D$14,"Unmapped",0)</f>
        <v>Income</v>
      </c>
    </row>
    <row r="157" spans="1:11">
      <c r="A157" s="16">
        <v>45778</v>
      </c>
      <c r="B157" s="13">
        <v>2025</v>
      </c>
      <c r="C157" s="13">
        <v>5</v>
      </c>
      <c r="D157" s="13" t="s">
        <v>67</v>
      </c>
      <c r="E157" s="13" t="s">
        <v>68</v>
      </c>
      <c r="F157" s="13" t="s">
        <v>65</v>
      </c>
      <c r="G157" s="19">
        <v>-4.4023254255960582</v>
      </c>
      <c r="H157" s="13" t="s">
        <v>84</v>
      </c>
      <c r="I157" s="13" t="s">
        <v>85</v>
      </c>
      <c r="J157" s="21" t="str">
        <f>_xlfn.XLOOKUP(F157,'04_Account_Mapping'!$A$6:$A$14,'04_Account_Mapping'!$C$6:$C$14,"Unmapped",0)</f>
        <v>Other Net</v>
      </c>
      <c r="K157" s="21" t="str">
        <f>_xlfn.XLOOKUP(F157,'04_Account_Mapping'!$A$6:$A$14,'04_Account_Mapping'!$D$6:$D$14,"Unmapped",0)</f>
        <v>Income</v>
      </c>
    </row>
    <row r="158" spans="1:11">
      <c r="A158" s="16">
        <v>45778</v>
      </c>
      <c r="B158" s="13">
        <v>2025</v>
      </c>
      <c r="C158" s="13">
        <v>5</v>
      </c>
      <c r="D158" s="13" t="s">
        <v>67</v>
      </c>
      <c r="E158" s="13" t="s">
        <v>68</v>
      </c>
      <c r="F158" s="13" t="s">
        <v>66</v>
      </c>
      <c r="G158" s="19">
        <v>-22.240914910563482</v>
      </c>
      <c r="H158" s="13" t="s">
        <v>84</v>
      </c>
      <c r="I158" s="13" t="s">
        <v>85</v>
      </c>
      <c r="J158" s="21" t="str">
        <f>_xlfn.XLOOKUP(F158,'04_Account_Mapping'!$A$6:$A$14,'04_Account_Mapping'!$C$6:$C$14,"Unmapped",0)</f>
        <v>Tax Expense</v>
      </c>
      <c r="K158" s="21" t="str">
        <f>_xlfn.XLOOKUP(F158,'04_Account_Mapping'!$A$6:$A$14,'04_Account_Mapping'!$D$6:$D$14,"Unmapped",0)</f>
        <v>Expense</v>
      </c>
    </row>
    <row r="159" spans="1:11">
      <c r="A159" s="16">
        <v>45778</v>
      </c>
      <c r="B159" s="13">
        <v>2025</v>
      </c>
      <c r="C159" s="13">
        <v>5</v>
      </c>
      <c r="D159" s="13" t="s">
        <v>72</v>
      </c>
      <c r="E159" s="13" t="s">
        <v>68</v>
      </c>
      <c r="F159" s="13" t="s">
        <v>55</v>
      </c>
      <c r="G159" s="19">
        <v>5252.7746555407502</v>
      </c>
      <c r="H159" s="13" t="s">
        <v>84</v>
      </c>
      <c r="I159" s="13" t="s">
        <v>85</v>
      </c>
      <c r="J159" s="21" t="str">
        <f>_xlfn.XLOOKUP(F159,'04_Account_Mapping'!$A$6:$A$14,'04_Account_Mapping'!$C$6:$C$14,"Unmapped",0)</f>
        <v>Revenue</v>
      </c>
      <c r="K159" s="21" t="str">
        <f>_xlfn.XLOOKUP(F159,'04_Account_Mapping'!$A$6:$A$14,'04_Account_Mapping'!$D$6:$D$14,"Unmapped",0)</f>
        <v>Income</v>
      </c>
    </row>
    <row r="160" spans="1:11">
      <c r="A160" s="16">
        <v>45778</v>
      </c>
      <c r="B160" s="13">
        <v>2025</v>
      </c>
      <c r="C160" s="13">
        <v>5</v>
      </c>
      <c r="D160" s="13" t="s">
        <v>72</v>
      </c>
      <c r="E160" s="13" t="s">
        <v>68</v>
      </c>
      <c r="F160" s="13" t="s">
        <v>58</v>
      </c>
      <c r="G160" s="19">
        <v>-4181.1210795661782</v>
      </c>
      <c r="H160" s="13" t="s">
        <v>84</v>
      </c>
      <c r="I160" s="13" t="s">
        <v>85</v>
      </c>
      <c r="J160" s="21" t="str">
        <f>_xlfn.XLOOKUP(F160,'04_Account_Mapping'!$A$6:$A$14,'04_Account_Mapping'!$C$6:$C$14,"Unmapped",0)</f>
        <v>COGS</v>
      </c>
      <c r="K160" s="21" t="str">
        <f>_xlfn.XLOOKUP(F160,'04_Account_Mapping'!$A$6:$A$14,'04_Account_Mapping'!$D$6:$D$14,"Unmapped",0)</f>
        <v>Expense</v>
      </c>
    </row>
    <row r="161" spans="1:11">
      <c r="A161" s="16">
        <v>45778</v>
      </c>
      <c r="B161" s="13">
        <v>2025</v>
      </c>
      <c r="C161" s="13">
        <v>5</v>
      </c>
      <c r="D161" s="13" t="s">
        <v>72</v>
      </c>
      <c r="E161" s="13" t="s">
        <v>68</v>
      </c>
      <c r="F161" s="13" t="s">
        <v>60</v>
      </c>
      <c r="G161" s="19">
        <v>-745.89400108678649</v>
      </c>
      <c r="H161" s="13" t="s">
        <v>84</v>
      </c>
      <c r="I161" s="13" t="s">
        <v>85</v>
      </c>
      <c r="J161" s="21" t="str">
        <f>_xlfn.XLOOKUP(F161,'04_Account_Mapping'!$A$6:$A$14,'04_Account_Mapping'!$C$6:$C$14,"Unmapped",0)</f>
        <v>Selling Expense</v>
      </c>
      <c r="K161" s="21" t="str">
        <f>_xlfn.XLOOKUP(F161,'04_Account_Mapping'!$A$6:$A$14,'04_Account_Mapping'!$D$6:$D$14,"Unmapped",0)</f>
        <v>Expense</v>
      </c>
    </row>
    <row r="162" spans="1:11">
      <c r="A162" s="16">
        <v>45778</v>
      </c>
      <c r="B162" s="13">
        <v>2025</v>
      </c>
      <c r="C162" s="13">
        <v>5</v>
      </c>
      <c r="D162" s="13" t="s">
        <v>72</v>
      </c>
      <c r="E162" s="13" t="s">
        <v>68</v>
      </c>
      <c r="F162" s="13" t="s">
        <v>61</v>
      </c>
      <c r="G162" s="19">
        <v>-141.82491569960027</v>
      </c>
      <c r="H162" s="13" t="s">
        <v>84</v>
      </c>
      <c r="I162" s="13" t="s">
        <v>85</v>
      </c>
      <c r="J162" s="21" t="str">
        <f>_xlfn.XLOOKUP(F162,'04_Account_Mapping'!$A$6:$A$14,'04_Account_Mapping'!$C$6:$C$14,"Unmapped",0)</f>
        <v>G&amp;A</v>
      </c>
      <c r="K162" s="21" t="str">
        <f>_xlfn.XLOOKUP(F162,'04_Account_Mapping'!$A$6:$A$14,'04_Account_Mapping'!$D$6:$D$14,"Unmapped",0)</f>
        <v>Expense</v>
      </c>
    </row>
    <row r="163" spans="1:11">
      <c r="A163" s="16">
        <v>45778</v>
      </c>
      <c r="B163" s="13">
        <v>2025</v>
      </c>
      <c r="C163" s="13">
        <v>5</v>
      </c>
      <c r="D163" s="13" t="s">
        <v>72</v>
      </c>
      <c r="E163" s="13" t="s">
        <v>68</v>
      </c>
      <c r="F163" s="13" t="s">
        <v>62</v>
      </c>
      <c r="G163" s="19">
        <v>78.791619833111255</v>
      </c>
      <c r="H163" s="13" t="s">
        <v>84</v>
      </c>
      <c r="I163" s="13" t="s">
        <v>85</v>
      </c>
      <c r="J163" s="21" t="str">
        <f>_xlfn.XLOOKUP(F163,'04_Account_Mapping'!$A$6:$A$14,'04_Account_Mapping'!$C$6:$C$14,"Unmapped",0)</f>
        <v>Finance Income</v>
      </c>
      <c r="K163" s="21" t="str">
        <f>_xlfn.XLOOKUP(F163,'04_Account_Mapping'!$A$6:$A$14,'04_Account_Mapping'!$D$6:$D$14,"Unmapped",0)</f>
        <v>Income</v>
      </c>
    </row>
    <row r="164" spans="1:11">
      <c r="A164" s="16">
        <v>45778</v>
      </c>
      <c r="B164" s="13">
        <v>2025</v>
      </c>
      <c r="C164" s="13">
        <v>5</v>
      </c>
      <c r="D164" s="13" t="s">
        <v>72</v>
      </c>
      <c r="E164" s="13" t="s">
        <v>68</v>
      </c>
      <c r="F164" s="13" t="s">
        <v>63</v>
      </c>
      <c r="G164" s="19">
        <v>-42.022197244326001</v>
      </c>
      <c r="H164" s="13" t="s">
        <v>84</v>
      </c>
      <c r="I164" s="13" t="s">
        <v>85</v>
      </c>
      <c r="J164" s="21" t="str">
        <f>_xlfn.XLOOKUP(F164,'04_Account_Mapping'!$A$6:$A$14,'04_Account_Mapping'!$C$6:$C$14,"Unmapped",0)</f>
        <v>Finance Expense</v>
      </c>
      <c r="K164" s="21" t="str">
        <f>_xlfn.XLOOKUP(F164,'04_Account_Mapping'!$A$6:$A$14,'04_Account_Mapping'!$D$6:$D$14,"Unmapped",0)</f>
        <v>Expense</v>
      </c>
    </row>
    <row r="165" spans="1:11">
      <c r="A165" s="16">
        <v>45778</v>
      </c>
      <c r="B165" s="13">
        <v>2025</v>
      </c>
      <c r="C165" s="13">
        <v>5</v>
      </c>
      <c r="D165" s="13" t="s">
        <v>72</v>
      </c>
      <c r="E165" s="13" t="s">
        <v>68</v>
      </c>
      <c r="F165" s="13" t="s">
        <v>64</v>
      </c>
      <c r="G165" s="19">
        <v>0</v>
      </c>
      <c r="H165" s="13" t="s">
        <v>84</v>
      </c>
      <c r="I165" s="13" t="s">
        <v>85</v>
      </c>
      <c r="J165" s="21" t="str">
        <f>_xlfn.XLOOKUP(F165,'04_Account_Mapping'!$A$6:$A$14,'04_Account_Mapping'!$C$6:$C$14,"Unmapped",0)</f>
        <v>JV Profit/(Loss)</v>
      </c>
      <c r="K165" s="21" t="str">
        <f>_xlfn.XLOOKUP(F165,'04_Account_Mapping'!$A$6:$A$14,'04_Account_Mapping'!$D$6:$D$14,"Unmapped",0)</f>
        <v>Income</v>
      </c>
    </row>
    <row r="166" spans="1:11">
      <c r="A166" s="16">
        <v>45778</v>
      </c>
      <c r="B166" s="13">
        <v>2025</v>
      </c>
      <c r="C166" s="13">
        <v>5</v>
      </c>
      <c r="D166" s="13" t="s">
        <v>72</v>
      </c>
      <c r="E166" s="13" t="s">
        <v>68</v>
      </c>
      <c r="F166" s="13" t="s">
        <v>65</v>
      </c>
      <c r="G166" s="19">
        <v>-8.404439448865201</v>
      </c>
      <c r="H166" s="13" t="s">
        <v>84</v>
      </c>
      <c r="I166" s="13" t="s">
        <v>85</v>
      </c>
      <c r="J166" s="21" t="str">
        <f>_xlfn.XLOOKUP(F166,'04_Account_Mapping'!$A$6:$A$14,'04_Account_Mapping'!$C$6:$C$14,"Unmapped",0)</f>
        <v>Other Net</v>
      </c>
      <c r="K166" s="21" t="str">
        <f>_xlfn.XLOOKUP(F166,'04_Account_Mapping'!$A$6:$A$14,'04_Account_Mapping'!$D$6:$D$14,"Unmapped",0)</f>
        <v>Income</v>
      </c>
    </row>
    <row r="167" spans="1:11">
      <c r="A167" s="16">
        <v>45778</v>
      </c>
      <c r="B167" s="13">
        <v>2025</v>
      </c>
      <c r="C167" s="13">
        <v>5</v>
      </c>
      <c r="D167" s="13" t="s">
        <v>72</v>
      </c>
      <c r="E167" s="13" t="s">
        <v>68</v>
      </c>
      <c r="F167" s="13" t="s">
        <v>66</v>
      </c>
      <c r="G167" s="19">
        <v>-42.459928465621196</v>
      </c>
      <c r="H167" s="13" t="s">
        <v>84</v>
      </c>
      <c r="I167" s="13" t="s">
        <v>85</v>
      </c>
      <c r="J167" s="21" t="str">
        <f>_xlfn.XLOOKUP(F167,'04_Account_Mapping'!$A$6:$A$14,'04_Account_Mapping'!$C$6:$C$14,"Unmapped",0)</f>
        <v>Tax Expense</v>
      </c>
      <c r="K167" s="21" t="str">
        <f>_xlfn.XLOOKUP(F167,'04_Account_Mapping'!$A$6:$A$14,'04_Account_Mapping'!$D$6:$D$14,"Unmapped",0)</f>
        <v>Expense</v>
      </c>
    </row>
    <row r="168" spans="1:11">
      <c r="A168" s="16">
        <v>45778</v>
      </c>
      <c r="B168" s="13">
        <v>2025</v>
      </c>
      <c r="C168" s="13">
        <v>5</v>
      </c>
      <c r="D168" s="13" t="s">
        <v>73</v>
      </c>
      <c r="E168" s="13" t="s">
        <v>74</v>
      </c>
      <c r="F168" s="13" t="s">
        <v>55</v>
      </c>
      <c r="G168" s="19">
        <v>3877.0479600419826</v>
      </c>
      <c r="H168" s="13" t="s">
        <v>84</v>
      </c>
      <c r="I168" s="13" t="s">
        <v>85</v>
      </c>
      <c r="J168" s="21" t="str">
        <f>_xlfn.XLOOKUP(F168,'04_Account_Mapping'!$A$6:$A$14,'04_Account_Mapping'!$C$6:$C$14,"Unmapped",0)</f>
        <v>Revenue</v>
      </c>
      <c r="K168" s="21" t="str">
        <f>_xlfn.XLOOKUP(F168,'04_Account_Mapping'!$A$6:$A$14,'04_Account_Mapping'!$D$6:$D$14,"Unmapped",0)</f>
        <v>Income</v>
      </c>
    </row>
    <row r="169" spans="1:11">
      <c r="A169" s="16">
        <v>45778</v>
      </c>
      <c r="B169" s="13">
        <v>2025</v>
      </c>
      <c r="C169" s="13">
        <v>5</v>
      </c>
      <c r="D169" s="13" t="s">
        <v>73</v>
      </c>
      <c r="E169" s="13" t="s">
        <v>74</v>
      </c>
      <c r="F169" s="13" t="s">
        <v>58</v>
      </c>
      <c r="G169" s="19">
        <v>-3086.0655587274173</v>
      </c>
      <c r="H169" s="13" t="s">
        <v>84</v>
      </c>
      <c r="I169" s="13" t="s">
        <v>85</v>
      </c>
      <c r="J169" s="21" t="str">
        <f>_xlfn.XLOOKUP(F169,'04_Account_Mapping'!$A$6:$A$14,'04_Account_Mapping'!$C$6:$C$14,"Unmapped",0)</f>
        <v>COGS</v>
      </c>
      <c r="K169" s="21" t="str">
        <f>_xlfn.XLOOKUP(F169,'04_Account_Mapping'!$A$6:$A$14,'04_Account_Mapping'!$D$6:$D$14,"Unmapped",0)</f>
        <v>Expense</v>
      </c>
    </row>
    <row r="170" spans="1:11">
      <c r="A170" s="16">
        <v>45778</v>
      </c>
      <c r="B170" s="13">
        <v>2025</v>
      </c>
      <c r="C170" s="13">
        <v>5</v>
      </c>
      <c r="D170" s="13" t="s">
        <v>73</v>
      </c>
      <c r="E170" s="13" t="s">
        <v>74</v>
      </c>
      <c r="F170" s="13" t="s">
        <v>60</v>
      </c>
      <c r="G170" s="19">
        <v>-550.5408103259615</v>
      </c>
      <c r="H170" s="13" t="s">
        <v>84</v>
      </c>
      <c r="I170" s="13" t="s">
        <v>85</v>
      </c>
      <c r="J170" s="21" t="str">
        <f>_xlfn.XLOOKUP(F170,'04_Account_Mapping'!$A$6:$A$14,'04_Account_Mapping'!$C$6:$C$14,"Unmapped",0)</f>
        <v>Selling Expense</v>
      </c>
      <c r="K170" s="21" t="str">
        <f>_xlfn.XLOOKUP(F170,'04_Account_Mapping'!$A$6:$A$14,'04_Account_Mapping'!$D$6:$D$14,"Unmapped",0)</f>
        <v>Expense</v>
      </c>
    </row>
    <row r="171" spans="1:11">
      <c r="A171" s="16">
        <v>45778</v>
      </c>
      <c r="B171" s="13">
        <v>2025</v>
      </c>
      <c r="C171" s="13">
        <v>5</v>
      </c>
      <c r="D171" s="13" t="s">
        <v>73</v>
      </c>
      <c r="E171" s="13" t="s">
        <v>74</v>
      </c>
      <c r="F171" s="13" t="s">
        <v>61</v>
      </c>
      <c r="G171" s="19">
        <v>-104.68029492113354</v>
      </c>
      <c r="H171" s="13" t="s">
        <v>84</v>
      </c>
      <c r="I171" s="13" t="s">
        <v>85</v>
      </c>
      <c r="J171" s="21" t="str">
        <f>_xlfn.XLOOKUP(F171,'04_Account_Mapping'!$A$6:$A$14,'04_Account_Mapping'!$C$6:$C$14,"Unmapped",0)</f>
        <v>G&amp;A</v>
      </c>
      <c r="K171" s="21" t="str">
        <f>_xlfn.XLOOKUP(F171,'04_Account_Mapping'!$A$6:$A$14,'04_Account_Mapping'!$D$6:$D$14,"Unmapped",0)</f>
        <v>Expense</v>
      </c>
    </row>
    <row r="172" spans="1:11">
      <c r="A172" s="16">
        <v>45778</v>
      </c>
      <c r="B172" s="13">
        <v>2025</v>
      </c>
      <c r="C172" s="13">
        <v>5</v>
      </c>
      <c r="D172" s="13" t="s">
        <v>73</v>
      </c>
      <c r="E172" s="13" t="s">
        <v>74</v>
      </c>
      <c r="F172" s="13" t="s">
        <v>62</v>
      </c>
      <c r="G172" s="19">
        <v>58.155719400629742</v>
      </c>
      <c r="H172" s="13" t="s">
        <v>84</v>
      </c>
      <c r="I172" s="13" t="s">
        <v>85</v>
      </c>
      <c r="J172" s="21" t="str">
        <f>_xlfn.XLOOKUP(F172,'04_Account_Mapping'!$A$6:$A$14,'04_Account_Mapping'!$C$6:$C$14,"Unmapped",0)</f>
        <v>Finance Income</v>
      </c>
      <c r="K172" s="21" t="str">
        <f>_xlfn.XLOOKUP(F172,'04_Account_Mapping'!$A$6:$A$14,'04_Account_Mapping'!$D$6:$D$14,"Unmapped",0)</f>
        <v>Income</v>
      </c>
    </row>
    <row r="173" spans="1:11">
      <c r="A173" s="16">
        <v>45778</v>
      </c>
      <c r="B173" s="13">
        <v>2025</v>
      </c>
      <c r="C173" s="13">
        <v>5</v>
      </c>
      <c r="D173" s="13" t="s">
        <v>73</v>
      </c>
      <c r="E173" s="13" t="s">
        <v>74</v>
      </c>
      <c r="F173" s="13" t="s">
        <v>63</v>
      </c>
      <c r="G173" s="19">
        <v>-31.01638368033586</v>
      </c>
      <c r="H173" s="13" t="s">
        <v>84</v>
      </c>
      <c r="I173" s="13" t="s">
        <v>85</v>
      </c>
      <c r="J173" s="21" t="str">
        <f>_xlfn.XLOOKUP(F173,'04_Account_Mapping'!$A$6:$A$14,'04_Account_Mapping'!$C$6:$C$14,"Unmapped",0)</f>
        <v>Finance Expense</v>
      </c>
      <c r="K173" s="21" t="str">
        <f>_xlfn.XLOOKUP(F173,'04_Account_Mapping'!$A$6:$A$14,'04_Account_Mapping'!$D$6:$D$14,"Unmapped",0)</f>
        <v>Expense</v>
      </c>
    </row>
    <row r="174" spans="1:11">
      <c r="A174" s="16">
        <v>45778</v>
      </c>
      <c r="B174" s="13">
        <v>2025</v>
      </c>
      <c r="C174" s="13">
        <v>5</v>
      </c>
      <c r="D174" s="13" t="s">
        <v>73</v>
      </c>
      <c r="E174" s="13" t="s">
        <v>74</v>
      </c>
      <c r="F174" s="13" t="s">
        <v>64</v>
      </c>
      <c r="G174" s="19">
        <v>0</v>
      </c>
      <c r="H174" s="13" t="s">
        <v>84</v>
      </c>
      <c r="I174" s="13" t="s">
        <v>85</v>
      </c>
      <c r="J174" s="21" t="str">
        <f>_xlfn.XLOOKUP(F174,'04_Account_Mapping'!$A$6:$A$14,'04_Account_Mapping'!$C$6:$C$14,"Unmapped",0)</f>
        <v>JV Profit/(Loss)</v>
      </c>
      <c r="K174" s="21" t="str">
        <f>_xlfn.XLOOKUP(F174,'04_Account_Mapping'!$A$6:$A$14,'04_Account_Mapping'!$D$6:$D$14,"Unmapped",0)</f>
        <v>Income</v>
      </c>
    </row>
    <row r="175" spans="1:11">
      <c r="A175" s="16">
        <v>45778</v>
      </c>
      <c r="B175" s="13">
        <v>2025</v>
      </c>
      <c r="C175" s="13">
        <v>5</v>
      </c>
      <c r="D175" s="13" t="s">
        <v>73</v>
      </c>
      <c r="E175" s="13" t="s">
        <v>74</v>
      </c>
      <c r="F175" s="13" t="s">
        <v>65</v>
      </c>
      <c r="G175" s="19">
        <v>-6.2032767360671723</v>
      </c>
      <c r="H175" s="13" t="s">
        <v>84</v>
      </c>
      <c r="I175" s="13" t="s">
        <v>85</v>
      </c>
      <c r="J175" s="21" t="str">
        <f>_xlfn.XLOOKUP(F175,'04_Account_Mapping'!$A$6:$A$14,'04_Account_Mapping'!$C$6:$C$14,"Unmapped",0)</f>
        <v>Other Net</v>
      </c>
      <c r="K175" s="21" t="str">
        <f>_xlfn.XLOOKUP(F175,'04_Account_Mapping'!$A$6:$A$14,'04_Account_Mapping'!$D$6:$D$14,"Unmapped",0)</f>
        <v>Income</v>
      </c>
    </row>
    <row r="176" spans="1:11">
      <c r="A176" s="16">
        <v>45778</v>
      </c>
      <c r="B176" s="13">
        <v>2025</v>
      </c>
      <c r="C176" s="13">
        <v>5</v>
      </c>
      <c r="D176" s="13" t="s">
        <v>73</v>
      </c>
      <c r="E176" s="13" t="s">
        <v>74</v>
      </c>
      <c r="F176" s="13" t="s">
        <v>66</v>
      </c>
      <c r="G176" s="19">
        <v>-31.339471010339455</v>
      </c>
      <c r="H176" s="13" t="s">
        <v>84</v>
      </c>
      <c r="I176" s="13" t="s">
        <v>85</v>
      </c>
      <c r="J176" s="21" t="str">
        <f>_xlfn.XLOOKUP(F176,'04_Account_Mapping'!$A$6:$A$14,'04_Account_Mapping'!$C$6:$C$14,"Unmapped",0)</f>
        <v>Tax Expense</v>
      </c>
      <c r="K176" s="21" t="str">
        <f>_xlfn.XLOOKUP(F176,'04_Account_Mapping'!$A$6:$A$14,'04_Account_Mapping'!$D$6:$D$14,"Unmapped",0)</f>
        <v>Expense</v>
      </c>
    </row>
    <row r="177" spans="1:11">
      <c r="A177" s="16">
        <v>45778</v>
      </c>
      <c r="B177" s="13">
        <v>2025</v>
      </c>
      <c r="C177" s="13">
        <v>5</v>
      </c>
      <c r="D177" s="13" t="s">
        <v>75</v>
      </c>
      <c r="E177" s="13" t="s">
        <v>76</v>
      </c>
      <c r="F177" s="13" t="s">
        <v>55</v>
      </c>
      <c r="G177" s="19">
        <v>625.33031613580374</v>
      </c>
      <c r="H177" s="13" t="s">
        <v>84</v>
      </c>
      <c r="I177" s="13" t="s">
        <v>85</v>
      </c>
      <c r="J177" s="21" t="str">
        <f>_xlfn.XLOOKUP(F177,'04_Account_Mapping'!$A$6:$A$14,'04_Account_Mapping'!$C$6:$C$14,"Unmapped",0)</f>
        <v>Revenue</v>
      </c>
      <c r="K177" s="21" t="str">
        <f>_xlfn.XLOOKUP(F177,'04_Account_Mapping'!$A$6:$A$14,'04_Account_Mapping'!$D$6:$D$14,"Unmapped",0)</f>
        <v>Income</v>
      </c>
    </row>
    <row r="178" spans="1:11">
      <c r="A178" s="16">
        <v>45778</v>
      </c>
      <c r="B178" s="13">
        <v>2025</v>
      </c>
      <c r="C178" s="13">
        <v>5</v>
      </c>
      <c r="D178" s="13" t="s">
        <v>75</v>
      </c>
      <c r="E178" s="13" t="s">
        <v>76</v>
      </c>
      <c r="F178" s="13" t="s">
        <v>58</v>
      </c>
      <c r="G178" s="19">
        <v>-497.75250947216415</v>
      </c>
      <c r="H178" s="13" t="s">
        <v>84</v>
      </c>
      <c r="I178" s="13" t="s">
        <v>85</v>
      </c>
      <c r="J178" s="21" t="str">
        <f>_xlfn.XLOOKUP(F178,'04_Account_Mapping'!$A$6:$A$14,'04_Account_Mapping'!$C$6:$C$14,"Unmapped",0)</f>
        <v>COGS</v>
      </c>
      <c r="K178" s="21" t="str">
        <f>_xlfn.XLOOKUP(F178,'04_Account_Mapping'!$A$6:$A$14,'04_Account_Mapping'!$D$6:$D$14,"Unmapped",0)</f>
        <v>Expense</v>
      </c>
    </row>
    <row r="179" spans="1:11">
      <c r="A179" s="16">
        <v>45778</v>
      </c>
      <c r="B179" s="13">
        <v>2025</v>
      </c>
      <c r="C179" s="13">
        <v>5</v>
      </c>
      <c r="D179" s="13" t="s">
        <v>75</v>
      </c>
      <c r="E179" s="13" t="s">
        <v>76</v>
      </c>
      <c r="F179" s="13" t="s">
        <v>60</v>
      </c>
      <c r="G179" s="19">
        <v>-88.796904891284115</v>
      </c>
      <c r="H179" s="13" t="s">
        <v>84</v>
      </c>
      <c r="I179" s="13" t="s">
        <v>85</v>
      </c>
      <c r="J179" s="21" t="str">
        <f>_xlfn.XLOOKUP(F179,'04_Account_Mapping'!$A$6:$A$14,'04_Account_Mapping'!$C$6:$C$14,"Unmapped",0)</f>
        <v>Selling Expense</v>
      </c>
      <c r="K179" s="21" t="str">
        <f>_xlfn.XLOOKUP(F179,'04_Account_Mapping'!$A$6:$A$14,'04_Account_Mapping'!$D$6:$D$14,"Unmapped",0)</f>
        <v>Expense</v>
      </c>
    </row>
    <row r="180" spans="1:11">
      <c r="A180" s="16">
        <v>45778</v>
      </c>
      <c r="B180" s="13">
        <v>2025</v>
      </c>
      <c r="C180" s="13">
        <v>5</v>
      </c>
      <c r="D180" s="13" t="s">
        <v>75</v>
      </c>
      <c r="E180" s="13" t="s">
        <v>76</v>
      </c>
      <c r="F180" s="13" t="s">
        <v>61</v>
      </c>
      <c r="G180" s="19">
        <v>-16.883918535666702</v>
      </c>
      <c r="H180" s="13" t="s">
        <v>84</v>
      </c>
      <c r="I180" s="13" t="s">
        <v>85</v>
      </c>
      <c r="J180" s="21" t="str">
        <f>_xlfn.XLOOKUP(F180,'04_Account_Mapping'!$A$6:$A$14,'04_Account_Mapping'!$C$6:$C$14,"Unmapped",0)</f>
        <v>G&amp;A</v>
      </c>
      <c r="K180" s="21" t="str">
        <f>_xlfn.XLOOKUP(F180,'04_Account_Mapping'!$A$6:$A$14,'04_Account_Mapping'!$D$6:$D$14,"Unmapped",0)</f>
        <v>Expense</v>
      </c>
    </row>
    <row r="181" spans="1:11">
      <c r="A181" s="16">
        <v>45778</v>
      </c>
      <c r="B181" s="13">
        <v>2025</v>
      </c>
      <c r="C181" s="13">
        <v>5</v>
      </c>
      <c r="D181" s="13" t="s">
        <v>75</v>
      </c>
      <c r="E181" s="13" t="s">
        <v>76</v>
      </c>
      <c r="F181" s="13" t="s">
        <v>62</v>
      </c>
      <c r="G181" s="19">
        <v>9.3799547420370555</v>
      </c>
      <c r="H181" s="13" t="s">
        <v>84</v>
      </c>
      <c r="I181" s="13" t="s">
        <v>85</v>
      </c>
      <c r="J181" s="21" t="str">
        <f>_xlfn.XLOOKUP(F181,'04_Account_Mapping'!$A$6:$A$14,'04_Account_Mapping'!$C$6:$C$14,"Unmapped",0)</f>
        <v>Finance Income</v>
      </c>
      <c r="K181" s="21" t="str">
        <f>_xlfn.XLOOKUP(F181,'04_Account_Mapping'!$A$6:$A$14,'04_Account_Mapping'!$D$6:$D$14,"Unmapped",0)</f>
        <v>Income</v>
      </c>
    </row>
    <row r="182" spans="1:11">
      <c r="A182" s="16">
        <v>45778</v>
      </c>
      <c r="B182" s="13">
        <v>2025</v>
      </c>
      <c r="C182" s="13">
        <v>5</v>
      </c>
      <c r="D182" s="13" t="s">
        <v>75</v>
      </c>
      <c r="E182" s="13" t="s">
        <v>76</v>
      </c>
      <c r="F182" s="13" t="s">
        <v>63</v>
      </c>
      <c r="G182" s="19">
        <v>-5.0026425290864296</v>
      </c>
      <c r="H182" s="13" t="s">
        <v>84</v>
      </c>
      <c r="I182" s="13" t="s">
        <v>85</v>
      </c>
      <c r="J182" s="21" t="str">
        <f>_xlfn.XLOOKUP(F182,'04_Account_Mapping'!$A$6:$A$14,'04_Account_Mapping'!$C$6:$C$14,"Unmapped",0)</f>
        <v>Finance Expense</v>
      </c>
      <c r="K182" s="21" t="str">
        <f>_xlfn.XLOOKUP(F182,'04_Account_Mapping'!$A$6:$A$14,'04_Account_Mapping'!$D$6:$D$14,"Unmapped",0)</f>
        <v>Expense</v>
      </c>
    </row>
    <row r="183" spans="1:11">
      <c r="A183" s="16">
        <v>45778</v>
      </c>
      <c r="B183" s="13">
        <v>2025</v>
      </c>
      <c r="C183" s="13">
        <v>5</v>
      </c>
      <c r="D183" s="13" t="s">
        <v>75</v>
      </c>
      <c r="E183" s="13" t="s">
        <v>76</v>
      </c>
      <c r="F183" s="13" t="s">
        <v>64</v>
      </c>
      <c r="G183" s="19">
        <v>0</v>
      </c>
      <c r="H183" s="13" t="s">
        <v>84</v>
      </c>
      <c r="I183" s="13" t="s">
        <v>85</v>
      </c>
      <c r="J183" s="21" t="str">
        <f>_xlfn.XLOOKUP(F183,'04_Account_Mapping'!$A$6:$A$14,'04_Account_Mapping'!$C$6:$C$14,"Unmapped",0)</f>
        <v>JV Profit/(Loss)</v>
      </c>
      <c r="K183" s="21" t="str">
        <f>_xlfn.XLOOKUP(F183,'04_Account_Mapping'!$A$6:$A$14,'04_Account_Mapping'!$D$6:$D$14,"Unmapped",0)</f>
        <v>Income</v>
      </c>
    </row>
    <row r="184" spans="1:11">
      <c r="A184" s="16">
        <v>45778</v>
      </c>
      <c r="B184" s="13">
        <v>2025</v>
      </c>
      <c r="C184" s="13">
        <v>5</v>
      </c>
      <c r="D184" s="13" t="s">
        <v>75</v>
      </c>
      <c r="E184" s="13" t="s">
        <v>76</v>
      </c>
      <c r="F184" s="13" t="s">
        <v>65</v>
      </c>
      <c r="G184" s="19">
        <v>-1.0005285058172859</v>
      </c>
      <c r="H184" s="13" t="s">
        <v>84</v>
      </c>
      <c r="I184" s="13" t="s">
        <v>85</v>
      </c>
      <c r="J184" s="21" t="str">
        <f>_xlfn.XLOOKUP(F184,'04_Account_Mapping'!$A$6:$A$14,'04_Account_Mapping'!$C$6:$C$14,"Unmapped",0)</f>
        <v>Other Net</v>
      </c>
      <c r="K184" s="21" t="str">
        <f>_xlfn.XLOOKUP(F184,'04_Account_Mapping'!$A$6:$A$14,'04_Account_Mapping'!$D$6:$D$14,"Unmapped",0)</f>
        <v>Income</v>
      </c>
    </row>
    <row r="185" spans="1:11">
      <c r="A185" s="16">
        <v>45778</v>
      </c>
      <c r="B185" s="13">
        <v>2025</v>
      </c>
      <c r="C185" s="13">
        <v>5</v>
      </c>
      <c r="D185" s="13" t="s">
        <v>75</v>
      </c>
      <c r="E185" s="13" t="s">
        <v>76</v>
      </c>
      <c r="F185" s="13" t="s">
        <v>66</v>
      </c>
      <c r="G185" s="19">
        <v>-5.0547533887644285</v>
      </c>
      <c r="H185" s="13" t="s">
        <v>84</v>
      </c>
      <c r="I185" s="13" t="s">
        <v>85</v>
      </c>
      <c r="J185" s="21" t="str">
        <f>_xlfn.XLOOKUP(F185,'04_Account_Mapping'!$A$6:$A$14,'04_Account_Mapping'!$C$6:$C$14,"Unmapped",0)</f>
        <v>Tax Expense</v>
      </c>
      <c r="K185" s="21" t="str">
        <f>_xlfn.XLOOKUP(F185,'04_Account_Mapping'!$A$6:$A$14,'04_Account_Mapping'!$D$6:$D$14,"Unmapped",0)</f>
        <v>Expense</v>
      </c>
    </row>
    <row r="186" spans="1:11">
      <c r="A186" s="16">
        <v>45809</v>
      </c>
      <c r="B186" s="13">
        <v>2025</v>
      </c>
      <c r="C186" s="13">
        <v>6</v>
      </c>
      <c r="D186" s="13" t="s">
        <v>67</v>
      </c>
      <c r="E186" s="13" t="s">
        <v>68</v>
      </c>
      <c r="F186" s="13" t="s">
        <v>55</v>
      </c>
      <c r="G186" s="19">
        <v>2795.6692297958184</v>
      </c>
      <c r="H186" s="13" t="s">
        <v>84</v>
      </c>
      <c r="I186" s="13" t="s">
        <v>85</v>
      </c>
      <c r="J186" s="21" t="str">
        <f>_xlfn.XLOOKUP(F186,'04_Account_Mapping'!$A$6:$A$14,'04_Account_Mapping'!$C$6:$C$14,"Unmapped",0)</f>
        <v>Revenue</v>
      </c>
      <c r="K186" s="21" t="str">
        <f>_xlfn.XLOOKUP(F186,'04_Account_Mapping'!$A$6:$A$14,'04_Account_Mapping'!$D$6:$D$14,"Unmapped",0)</f>
        <v>Income</v>
      </c>
    </row>
    <row r="187" spans="1:11">
      <c r="A187" s="16">
        <v>45809</v>
      </c>
      <c r="B187" s="13">
        <v>2025</v>
      </c>
      <c r="C187" s="13">
        <v>6</v>
      </c>
      <c r="D187" s="13" t="s">
        <v>67</v>
      </c>
      <c r="E187" s="13" t="s">
        <v>68</v>
      </c>
      <c r="F187" s="13" t="s">
        <v>58</v>
      </c>
      <c r="G187" s="19">
        <v>-2225.3061124303081</v>
      </c>
      <c r="H187" s="13" t="s">
        <v>84</v>
      </c>
      <c r="I187" s="13" t="s">
        <v>85</v>
      </c>
      <c r="J187" s="21" t="str">
        <f>_xlfn.XLOOKUP(F187,'04_Account_Mapping'!$A$6:$A$14,'04_Account_Mapping'!$C$6:$C$14,"Unmapped",0)</f>
        <v>COGS</v>
      </c>
      <c r="K187" s="21" t="str">
        <f>_xlfn.XLOOKUP(F187,'04_Account_Mapping'!$A$6:$A$14,'04_Account_Mapping'!$D$6:$D$14,"Unmapped",0)</f>
        <v>Expense</v>
      </c>
    </row>
    <row r="188" spans="1:11">
      <c r="A188" s="16">
        <v>45809</v>
      </c>
      <c r="B188" s="13">
        <v>2025</v>
      </c>
      <c r="C188" s="13">
        <v>6</v>
      </c>
      <c r="D188" s="13" t="s">
        <v>67</v>
      </c>
      <c r="E188" s="13" t="s">
        <v>68</v>
      </c>
      <c r="F188" s="13" t="s">
        <v>60</v>
      </c>
      <c r="G188" s="19">
        <v>-396.98503063100611</v>
      </c>
      <c r="H188" s="13" t="s">
        <v>84</v>
      </c>
      <c r="I188" s="13" t="s">
        <v>85</v>
      </c>
      <c r="J188" s="21" t="str">
        <f>_xlfn.XLOOKUP(F188,'04_Account_Mapping'!$A$6:$A$14,'04_Account_Mapping'!$C$6:$C$14,"Unmapped",0)</f>
        <v>Selling Expense</v>
      </c>
      <c r="K188" s="21" t="str">
        <f>_xlfn.XLOOKUP(F188,'04_Account_Mapping'!$A$6:$A$14,'04_Account_Mapping'!$D$6:$D$14,"Unmapped",0)</f>
        <v>Expense</v>
      </c>
    </row>
    <row r="189" spans="1:11">
      <c r="A189" s="16">
        <v>45809</v>
      </c>
      <c r="B189" s="13">
        <v>2025</v>
      </c>
      <c r="C189" s="13">
        <v>6</v>
      </c>
      <c r="D189" s="13" t="s">
        <v>67</v>
      </c>
      <c r="E189" s="13" t="s">
        <v>68</v>
      </c>
      <c r="F189" s="13" t="s">
        <v>61</v>
      </c>
      <c r="G189" s="19">
        <v>-75.483069204487094</v>
      </c>
      <c r="H189" s="13" t="s">
        <v>84</v>
      </c>
      <c r="I189" s="13" t="s">
        <v>85</v>
      </c>
      <c r="J189" s="21" t="str">
        <f>_xlfn.XLOOKUP(F189,'04_Account_Mapping'!$A$6:$A$14,'04_Account_Mapping'!$C$6:$C$14,"Unmapped",0)</f>
        <v>G&amp;A</v>
      </c>
      <c r="K189" s="21" t="str">
        <f>_xlfn.XLOOKUP(F189,'04_Account_Mapping'!$A$6:$A$14,'04_Account_Mapping'!$D$6:$D$14,"Unmapped",0)</f>
        <v>Expense</v>
      </c>
    </row>
    <row r="190" spans="1:11">
      <c r="A190" s="16">
        <v>45809</v>
      </c>
      <c r="B190" s="13">
        <v>2025</v>
      </c>
      <c r="C190" s="13">
        <v>6</v>
      </c>
      <c r="D190" s="13" t="s">
        <v>67</v>
      </c>
      <c r="E190" s="13" t="s">
        <v>68</v>
      </c>
      <c r="F190" s="13" t="s">
        <v>62</v>
      </c>
      <c r="G190" s="19">
        <v>41.935038446937277</v>
      </c>
      <c r="H190" s="13" t="s">
        <v>84</v>
      </c>
      <c r="I190" s="13" t="s">
        <v>85</v>
      </c>
      <c r="J190" s="21" t="str">
        <f>_xlfn.XLOOKUP(F190,'04_Account_Mapping'!$A$6:$A$14,'04_Account_Mapping'!$C$6:$C$14,"Unmapped",0)</f>
        <v>Finance Income</v>
      </c>
      <c r="K190" s="21" t="str">
        <f>_xlfn.XLOOKUP(F190,'04_Account_Mapping'!$A$6:$A$14,'04_Account_Mapping'!$D$6:$D$14,"Unmapped",0)</f>
        <v>Income</v>
      </c>
    </row>
    <row r="191" spans="1:11">
      <c r="A191" s="16">
        <v>45809</v>
      </c>
      <c r="B191" s="13">
        <v>2025</v>
      </c>
      <c r="C191" s="13">
        <v>6</v>
      </c>
      <c r="D191" s="13" t="s">
        <v>67</v>
      </c>
      <c r="E191" s="13" t="s">
        <v>68</v>
      </c>
      <c r="F191" s="13" t="s">
        <v>63</v>
      </c>
      <c r="G191" s="19">
        <v>-22.365353838366545</v>
      </c>
      <c r="H191" s="13" t="s">
        <v>84</v>
      </c>
      <c r="I191" s="13" t="s">
        <v>85</v>
      </c>
      <c r="J191" s="21" t="str">
        <f>_xlfn.XLOOKUP(F191,'04_Account_Mapping'!$A$6:$A$14,'04_Account_Mapping'!$C$6:$C$14,"Unmapped",0)</f>
        <v>Finance Expense</v>
      </c>
      <c r="K191" s="21" t="str">
        <f>_xlfn.XLOOKUP(F191,'04_Account_Mapping'!$A$6:$A$14,'04_Account_Mapping'!$D$6:$D$14,"Unmapped",0)</f>
        <v>Expense</v>
      </c>
    </row>
    <row r="192" spans="1:11">
      <c r="A192" s="16">
        <v>45809</v>
      </c>
      <c r="B192" s="13">
        <v>2025</v>
      </c>
      <c r="C192" s="13">
        <v>6</v>
      </c>
      <c r="D192" s="13" t="s">
        <v>67</v>
      </c>
      <c r="E192" s="13" t="s">
        <v>68</v>
      </c>
      <c r="F192" s="13" t="s">
        <v>64</v>
      </c>
      <c r="G192" s="19">
        <v>0</v>
      </c>
      <c r="H192" s="13" t="s">
        <v>84</v>
      </c>
      <c r="I192" s="13" t="s">
        <v>85</v>
      </c>
      <c r="J192" s="21" t="str">
        <f>_xlfn.XLOOKUP(F192,'04_Account_Mapping'!$A$6:$A$14,'04_Account_Mapping'!$C$6:$C$14,"Unmapped",0)</f>
        <v>JV Profit/(Loss)</v>
      </c>
      <c r="K192" s="21" t="str">
        <f>_xlfn.XLOOKUP(F192,'04_Account_Mapping'!$A$6:$A$14,'04_Account_Mapping'!$D$6:$D$14,"Unmapped",0)</f>
        <v>Income</v>
      </c>
    </row>
    <row r="193" spans="1:11">
      <c r="A193" s="16">
        <v>45809</v>
      </c>
      <c r="B193" s="13">
        <v>2025</v>
      </c>
      <c r="C193" s="13">
        <v>6</v>
      </c>
      <c r="D193" s="13" t="s">
        <v>67</v>
      </c>
      <c r="E193" s="13" t="s">
        <v>68</v>
      </c>
      <c r="F193" s="13" t="s">
        <v>65</v>
      </c>
      <c r="G193" s="19">
        <v>-4.4730707676733088</v>
      </c>
      <c r="H193" s="13" t="s">
        <v>84</v>
      </c>
      <c r="I193" s="13" t="s">
        <v>85</v>
      </c>
      <c r="J193" s="21" t="str">
        <f>_xlfn.XLOOKUP(F193,'04_Account_Mapping'!$A$6:$A$14,'04_Account_Mapping'!$C$6:$C$14,"Unmapped",0)</f>
        <v>Other Net</v>
      </c>
      <c r="K193" s="21" t="str">
        <f>_xlfn.XLOOKUP(F193,'04_Account_Mapping'!$A$6:$A$14,'04_Account_Mapping'!$D$6:$D$14,"Unmapped",0)</f>
        <v>Income</v>
      </c>
    </row>
    <row r="194" spans="1:11">
      <c r="A194" s="16">
        <v>45809</v>
      </c>
      <c r="B194" s="13">
        <v>2025</v>
      </c>
      <c r="C194" s="13">
        <v>6</v>
      </c>
      <c r="D194" s="13" t="s">
        <v>67</v>
      </c>
      <c r="E194" s="13" t="s">
        <v>68</v>
      </c>
      <c r="F194" s="13" t="s">
        <v>66</v>
      </c>
      <c r="G194" s="19">
        <v>-22.598326274182931</v>
      </c>
      <c r="H194" s="13" t="s">
        <v>84</v>
      </c>
      <c r="I194" s="13" t="s">
        <v>85</v>
      </c>
      <c r="J194" s="21" t="str">
        <f>_xlfn.XLOOKUP(F194,'04_Account_Mapping'!$A$6:$A$14,'04_Account_Mapping'!$C$6:$C$14,"Unmapped",0)</f>
        <v>Tax Expense</v>
      </c>
      <c r="K194" s="21" t="str">
        <f>_xlfn.XLOOKUP(F194,'04_Account_Mapping'!$A$6:$A$14,'04_Account_Mapping'!$D$6:$D$14,"Unmapped",0)</f>
        <v>Expense</v>
      </c>
    </row>
    <row r="195" spans="1:11">
      <c r="A195" s="16">
        <v>45809</v>
      </c>
      <c r="B195" s="13">
        <v>2025</v>
      </c>
      <c r="C195" s="13">
        <v>6</v>
      </c>
      <c r="D195" s="13" t="s">
        <v>72</v>
      </c>
      <c r="E195" s="13" t="s">
        <v>68</v>
      </c>
      <c r="F195" s="13" t="s">
        <v>55</v>
      </c>
      <c r="G195" s="19">
        <v>5337.1867114283796</v>
      </c>
      <c r="H195" s="13" t="s">
        <v>84</v>
      </c>
      <c r="I195" s="13" t="s">
        <v>85</v>
      </c>
      <c r="J195" s="21" t="str">
        <f>_xlfn.XLOOKUP(F195,'04_Account_Mapping'!$A$6:$A$14,'04_Account_Mapping'!$C$6:$C$14,"Unmapped",0)</f>
        <v>Revenue</v>
      </c>
      <c r="K195" s="21" t="str">
        <f>_xlfn.XLOOKUP(F195,'04_Account_Mapping'!$A$6:$A$14,'04_Account_Mapping'!$D$6:$D$14,"Unmapped",0)</f>
        <v>Income</v>
      </c>
    </row>
    <row r="196" spans="1:11">
      <c r="A196" s="16">
        <v>45809</v>
      </c>
      <c r="B196" s="13">
        <v>2025</v>
      </c>
      <c r="C196" s="13">
        <v>6</v>
      </c>
      <c r="D196" s="13" t="s">
        <v>72</v>
      </c>
      <c r="E196" s="13" t="s">
        <v>68</v>
      </c>
      <c r="F196" s="13" t="s">
        <v>58</v>
      </c>
      <c r="G196" s="19">
        <v>-4248.3116691851328</v>
      </c>
      <c r="H196" s="13" t="s">
        <v>84</v>
      </c>
      <c r="I196" s="13" t="s">
        <v>85</v>
      </c>
      <c r="J196" s="21" t="str">
        <f>_xlfn.XLOOKUP(F196,'04_Account_Mapping'!$A$6:$A$14,'04_Account_Mapping'!$C$6:$C$14,"Unmapped",0)</f>
        <v>COGS</v>
      </c>
      <c r="K196" s="21" t="str">
        <f>_xlfn.XLOOKUP(F196,'04_Account_Mapping'!$A$6:$A$14,'04_Account_Mapping'!$D$6:$D$14,"Unmapped",0)</f>
        <v>Expense</v>
      </c>
    </row>
    <row r="197" spans="1:11">
      <c r="A197" s="16">
        <v>45809</v>
      </c>
      <c r="B197" s="13">
        <v>2025</v>
      </c>
      <c r="C197" s="13">
        <v>6</v>
      </c>
      <c r="D197" s="13" t="s">
        <v>72</v>
      </c>
      <c r="E197" s="13" t="s">
        <v>68</v>
      </c>
      <c r="F197" s="13" t="s">
        <v>60</v>
      </c>
      <c r="G197" s="19">
        <v>-757.88051302282975</v>
      </c>
      <c r="H197" s="13" t="s">
        <v>84</v>
      </c>
      <c r="I197" s="13" t="s">
        <v>85</v>
      </c>
      <c r="J197" s="21" t="str">
        <f>_xlfn.XLOOKUP(F197,'04_Account_Mapping'!$A$6:$A$14,'04_Account_Mapping'!$C$6:$C$14,"Unmapped",0)</f>
        <v>Selling Expense</v>
      </c>
      <c r="K197" s="21" t="str">
        <f>_xlfn.XLOOKUP(F197,'04_Account_Mapping'!$A$6:$A$14,'04_Account_Mapping'!$D$6:$D$14,"Unmapped",0)</f>
        <v>Expense</v>
      </c>
    </row>
    <row r="198" spans="1:11">
      <c r="A198" s="16">
        <v>45809</v>
      </c>
      <c r="B198" s="13">
        <v>2025</v>
      </c>
      <c r="C198" s="13">
        <v>6</v>
      </c>
      <c r="D198" s="13" t="s">
        <v>72</v>
      </c>
      <c r="E198" s="13" t="s">
        <v>68</v>
      </c>
      <c r="F198" s="13" t="s">
        <v>61</v>
      </c>
      <c r="G198" s="19">
        <v>-144.10404120856626</v>
      </c>
      <c r="H198" s="13" t="s">
        <v>84</v>
      </c>
      <c r="I198" s="13" t="s">
        <v>85</v>
      </c>
      <c r="J198" s="21" t="str">
        <f>_xlfn.XLOOKUP(F198,'04_Account_Mapping'!$A$6:$A$14,'04_Account_Mapping'!$C$6:$C$14,"Unmapped",0)</f>
        <v>G&amp;A</v>
      </c>
      <c r="K198" s="21" t="str">
        <f>_xlfn.XLOOKUP(F198,'04_Account_Mapping'!$A$6:$A$14,'04_Account_Mapping'!$D$6:$D$14,"Unmapped",0)</f>
        <v>Expense</v>
      </c>
    </row>
    <row r="199" spans="1:11">
      <c r="A199" s="16">
        <v>45809</v>
      </c>
      <c r="B199" s="13">
        <v>2025</v>
      </c>
      <c r="C199" s="13">
        <v>6</v>
      </c>
      <c r="D199" s="13" t="s">
        <v>72</v>
      </c>
      <c r="E199" s="13" t="s">
        <v>68</v>
      </c>
      <c r="F199" s="13" t="s">
        <v>62</v>
      </c>
      <c r="G199" s="19">
        <v>80.057800671425696</v>
      </c>
      <c r="H199" s="13" t="s">
        <v>84</v>
      </c>
      <c r="I199" s="13" t="s">
        <v>85</v>
      </c>
      <c r="J199" s="21" t="str">
        <f>_xlfn.XLOOKUP(F199,'04_Account_Mapping'!$A$6:$A$14,'04_Account_Mapping'!$C$6:$C$14,"Unmapped",0)</f>
        <v>Finance Income</v>
      </c>
      <c r="K199" s="21" t="str">
        <f>_xlfn.XLOOKUP(F199,'04_Account_Mapping'!$A$6:$A$14,'04_Account_Mapping'!$D$6:$D$14,"Unmapped",0)</f>
        <v>Income</v>
      </c>
    </row>
    <row r="200" spans="1:11">
      <c r="A200" s="16">
        <v>45809</v>
      </c>
      <c r="B200" s="13">
        <v>2025</v>
      </c>
      <c r="C200" s="13">
        <v>6</v>
      </c>
      <c r="D200" s="13" t="s">
        <v>72</v>
      </c>
      <c r="E200" s="13" t="s">
        <v>68</v>
      </c>
      <c r="F200" s="13" t="s">
        <v>63</v>
      </c>
      <c r="G200" s="19">
        <v>-42.697493691427042</v>
      </c>
      <c r="H200" s="13" t="s">
        <v>84</v>
      </c>
      <c r="I200" s="13" t="s">
        <v>85</v>
      </c>
      <c r="J200" s="21" t="str">
        <f>_xlfn.XLOOKUP(F200,'04_Account_Mapping'!$A$6:$A$14,'04_Account_Mapping'!$C$6:$C$14,"Unmapped",0)</f>
        <v>Finance Expense</v>
      </c>
      <c r="K200" s="21" t="str">
        <f>_xlfn.XLOOKUP(F200,'04_Account_Mapping'!$A$6:$A$14,'04_Account_Mapping'!$D$6:$D$14,"Unmapped",0)</f>
        <v>Expense</v>
      </c>
    </row>
    <row r="201" spans="1:11">
      <c r="A201" s="16">
        <v>45809</v>
      </c>
      <c r="B201" s="13">
        <v>2025</v>
      </c>
      <c r="C201" s="13">
        <v>6</v>
      </c>
      <c r="D201" s="13" t="s">
        <v>72</v>
      </c>
      <c r="E201" s="13" t="s">
        <v>68</v>
      </c>
      <c r="F201" s="13" t="s">
        <v>64</v>
      </c>
      <c r="G201" s="19">
        <v>0</v>
      </c>
      <c r="H201" s="13" t="s">
        <v>84</v>
      </c>
      <c r="I201" s="13" t="s">
        <v>85</v>
      </c>
      <c r="J201" s="21" t="str">
        <f>_xlfn.XLOOKUP(F201,'04_Account_Mapping'!$A$6:$A$14,'04_Account_Mapping'!$C$6:$C$14,"Unmapped",0)</f>
        <v>JV Profit/(Loss)</v>
      </c>
      <c r="K201" s="21" t="str">
        <f>_xlfn.XLOOKUP(F201,'04_Account_Mapping'!$A$6:$A$14,'04_Account_Mapping'!$D$6:$D$14,"Unmapped",0)</f>
        <v>Income</v>
      </c>
    </row>
    <row r="202" spans="1:11">
      <c r="A202" s="16">
        <v>45809</v>
      </c>
      <c r="B202" s="13">
        <v>2025</v>
      </c>
      <c r="C202" s="13">
        <v>6</v>
      </c>
      <c r="D202" s="13" t="s">
        <v>72</v>
      </c>
      <c r="E202" s="13" t="s">
        <v>68</v>
      </c>
      <c r="F202" s="13" t="s">
        <v>65</v>
      </c>
      <c r="G202" s="19">
        <v>-8.539498738285408</v>
      </c>
      <c r="H202" s="13" t="s">
        <v>84</v>
      </c>
      <c r="I202" s="13" t="s">
        <v>85</v>
      </c>
      <c r="J202" s="21" t="str">
        <f>_xlfn.XLOOKUP(F202,'04_Account_Mapping'!$A$6:$A$14,'04_Account_Mapping'!$C$6:$C$14,"Unmapped",0)</f>
        <v>Other Net</v>
      </c>
      <c r="K202" s="21" t="str">
        <f>_xlfn.XLOOKUP(F202,'04_Account_Mapping'!$A$6:$A$14,'04_Account_Mapping'!$D$6:$D$14,"Unmapped",0)</f>
        <v>Income</v>
      </c>
    </row>
    <row r="203" spans="1:11">
      <c r="A203" s="16">
        <v>45809</v>
      </c>
      <c r="B203" s="13">
        <v>2025</v>
      </c>
      <c r="C203" s="13">
        <v>6</v>
      </c>
      <c r="D203" s="13" t="s">
        <v>72</v>
      </c>
      <c r="E203" s="13" t="s">
        <v>68</v>
      </c>
      <c r="F203" s="13" t="s">
        <v>66</v>
      </c>
      <c r="G203" s="19">
        <v>-43.142259250712868</v>
      </c>
      <c r="H203" s="13" t="s">
        <v>84</v>
      </c>
      <c r="I203" s="13" t="s">
        <v>85</v>
      </c>
      <c r="J203" s="21" t="str">
        <f>_xlfn.XLOOKUP(F203,'04_Account_Mapping'!$A$6:$A$14,'04_Account_Mapping'!$C$6:$C$14,"Unmapped",0)</f>
        <v>Tax Expense</v>
      </c>
      <c r="K203" s="21" t="str">
        <f>_xlfn.XLOOKUP(F203,'04_Account_Mapping'!$A$6:$A$14,'04_Account_Mapping'!$D$6:$D$14,"Unmapped",0)</f>
        <v>Expense</v>
      </c>
    </row>
    <row r="204" spans="1:11">
      <c r="A204" s="16">
        <v>45809</v>
      </c>
      <c r="B204" s="13">
        <v>2025</v>
      </c>
      <c r="C204" s="13">
        <v>6</v>
      </c>
      <c r="D204" s="13" t="s">
        <v>73</v>
      </c>
      <c r="E204" s="13" t="s">
        <v>74</v>
      </c>
      <c r="F204" s="13" t="s">
        <v>55</v>
      </c>
      <c r="G204" s="19">
        <v>3939.352096530471</v>
      </c>
      <c r="H204" s="13" t="s">
        <v>84</v>
      </c>
      <c r="I204" s="13" t="s">
        <v>85</v>
      </c>
      <c r="J204" s="21" t="str">
        <f>_xlfn.XLOOKUP(F204,'04_Account_Mapping'!$A$6:$A$14,'04_Account_Mapping'!$C$6:$C$14,"Unmapped",0)</f>
        <v>Revenue</v>
      </c>
      <c r="K204" s="21" t="str">
        <f>_xlfn.XLOOKUP(F204,'04_Account_Mapping'!$A$6:$A$14,'04_Account_Mapping'!$D$6:$D$14,"Unmapped",0)</f>
        <v>Income</v>
      </c>
    </row>
    <row r="205" spans="1:11">
      <c r="A205" s="16">
        <v>45809</v>
      </c>
      <c r="B205" s="13">
        <v>2025</v>
      </c>
      <c r="C205" s="13">
        <v>6</v>
      </c>
      <c r="D205" s="13" t="s">
        <v>73</v>
      </c>
      <c r="E205" s="13" t="s">
        <v>74</v>
      </c>
      <c r="F205" s="13" t="s">
        <v>58</v>
      </c>
      <c r="G205" s="19">
        <v>-3135.6586129699795</v>
      </c>
      <c r="H205" s="13" t="s">
        <v>84</v>
      </c>
      <c r="I205" s="13" t="s">
        <v>85</v>
      </c>
      <c r="J205" s="21" t="str">
        <f>_xlfn.XLOOKUP(F205,'04_Account_Mapping'!$A$6:$A$14,'04_Account_Mapping'!$C$6:$C$14,"Unmapped",0)</f>
        <v>COGS</v>
      </c>
      <c r="K205" s="21" t="str">
        <f>_xlfn.XLOOKUP(F205,'04_Account_Mapping'!$A$6:$A$14,'04_Account_Mapping'!$D$6:$D$14,"Unmapped",0)</f>
        <v>Expense</v>
      </c>
    </row>
    <row r="206" spans="1:11">
      <c r="A206" s="16">
        <v>45809</v>
      </c>
      <c r="B206" s="13">
        <v>2025</v>
      </c>
      <c r="C206" s="13">
        <v>6</v>
      </c>
      <c r="D206" s="13" t="s">
        <v>73</v>
      </c>
      <c r="E206" s="13" t="s">
        <v>74</v>
      </c>
      <c r="F206" s="13" t="s">
        <v>60</v>
      </c>
      <c r="G206" s="19">
        <v>-559.3879977073268</v>
      </c>
      <c r="H206" s="13" t="s">
        <v>84</v>
      </c>
      <c r="I206" s="13" t="s">
        <v>85</v>
      </c>
      <c r="J206" s="21" t="str">
        <f>_xlfn.XLOOKUP(F206,'04_Account_Mapping'!$A$6:$A$14,'04_Account_Mapping'!$C$6:$C$14,"Unmapped",0)</f>
        <v>Selling Expense</v>
      </c>
      <c r="K206" s="21" t="str">
        <f>_xlfn.XLOOKUP(F206,'04_Account_Mapping'!$A$6:$A$14,'04_Account_Mapping'!$D$6:$D$14,"Unmapped",0)</f>
        <v>Expense</v>
      </c>
    </row>
    <row r="207" spans="1:11">
      <c r="A207" s="16">
        <v>45809</v>
      </c>
      <c r="B207" s="13">
        <v>2025</v>
      </c>
      <c r="C207" s="13">
        <v>6</v>
      </c>
      <c r="D207" s="13" t="s">
        <v>73</v>
      </c>
      <c r="E207" s="13" t="s">
        <v>74</v>
      </c>
      <c r="F207" s="13" t="s">
        <v>61</v>
      </c>
      <c r="G207" s="19">
        <v>-106.36250660632271</v>
      </c>
      <c r="H207" s="13" t="s">
        <v>84</v>
      </c>
      <c r="I207" s="13" t="s">
        <v>85</v>
      </c>
      <c r="J207" s="21" t="str">
        <f>_xlfn.XLOOKUP(F207,'04_Account_Mapping'!$A$6:$A$14,'04_Account_Mapping'!$C$6:$C$14,"Unmapped",0)</f>
        <v>G&amp;A</v>
      </c>
      <c r="K207" s="21" t="str">
        <f>_xlfn.XLOOKUP(F207,'04_Account_Mapping'!$A$6:$A$14,'04_Account_Mapping'!$D$6:$D$14,"Unmapped",0)</f>
        <v>Expense</v>
      </c>
    </row>
    <row r="208" spans="1:11">
      <c r="A208" s="16">
        <v>45809</v>
      </c>
      <c r="B208" s="13">
        <v>2025</v>
      </c>
      <c r="C208" s="13">
        <v>6</v>
      </c>
      <c r="D208" s="13" t="s">
        <v>73</v>
      </c>
      <c r="E208" s="13" t="s">
        <v>74</v>
      </c>
      <c r="F208" s="13" t="s">
        <v>62</v>
      </c>
      <c r="G208" s="19">
        <v>59.090281447957061</v>
      </c>
      <c r="H208" s="13" t="s">
        <v>84</v>
      </c>
      <c r="I208" s="13" t="s">
        <v>85</v>
      </c>
      <c r="J208" s="21" t="str">
        <f>_xlfn.XLOOKUP(F208,'04_Account_Mapping'!$A$6:$A$14,'04_Account_Mapping'!$C$6:$C$14,"Unmapped",0)</f>
        <v>Finance Income</v>
      </c>
      <c r="K208" s="21" t="str">
        <f>_xlfn.XLOOKUP(F208,'04_Account_Mapping'!$A$6:$A$14,'04_Account_Mapping'!$D$6:$D$14,"Unmapped",0)</f>
        <v>Income</v>
      </c>
    </row>
    <row r="209" spans="1:11">
      <c r="A209" s="16">
        <v>45809</v>
      </c>
      <c r="B209" s="13">
        <v>2025</v>
      </c>
      <c r="C209" s="13">
        <v>6</v>
      </c>
      <c r="D209" s="13" t="s">
        <v>73</v>
      </c>
      <c r="E209" s="13" t="s">
        <v>74</v>
      </c>
      <c r="F209" s="13" t="s">
        <v>63</v>
      </c>
      <c r="G209" s="19">
        <v>-31.514816772243766</v>
      </c>
      <c r="H209" s="13" t="s">
        <v>84</v>
      </c>
      <c r="I209" s="13" t="s">
        <v>85</v>
      </c>
      <c r="J209" s="21" t="str">
        <f>_xlfn.XLOOKUP(F209,'04_Account_Mapping'!$A$6:$A$14,'04_Account_Mapping'!$C$6:$C$14,"Unmapped",0)</f>
        <v>Finance Expense</v>
      </c>
      <c r="K209" s="21" t="str">
        <f>_xlfn.XLOOKUP(F209,'04_Account_Mapping'!$A$6:$A$14,'04_Account_Mapping'!$D$6:$D$14,"Unmapped",0)</f>
        <v>Expense</v>
      </c>
    </row>
    <row r="210" spans="1:11">
      <c r="A210" s="16">
        <v>45809</v>
      </c>
      <c r="B210" s="13">
        <v>2025</v>
      </c>
      <c r="C210" s="13">
        <v>6</v>
      </c>
      <c r="D210" s="13" t="s">
        <v>73</v>
      </c>
      <c r="E210" s="13" t="s">
        <v>74</v>
      </c>
      <c r="F210" s="13" t="s">
        <v>64</v>
      </c>
      <c r="G210" s="19">
        <v>0</v>
      </c>
      <c r="H210" s="13" t="s">
        <v>84</v>
      </c>
      <c r="I210" s="13" t="s">
        <v>85</v>
      </c>
      <c r="J210" s="21" t="str">
        <f>_xlfn.XLOOKUP(F210,'04_Account_Mapping'!$A$6:$A$14,'04_Account_Mapping'!$C$6:$C$14,"Unmapped",0)</f>
        <v>JV Profit/(Loss)</v>
      </c>
      <c r="K210" s="21" t="str">
        <f>_xlfn.XLOOKUP(F210,'04_Account_Mapping'!$A$6:$A$14,'04_Account_Mapping'!$D$6:$D$14,"Unmapped",0)</f>
        <v>Income</v>
      </c>
    </row>
    <row r="211" spans="1:11">
      <c r="A211" s="16">
        <v>45809</v>
      </c>
      <c r="B211" s="13">
        <v>2025</v>
      </c>
      <c r="C211" s="13">
        <v>6</v>
      </c>
      <c r="D211" s="13" t="s">
        <v>73</v>
      </c>
      <c r="E211" s="13" t="s">
        <v>74</v>
      </c>
      <c r="F211" s="13" t="s">
        <v>65</v>
      </c>
      <c r="G211" s="19">
        <v>-6.3029633544487531</v>
      </c>
      <c r="H211" s="13" t="s">
        <v>84</v>
      </c>
      <c r="I211" s="13" t="s">
        <v>85</v>
      </c>
      <c r="J211" s="21" t="str">
        <f>_xlfn.XLOOKUP(F211,'04_Account_Mapping'!$A$6:$A$14,'04_Account_Mapping'!$C$6:$C$14,"Unmapped",0)</f>
        <v>Other Net</v>
      </c>
      <c r="K211" s="21" t="str">
        <f>_xlfn.XLOOKUP(F211,'04_Account_Mapping'!$A$6:$A$14,'04_Account_Mapping'!$D$6:$D$14,"Unmapped",0)</f>
        <v>Income</v>
      </c>
    </row>
    <row r="212" spans="1:11">
      <c r="A212" s="16">
        <v>45809</v>
      </c>
      <c r="B212" s="13">
        <v>2025</v>
      </c>
      <c r="C212" s="13">
        <v>6</v>
      </c>
      <c r="D212" s="13" t="s">
        <v>73</v>
      </c>
      <c r="E212" s="13" t="s">
        <v>74</v>
      </c>
      <c r="F212" s="13" t="s">
        <v>66</v>
      </c>
      <c r="G212" s="19">
        <v>-31.843096113621403</v>
      </c>
      <c r="H212" s="13" t="s">
        <v>84</v>
      </c>
      <c r="I212" s="13" t="s">
        <v>85</v>
      </c>
      <c r="J212" s="21" t="str">
        <f>_xlfn.XLOOKUP(F212,'04_Account_Mapping'!$A$6:$A$14,'04_Account_Mapping'!$C$6:$C$14,"Unmapped",0)</f>
        <v>Tax Expense</v>
      </c>
      <c r="K212" s="21" t="str">
        <f>_xlfn.XLOOKUP(F212,'04_Account_Mapping'!$A$6:$A$14,'04_Account_Mapping'!$D$6:$D$14,"Unmapped",0)</f>
        <v>Expense</v>
      </c>
    </row>
    <row r="213" spans="1:11">
      <c r="A213" s="16">
        <v>45809</v>
      </c>
      <c r="B213" s="13">
        <v>2025</v>
      </c>
      <c r="C213" s="13">
        <v>6</v>
      </c>
      <c r="D213" s="13" t="s">
        <v>75</v>
      </c>
      <c r="E213" s="13" t="s">
        <v>76</v>
      </c>
      <c r="F213" s="13" t="s">
        <v>55</v>
      </c>
      <c r="G213" s="19">
        <v>635.37937040814052</v>
      </c>
      <c r="H213" s="13" t="s">
        <v>84</v>
      </c>
      <c r="I213" s="13" t="s">
        <v>85</v>
      </c>
      <c r="J213" s="21" t="str">
        <f>_xlfn.XLOOKUP(F213,'04_Account_Mapping'!$A$6:$A$14,'04_Account_Mapping'!$C$6:$C$14,"Unmapped",0)</f>
        <v>Revenue</v>
      </c>
      <c r="K213" s="21" t="str">
        <f>_xlfn.XLOOKUP(F213,'04_Account_Mapping'!$A$6:$A$14,'04_Account_Mapping'!$D$6:$D$14,"Unmapped",0)</f>
        <v>Income</v>
      </c>
    </row>
    <row r="214" spans="1:11">
      <c r="A214" s="16">
        <v>45809</v>
      </c>
      <c r="B214" s="13">
        <v>2025</v>
      </c>
      <c r="C214" s="13">
        <v>6</v>
      </c>
      <c r="D214" s="13" t="s">
        <v>75</v>
      </c>
      <c r="E214" s="13" t="s">
        <v>76</v>
      </c>
      <c r="F214" s="13" t="s">
        <v>58</v>
      </c>
      <c r="G214" s="19">
        <v>-505.75138918870636</v>
      </c>
      <c r="H214" s="13" t="s">
        <v>84</v>
      </c>
      <c r="I214" s="13" t="s">
        <v>85</v>
      </c>
      <c r="J214" s="21" t="str">
        <f>_xlfn.XLOOKUP(F214,'04_Account_Mapping'!$A$6:$A$14,'04_Account_Mapping'!$C$6:$C$14,"Unmapped",0)</f>
        <v>COGS</v>
      </c>
      <c r="K214" s="21" t="str">
        <f>_xlfn.XLOOKUP(F214,'04_Account_Mapping'!$A$6:$A$14,'04_Account_Mapping'!$D$6:$D$14,"Unmapped",0)</f>
        <v>Expense</v>
      </c>
    </row>
    <row r="215" spans="1:11">
      <c r="A215" s="16">
        <v>45809</v>
      </c>
      <c r="B215" s="13">
        <v>2025</v>
      </c>
      <c r="C215" s="13">
        <v>6</v>
      </c>
      <c r="D215" s="13" t="s">
        <v>75</v>
      </c>
      <c r="E215" s="13" t="s">
        <v>76</v>
      </c>
      <c r="F215" s="13" t="s">
        <v>60</v>
      </c>
      <c r="G215" s="19">
        <v>-90.223870597955937</v>
      </c>
      <c r="H215" s="13" t="s">
        <v>84</v>
      </c>
      <c r="I215" s="13" t="s">
        <v>85</v>
      </c>
      <c r="J215" s="21" t="str">
        <f>_xlfn.XLOOKUP(F215,'04_Account_Mapping'!$A$6:$A$14,'04_Account_Mapping'!$C$6:$C$14,"Unmapped",0)</f>
        <v>Selling Expense</v>
      </c>
      <c r="K215" s="21" t="str">
        <f>_xlfn.XLOOKUP(F215,'04_Account_Mapping'!$A$6:$A$14,'04_Account_Mapping'!$D$6:$D$14,"Unmapped",0)</f>
        <v>Expense</v>
      </c>
    </row>
    <row r="216" spans="1:11">
      <c r="A216" s="16">
        <v>45809</v>
      </c>
      <c r="B216" s="13">
        <v>2025</v>
      </c>
      <c r="C216" s="13">
        <v>6</v>
      </c>
      <c r="D216" s="13" t="s">
        <v>75</v>
      </c>
      <c r="E216" s="13" t="s">
        <v>76</v>
      </c>
      <c r="F216" s="13" t="s">
        <v>61</v>
      </c>
      <c r="G216" s="19">
        <v>-17.155243001019794</v>
      </c>
      <c r="H216" s="13" t="s">
        <v>84</v>
      </c>
      <c r="I216" s="13" t="s">
        <v>85</v>
      </c>
      <c r="J216" s="21" t="str">
        <f>_xlfn.XLOOKUP(F216,'04_Account_Mapping'!$A$6:$A$14,'04_Account_Mapping'!$C$6:$C$14,"Unmapped",0)</f>
        <v>G&amp;A</v>
      </c>
      <c r="K216" s="21" t="str">
        <f>_xlfn.XLOOKUP(F216,'04_Account_Mapping'!$A$6:$A$14,'04_Account_Mapping'!$D$6:$D$14,"Unmapped",0)</f>
        <v>Expense</v>
      </c>
    </row>
    <row r="217" spans="1:11">
      <c r="A217" s="16">
        <v>45809</v>
      </c>
      <c r="B217" s="13">
        <v>2025</v>
      </c>
      <c r="C217" s="13">
        <v>6</v>
      </c>
      <c r="D217" s="13" t="s">
        <v>75</v>
      </c>
      <c r="E217" s="13" t="s">
        <v>76</v>
      </c>
      <c r="F217" s="13" t="s">
        <v>62</v>
      </c>
      <c r="G217" s="19">
        <v>9.5306905561221082</v>
      </c>
      <c r="H217" s="13" t="s">
        <v>84</v>
      </c>
      <c r="I217" s="13" t="s">
        <v>85</v>
      </c>
      <c r="J217" s="21" t="str">
        <f>_xlfn.XLOOKUP(F217,'04_Account_Mapping'!$A$6:$A$14,'04_Account_Mapping'!$C$6:$C$14,"Unmapped",0)</f>
        <v>Finance Income</v>
      </c>
      <c r="K217" s="21" t="str">
        <f>_xlfn.XLOOKUP(F217,'04_Account_Mapping'!$A$6:$A$14,'04_Account_Mapping'!$D$6:$D$14,"Unmapped",0)</f>
        <v>Income</v>
      </c>
    </row>
    <row r="218" spans="1:11">
      <c r="A218" s="16">
        <v>45809</v>
      </c>
      <c r="B218" s="13">
        <v>2025</v>
      </c>
      <c r="C218" s="13">
        <v>6</v>
      </c>
      <c r="D218" s="13" t="s">
        <v>75</v>
      </c>
      <c r="E218" s="13" t="s">
        <v>76</v>
      </c>
      <c r="F218" s="13" t="s">
        <v>63</v>
      </c>
      <c r="G218" s="19">
        <v>-5.0830349632651242</v>
      </c>
      <c r="H218" s="13" t="s">
        <v>84</v>
      </c>
      <c r="I218" s="13" t="s">
        <v>85</v>
      </c>
      <c r="J218" s="21" t="str">
        <f>_xlfn.XLOOKUP(F218,'04_Account_Mapping'!$A$6:$A$14,'04_Account_Mapping'!$C$6:$C$14,"Unmapped",0)</f>
        <v>Finance Expense</v>
      </c>
      <c r="K218" s="21" t="str">
        <f>_xlfn.XLOOKUP(F218,'04_Account_Mapping'!$A$6:$A$14,'04_Account_Mapping'!$D$6:$D$14,"Unmapped",0)</f>
        <v>Expense</v>
      </c>
    </row>
    <row r="219" spans="1:11">
      <c r="A219" s="16">
        <v>45809</v>
      </c>
      <c r="B219" s="13">
        <v>2025</v>
      </c>
      <c r="C219" s="13">
        <v>6</v>
      </c>
      <c r="D219" s="13" t="s">
        <v>75</v>
      </c>
      <c r="E219" s="13" t="s">
        <v>76</v>
      </c>
      <c r="F219" s="13" t="s">
        <v>64</v>
      </c>
      <c r="G219" s="19">
        <v>0</v>
      </c>
      <c r="H219" s="13" t="s">
        <v>84</v>
      </c>
      <c r="I219" s="13" t="s">
        <v>85</v>
      </c>
      <c r="J219" s="21" t="str">
        <f>_xlfn.XLOOKUP(F219,'04_Account_Mapping'!$A$6:$A$14,'04_Account_Mapping'!$C$6:$C$14,"Unmapped",0)</f>
        <v>JV Profit/(Loss)</v>
      </c>
      <c r="K219" s="21" t="str">
        <f>_xlfn.XLOOKUP(F219,'04_Account_Mapping'!$A$6:$A$14,'04_Account_Mapping'!$D$6:$D$14,"Unmapped",0)</f>
        <v>Income</v>
      </c>
    </row>
    <row r="220" spans="1:11">
      <c r="A220" s="16">
        <v>45809</v>
      </c>
      <c r="B220" s="13">
        <v>2025</v>
      </c>
      <c r="C220" s="13">
        <v>6</v>
      </c>
      <c r="D220" s="13" t="s">
        <v>75</v>
      </c>
      <c r="E220" s="13" t="s">
        <v>76</v>
      </c>
      <c r="F220" s="13" t="s">
        <v>65</v>
      </c>
      <c r="G220" s="19">
        <v>-1.0166069926530248</v>
      </c>
      <c r="H220" s="13" t="s">
        <v>84</v>
      </c>
      <c r="I220" s="13" t="s">
        <v>85</v>
      </c>
      <c r="J220" s="21" t="str">
        <f>_xlfn.XLOOKUP(F220,'04_Account_Mapping'!$A$6:$A$14,'04_Account_Mapping'!$C$6:$C$14,"Unmapped",0)</f>
        <v>Other Net</v>
      </c>
      <c r="K220" s="21" t="str">
        <f>_xlfn.XLOOKUP(F220,'04_Account_Mapping'!$A$6:$A$14,'04_Account_Mapping'!$D$6:$D$14,"Unmapped",0)</f>
        <v>Income</v>
      </c>
    </row>
    <row r="221" spans="1:11">
      <c r="A221" s="16">
        <v>45809</v>
      </c>
      <c r="B221" s="13">
        <v>2025</v>
      </c>
      <c r="C221" s="13">
        <v>6</v>
      </c>
      <c r="D221" s="13" t="s">
        <v>75</v>
      </c>
      <c r="E221" s="13" t="s">
        <v>76</v>
      </c>
      <c r="F221" s="13" t="s">
        <v>66</v>
      </c>
      <c r="G221" s="19">
        <v>-5.1359832441324844</v>
      </c>
      <c r="H221" s="13" t="s">
        <v>84</v>
      </c>
      <c r="I221" s="13" t="s">
        <v>85</v>
      </c>
      <c r="J221" s="21" t="str">
        <f>_xlfn.XLOOKUP(F221,'04_Account_Mapping'!$A$6:$A$14,'04_Account_Mapping'!$C$6:$C$14,"Unmapped",0)</f>
        <v>Tax Expense</v>
      </c>
      <c r="K221" s="21" t="str">
        <f>_xlfn.XLOOKUP(F221,'04_Account_Mapping'!$A$6:$A$14,'04_Account_Mapping'!$D$6:$D$14,"Unmapped",0)</f>
        <v>Expense</v>
      </c>
    </row>
    <row r="222" spans="1:11">
      <c r="A222" s="16">
        <v>45839</v>
      </c>
      <c r="B222" s="13">
        <v>2025</v>
      </c>
      <c r="C222" s="13">
        <v>7</v>
      </c>
      <c r="D222" s="13" t="s">
        <v>67</v>
      </c>
      <c r="E222" s="13" t="s">
        <v>68</v>
      </c>
      <c r="F222" s="13" t="s">
        <v>55</v>
      </c>
      <c r="G222" s="19">
        <v>2682.4275537624403</v>
      </c>
      <c r="H222" s="13" t="s">
        <v>84</v>
      </c>
      <c r="I222" s="13" t="s">
        <v>85</v>
      </c>
      <c r="J222" s="21" t="str">
        <f>_xlfn.XLOOKUP(F222,'04_Account_Mapping'!$A$6:$A$14,'04_Account_Mapping'!$C$6:$C$14,"Unmapped",0)</f>
        <v>Revenue</v>
      </c>
      <c r="K222" s="21" t="str">
        <f>_xlfn.XLOOKUP(F222,'04_Account_Mapping'!$A$6:$A$14,'04_Account_Mapping'!$D$6:$D$14,"Unmapped",0)</f>
        <v>Income</v>
      </c>
    </row>
    <row r="223" spans="1:11">
      <c r="A223" s="16">
        <v>45839</v>
      </c>
      <c r="B223" s="13">
        <v>2025</v>
      </c>
      <c r="C223" s="13">
        <v>7</v>
      </c>
      <c r="D223" s="13" t="s">
        <v>67</v>
      </c>
      <c r="E223" s="13" t="s">
        <v>68</v>
      </c>
      <c r="F223" s="13" t="s">
        <v>58</v>
      </c>
      <c r="G223" s="19">
        <v>-2135.1676256690062</v>
      </c>
      <c r="H223" s="13" t="s">
        <v>84</v>
      </c>
      <c r="I223" s="13" t="s">
        <v>85</v>
      </c>
      <c r="J223" s="21" t="str">
        <f>_xlfn.XLOOKUP(F223,'04_Account_Mapping'!$A$6:$A$14,'04_Account_Mapping'!$C$6:$C$14,"Unmapped",0)</f>
        <v>COGS</v>
      </c>
      <c r="K223" s="21" t="str">
        <f>_xlfn.XLOOKUP(F223,'04_Account_Mapping'!$A$6:$A$14,'04_Account_Mapping'!$D$6:$D$14,"Unmapped",0)</f>
        <v>Expense</v>
      </c>
    </row>
    <row r="224" spans="1:11">
      <c r="A224" s="16">
        <v>45839</v>
      </c>
      <c r="B224" s="13">
        <v>2025</v>
      </c>
      <c r="C224" s="13">
        <v>7</v>
      </c>
      <c r="D224" s="13" t="s">
        <v>67</v>
      </c>
      <c r="E224" s="13" t="s">
        <v>68</v>
      </c>
      <c r="F224" s="13" t="s">
        <v>60</v>
      </c>
      <c r="G224" s="19">
        <v>-380.90471263426645</v>
      </c>
      <c r="H224" s="13" t="s">
        <v>84</v>
      </c>
      <c r="I224" s="13" t="s">
        <v>85</v>
      </c>
      <c r="J224" s="21" t="str">
        <f>_xlfn.XLOOKUP(F224,'04_Account_Mapping'!$A$6:$A$14,'04_Account_Mapping'!$C$6:$C$14,"Unmapped",0)</f>
        <v>Selling Expense</v>
      </c>
      <c r="K224" s="21" t="str">
        <f>_xlfn.XLOOKUP(F224,'04_Account_Mapping'!$A$6:$A$14,'04_Account_Mapping'!$D$6:$D$14,"Unmapped",0)</f>
        <v>Expense</v>
      </c>
    </row>
    <row r="225" spans="1:11">
      <c r="A225" s="16">
        <v>45839</v>
      </c>
      <c r="B225" s="13">
        <v>2025</v>
      </c>
      <c r="C225" s="13">
        <v>7</v>
      </c>
      <c r="D225" s="13" t="s">
        <v>67</v>
      </c>
      <c r="E225" s="13" t="s">
        <v>68</v>
      </c>
      <c r="F225" s="13" t="s">
        <v>61</v>
      </c>
      <c r="G225" s="19">
        <v>-72.42554395158588</v>
      </c>
      <c r="H225" s="13" t="s">
        <v>84</v>
      </c>
      <c r="I225" s="13" t="s">
        <v>85</v>
      </c>
      <c r="J225" s="21" t="str">
        <f>_xlfn.XLOOKUP(F225,'04_Account_Mapping'!$A$6:$A$14,'04_Account_Mapping'!$C$6:$C$14,"Unmapped",0)</f>
        <v>G&amp;A</v>
      </c>
      <c r="K225" s="21" t="str">
        <f>_xlfn.XLOOKUP(F225,'04_Account_Mapping'!$A$6:$A$14,'04_Account_Mapping'!$D$6:$D$14,"Unmapped",0)</f>
        <v>Expense</v>
      </c>
    </row>
    <row r="226" spans="1:11">
      <c r="A226" s="16">
        <v>45839</v>
      </c>
      <c r="B226" s="13">
        <v>2025</v>
      </c>
      <c r="C226" s="13">
        <v>7</v>
      </c>
      <c r="D226" s="13" t="s">
        <v>67</v>
      </c>
      <c r="E226" s="13" t="s">
        <v>68</v>
      </c>
      <c r="F226" s="13" t="s">
        <v>62</v>
      </c>
      <c r="G226" s="19">
        <v>40.236413306436603</v>
      </c>
      <c r="H226" s="13" t="s">
        <v>84</v>
      </c>
      <c r="I226" s="13" t="s">
        <v>85</v>
      </c>
      <c r="J226" s="21" t="str">
        <f>_xlfn.XLOOKUP(F226,'04_Account_Mapping'!$A$6:$A$14,'04_Account_Mapping'!$C$6:$C$14,"Unmapped",0)</f>
        <v>Finance Income</v>
      </c>
      <c r="K226" s="21" t="str">
        <f>_xlfn.XLOOKUP(F226,'04_Account_Mapping'!$A$6:$A$14,'04_Account_Mapping'!$D$6:$D$14,"Unmapped",0)</f>
        <v>Income</v>
      </c>
    </row>
    <row r="227" spans="1:11">
      <c r="A227" s="16">
        <v>45839</v>
      </c>
      <c r="B227" s="13">
        <v>2025</v>
      </c>
      <c r="C227" s="13">
        <v>7</v>
      </c>
      <c r="D227" s="13" t="s">
        <v>67</v>
      </c>
      <c r="E227" s="13" t="s">
        <v>68</v>
      </c>
      <c r="F227" s="13" t="s">
        <v>63</v>
      </c>
      <c r="G227" s="19">
        <v>-21.45942043009952</v>
      </c>
      <c r="H227" s="13" t="s">
        <v>84</v>
      </c>
      <c r="I227" s="13" t="s">
        <v>85</v>
      </c>
      <c r="J227" s="21" t="str">
        <f>_xlfn.XLOOKUP(F227,'04_Account_Mapping'!$A$6:$A$14,'04_Account_Mapping'!$C$6:$C$14,"Unmapped",0)</f>
        <v>Finance Expense</v>
      </c>
      <c r="K227" s="21" t="str">
        <f>_xlfn.XLOOKUP(F227,'04_Account_Mapping'!$A$6:$A$14,'04_Account_Mapping'!$D$6:$D$14,"Unmapped",0)</f>
        <v>Expense</v>
      </c>
    </row>
    <row r="228" spans="1:11">
      <c r="A228" s="16">
        <v>45839</v>
      </c>
      <c r="B228" s="13">
        <v>2025</v>
      </c>
      <c r="C228" s="13">
        <v>7</v>
      </c>
      <c r="D228" s="13" t="s">
        <v>67</v>
      </c>
      <c r="E228" s="13" t="s">
        <v>68</v>
      </c>
      <c r="F228" s="13" t="s">
        <v>64</v>
      </c>
      <c r="G228" s="19">
        <v>0</v>
      </c>
      <c r="H228" s="13" t="s">
        <v>84</v>
      </c>
      <c r="I228" s="13" t="s">
        <v>85</v>
      </c>
      <c r="J228" s="21" t="str">
        <f>_xlfn.XLOOKUP(F228,'04_Account_Mapping'!$A$6:$A$14,'04_Account_Mapping'!$C$6:$C$14,"Unmapped",0)</f>
        <v>JV Profit/(Loss)</v>
      </c>
      <c r="K228" s="21" t="str">
        <f>_xlfn.XLOOKUP(F228,'04_Account_Mapping'!$A$6:$A$14,'04_Account_Mapping'!$D$6:$D$14,"Unmapped",0)</f>
        <v>Income</v>
      </c>
    </row>
    <row r="229" spans="1:11">
      <c r="A229" s="16">
        <v>45839</v>
      </c>
      <c r="B229" s="13">
        <v>2025</v>
      </c>
      <c r="C229" s="13">
        <v>7</v>
      </c>
      <c r="D229" s="13" t="s">
        <v>67</v>
      </c>
      <c r="E229" s="13" t="s">
        <v>68</v>
      </c>
      <c r="F229" s="13" t="s">
        <v>65</v>
      </c>
      <c r="G229" s="19">
        <v>-4.2918840860199046</v>
      </c>
      <c r="H229" s="13" t="s">
        <v>84</v>
      </c>
      <c r="I229" s="13" t="s">
        <v>85</v>
      </c>
      <c r="J229" s="21" t="str">
        <f>_xlfn.XLOOKUP(F229,'04_Account_Mapping'!$A$6:$A$14,'04_Account_Mapping'!$C$6:$C$14,"Unmapped",0)</f>
        <v>Other Net</v>
      </c>
      <c r="K229" s="21" t="str">
        <f>_xlfn.XLOOKUP(F229,'04_Account_Mapping'!$A$6:$A$14,'04_Account_Mapping'!$D$6:$D$14,"Unmapped",0)</f>
        <v>Income</v>
      </c>
    </row>
    <row r="230" spans="1:11">
      <c r="A230" s="16">
        <v>45839</v>
      </c>
      <c r="B230" s="13">
        <v>2025</v>
      </c>
      <c r="C230" s="13">
        <v>7</v>
      </c>
      <c r="D230" s="13" t="s">
        <v>67</v>
      </c>
      <c r="E230" s="13" t="s">
        <v>68</v>
      </c>
      <c r="F230" s="13" t="s">
        <v>66</v>
      </c>
      <c r="G230" s="19">
        <v>-21.682956059579791</v>
      </c>
      <c r="H230" s="13" t="s">
        <v>84</v>
      </c>
      <c r="I230" s="13" t="s">
        <v>85</v>
      </c>
      <c r="J230" s="21" t="str">
        <f>_xlfn.XLOOKUP(F230,'04_Account_Mapping'!$A$6:$A$14,'04_Account_Mapping'!$C$6:$C$14,"Unmapped",0)</f>
        <v>Tax Expense</v>
      </c>
      <c r="K230" s="21" t="str">
        <f>_xlfn.XLOOKUP(F230,'04_Account_Mapping'!$A$6:$A$14,'04_Account_Mapping'!$D$6:$D$14,"Unmapped",0)</f>
        <v>Expense</v>
      </c>
    </row>
    <row r="231" spans="1:11">
      <c r="A231" s="16">
        <v>45839</v>
      </c>
      <c r="B231" s="13">
        <v>2025</v>
      </c>
      <c r="C231" s="13">
        <v>7</v>
      </c>
      <c r="D231" s="13" t="s">
        <v>72</v>
      </c>
      <c r="E231" s="13" t="s">
        <v>68</v>
      </c>
      <c r="F231" s="13" t="s">
        <v>55</v>
      </c>
      <c r="G231" s="19">
        <v>5120.9980571828401</v>
      </c>
      <c r="H231" s="13" t="s">
        <v>84</v>
      </c>
      <c r="I231" s="13" t="s">
        <v>85</v>
      </c>
      <c r="J231" s="21" t="str">
        <f>_xlfn.XLOOKUP(F231,'04_Account_Mapping'!$A$6:$A$14,'04_Account_Mapping'!$C$6:$C$14,"Unmapped",0)</f>
        <v>Revenue</v>
      </c>
      <c r="K231" s="21" t="str">
        <f>_xlfn.XLOOKUP(F231,'04_Account_Mapping'!$A$6:$A$14,'04_Account_Mapping'!$D$6:$D$14,"Unmapped",0)</f>
        <v>Income</v>
      </c>
    </row>
    <row r="232" spans="1:11">
      <c r="A232" s="16">
        <v>45839</v>
      </c>
      <c r="B232" s="13">
        <v>2025</v>
      </c>
      <c r="C232" s="13">
        <v>7</v>
      </c>
      <c r="D232" s="13" t="s">
        <v>72</v>
      </c>
      <c r="E232" s="13" t="s">
        <v>68</v>
      </c>
      <c r="F232" s="13" t="s">
        <v>58</v>
      </c>
      <c r="G232" s="19">
        <v>-4076.2291035499211</v>
      </c>
      <c r="H232" s="13" t="s">
        <v>84</v>
      </c>
      <c r="I232" s="13" t="s">
        <v>85</v>
      </c>
      <c r="J232" s="21" t="str">
        <f>_xlfn.XLOOKUP(F232,'04_Account_Mapping'!$A$6:$A$14,'04_Account_Mapping'!$C$6:$C$14,"Unmapped",0)</f>
        <v>COGS</v>
      </c>
      <c r="K232" s="21" t="str">
        <f>_xlfn.XLOOKUP(F232,'04_Account_Mapping'!$A$6:$A$14,'04_Account_Mapping'!$D$6:$D$14,"Unmapped",0)</f>
        <v>Expense</v>
      </c>
    </row>
    <row r="233" spans="1:11">
      <c r="A233" s="16">
        <v>45839</v>
      </c>
      <c r="B233" s="13">
        <v>2025</v>
      </c>
      <c r="C233" s="13">
        <v>7</v>
      </c>
      <c r="D233" s="13" t="s">
        <v>72</v>
      </c>
      <c r="E233" s="13" t="s">
        <v>68</v>
      </c>
      <c r="F233" s="13" t="s">
        <v>60</v>
      </c>
      <c r="G233" s="19">
        <v>-727.18172411996318</v>
      </c>
      <c r="H233" s="13" t="s">
        <v>84</v>
      </c>
      <c r="I233" s="13" t="s">
        <v>85</v>
      </c>
      <c r="J233" s="21" t="str">
        <f>_xlfn.XLOOKUP(F233,'04_Account_Mapping'!$A$6:$A$14,'04_Account_Mapping'!$C$6:$C$14,"Unmapped",0)</f>
        <v>Selling Expense</v>
      </c>
      <c r="K233" s="21" t="str">
        <f>_xlfn.XLOOKUP(F233,'04_Account_Mapping'!$A$6:$A$14,'04_Account_Mapping'!$D$6:$D$14,"Unmapped",0)</f>
        <v>Expense</v>
      </c>
    </row>
    <row r="234" spans="1:11">
      <c r="A234" s="16">
        <v>45839</v>
      </c>
      <c r="B234" s="13">
        <v>2025</v>
      </c>
      <c r="C234" s="13">
        <v>7</v>
      </c>
      <c r="D234" s="13" t="s">
        <v>72</v>
      </c>
      <c r="E234" s="13" t="s">
        <v>68</v>
      </c>
      <c r="F234" s="13" t="s">
        <v>61</v>
      </c>
      <c r="G234" s="19">
        <v>-138.26694754393668</v>
      </c>
      <c r="H234" s="13" t="s">
        <v>84</v>
      </c>
      <c r="I234" s="13" t="s">
        <v>85</v>
      </c>
      <c r="J234" s="21" t="str">
        <f>_xlfn.XLOOKUP(F234,'04_Account_Mapping'!$A$6:$A$14,'04_Account_Mapping'!$C$6:$C$14,"Unmapped",0)</f>
        <v>G&amp;A</v>
      </c>
      <c r="K234" s="21" t="str">
        <f>_xlfn.XLOOKUP(F234,'04_Account_Mapping'!$A$6:$A$14,'04_Account_Mapping'!$D$6:$D$14,"Unmapped",0)</f>
        <v>Expense</v>
      </c>
    </row>
    <row r="235" spans="1:11">
      <c r="A235" s="16">
        <v>45839</v>
      </c>
      <c r="B235" s="13">
        <v>2025</v>
      </c>
      <c r="C235" s="13">
        <v>7</v>
      </c>
      <c r="D235" s="13" t="s">
        <v>72</v>
      </c>
      <c r="E235" s="13" t="s">
        <v>68</v>
      </c>
      <c r="F235" s="13" t="s">
        <v>62</v>
      </c>
      <c r="G235" s="19">
        <v>76.814970857742608</v>
      </c>
      <c r="H235" s="13" t="s">
        <v>84</v>
      </c>
      <c r="I235" s="13" t="s">
        <v>85</v>
      </c>
      <c r="J235" s="21" t="str">
        <f>_xlfn.XLOOKUP(F235,'04_Account_Mapping'!$A$6:$A$14,'04_Account_Mapping'!$C$6:$C$14,"Unmapped",0)</f>
        <v>Finance Income</v>
      </c>
      <c r="K235" s="21" t="str">
        <f>_xlfn.XLOOKUP(F235,'04_Account_Mapping'!$A$6:$A$14,'04_Account_Mapping'!$D$6:$D$14,"Unmapped",0)</f>
        <v>Income</v>
      </c>
    </row>
    <row r="236" spans="1:11">
      <c r="A236" s="16">
        <v>45839</v>
      </c>
      <c r="B236" s="13">
        <v>2025</v>
      </c>
      <c r="C236" s="13">
        <v>7</v>
      </c>
      <c r="D236" s="13" t="s">
        <v>72</v>
      </c>
      <c r="E236" s="13" t="s">
        <v>68</v>
      </c>
      <c r="F236" s="13" t="s">
        <v>63</v>
      </c>
      <c r="G236" s="19">
        <v>-40.96798445746272</v>
      </c>
      <c r="H236" s="13" t="s">
        <v>84</v>
      </c>
      <c r="I236" s="13" t="s">
        <v>85</v>
      </c>
      <c r="J236" s="21" t="str">
        <f>_xlfn.XLOOKUP(F236,'04_Account_Mapping'!$A$6:$A$14,'04_Account_Mapping'!$C$6:$C$14,"Unmapped",0)</f>
        <v>Finance Expense</v>
      </c>
      <c r="K236" s="21" t="str">
        <f>_xlfn.XLOOKUP(F236,'04_Account_Mapping'!$A$6:$A$14,'04_Account_Mapping'!$D$6:$D$14,"Unmapped",0)</f>
        <v>Expense</v>
      </c>
    </row>
    <row r="237" spans="1:11">
      <c r="A237" s="16">
        <v>45839</v>
      </c>
      <c r="B237" s="13">
        <v>2025</v>
      </c>
      <c r="C237" s="13">
        <v>7</v>
      </c>
      <c r="D237" s="13" t="s">
        <v>72</v>
      </c>
      <c r="E237" s="13" t="s">
        <v>68</v>
      </c>
      <c r="F237" s="13" t="s">
        <v>64</v>
      </c>
      <c r="G237" s="19">
        <v>0</v>
      </c>
      <c r="H237" s="13" t="s">
        <v>84</v>
      </c>
      <c r="I237" s="13" t="s">
        <v>85</v>
      </c>
      <c r="J237" s="21" t="str">
        <f>_xlfn.XLOOKUP(F237,'04_Account_Mapping'!$A$6:$A$14,'04_Account_Mapping'!$C$6:$C$14,"Unmapped",0)</f>
        <v>JV Profit/(Loss)</v>
      </c>
      <c r="K237" s="21" t="str">
        <f>_xlfn.XLOOKUP(F237,'04_Account_Mapping'!$A$6:$A$14,'04_Account_Mapping'!$D$6:$D$14,"Unmapped",0)</f>
        <v>Income</v>
      </c>
    </row>
    <row r="238" spans="1:11">
      <c r="A238" s="16">
        <v>45839</v>
      </c>
      <c r="B238" s="13">
        <v>2025</v>
      </c>
      <c r="C238" s="13">
        <v>7</v>
      </c>
      <c r="D238" s="13" t="s">
        <v>72</v>
      </c>
      <c r="E238" s="13" t="s">
        <v>68</v>
      </c>
      <c r="F238" s="13" t="s">
        <v>65</v>
      </c>
      <c r="G238" s="19">
        <v>-8.193596891492545</v>
      </c>
      <c r="H238" s="13" t="s">
        <v>84</v>
      </c>
      <c r="I238" s="13" t="s">
        <v>85</v>
      </c>
      <c r="J238" s="21" t="str">
        <f>_xlfn.XLOOKUP(F238,'04_Account_Mapping'!$A$6:$A$14,'04_Account_Mapping'!$C$6:$C$14,"Unmapped",0)</f>
        <v>Other Net</v>
      </c>
      <c r="K238" s="21" t="str">
        <f>_xlfn.XLOOKUP(F238,'04_Account_Mapping'!$A$6:$A$14,'04_Account_Mapping'!$D$6:$D$14,"Unmapped",0)</f>
        <v>Income</v>
      </c>
    </row>
    <row r="239" spans="1:11">
      <c r="A239" s="16">
        <v>45839</v>
      </c>
      <c r="B239" s="13">
        <v>2025</v>
      </c>
      <c r="C239" s="13">
        <v>7</v>
      </c>
      <c r="D239" s="13" t="s">
        <v>72</v>
      </c>
      <c r="E239" s="13" t="s">
        <v>68</v>
      </c>
      <c r="F239" s="13" t="s">
        <v>66</v>
      </c>
      <c r="G239" s="19">
        <v>-41.394734295561413</v>
      </c>
      <c r="H239" s="13" t="s">
        <v>84</v>
      </c>
      <c r="I239" s="13" t="s">
        <v>85</v>
      </c>
      <c r="J239" s="21" t="str">
        <f>_xlfn.XLOOKUP(F239,'04_Account_Mapping'!$A$6:$A$14,'04_Account_Mapping'!$C$6:$C$14,"Unmapped",0)</f>
        <v>Tax Expense</v>
      </c>
      <c r="K239" s="21" t="str">
        <f>_xlfn.XLOOKUP(F239,'04_Account_Mapping'!$A$6:$A$14,'04_Account_Mapping'!$D$6:$D$14,"Unmapped",0)</f>
        <v>Expense</v>
      </c>
    </row>
    <row r="240" spans="1:11">
      <c r="A240" s="16">
        <v>45839</v>
      </c>
      <c r="B240" s="13">
        <v>2025</v>
      </c>
      <c r="C240" s="13">
        <v>7</v>
      </c>
      <c r="D240" s="13" t="s">
        <v>73</v>
      </c>
      <c r="E240" s="13" t="s">
        <v>74</v>
      </c>
      <c r="F240" s="13" t="s">
        <v>55</v>
      </c>
      <c r="G240" s="19">
        <v>3779.7842803016201</v>
      </c>
      <c r="H240" s="13" t="s">
        <v>84</v>
      </c>
      <c r="I240" s="13" t="s">
        <v>85</v>
      </c>
      <c r="J240" s="21" t="str">
        <f>_xlfn.XLOOKUP(F240,'04_Account_Mapping'!$A$6:$A$14,'04_Account_Mapping'!$C$6:$C$14,"Unmapped",0)</f>
        <v>Revenue</v>
      </c>
      <c r="K240" s="21" t="str">
        <f>_xlfn.XLOOKUP(F240,'04_Account_Mapping'!$A$6:$A$14,'04_Account_Mapping'!$D$6:$D$14,"Unmapped",0)</f>
        <v>Income</v>
      </c>
    </row>
    <row r="241" spans="1:11">
      <c r="A241" s="16">
        <v>45839</v>
      </c>
      <c r="B241" s="13">
        <v>2025</v>
      </c>
      <c r="C241" s="13">
        <v>7</v>
      </c>
      <c r="D241" s="13" t="s">
        <v>73</v>
      </c>
      <c r="E241" s="13" t="s">
        <v>74</v>
      </c>
      <c r="F241" s="13" t="s">
        <v>58</v>
      </c>
      <c r="G241" s="19">
        <v>-3008.645290715418</v>
      </c>
      <c r="H241" s="13" t="s">
        <v>84</v>
      </c>
      <c r="I241" s="13" t="s">
        <v>85</v>
      </c>
      <c r="J241" s="21" t="str">
        <f>_xlfn.XLOOKUP(F241,'04_Account_Mapping'!$A$6:$A$14,'04_Account_Mapping'!$C$6:$C$14,"Unmapped",0)</f>
        <v>COGS</v>
      </c>
      <c r="K241" s="21" t="str">
        <f>_xlfn.XLOOKUP(F241,'04_Account_Mapping'!$A$6:$A$14,'04_Account_Mapping'!$D$6:$D$14,"Unmapped",0)</f>
        <v>Expense</v>
      </c>
    </row>
    <row r="242" spans="1:11">
      <c r="A242" s="16">
        <v>45839</v>
      </c>
      <c r="B242" s="13">
        <v>2025</v>
      </c>
      <c r="C242" s="13">
        <v>7</v>
      </c>
      <c r="D242" s="13" t="s">
        <v>73</v>
      </c>
      <c r="E242" s="13" t="s">
        <v>74</v>
      </c>
      <c r="F242" s="13" t="s">
        <v>60</v>
      </c>
      <c r="G242" s="19">
        <v>-536.72936780282998</v>
      </c>
      <c r="H242" s="13" t="s">
        <v>84</v>
      </c>
      <c r="I242" s="13" t="s">
        <v>85</v>
      </c>
      <c r="J242" s="21" t="str">
        <f>_xlfn.XLOOKUP(F242,'04_Account_Mapping'!$A$6:$A$14,'04_Account_Mapping'!$C$6:$C$14,"Unmapped",0)</f>
        <v>Selling Expense</v>
      </c>
      <c r="K242" s="21" t="str">
        <f>_xlfn.XLOOKUP(F242,'04_Account_Mapping'!$A$6:$A$14,'04_Account_Mapping'!$D$6:$D$14,"Unmapped",0)</f>
        <v>Expense</v>
      </c>
    </row>
    <row r="243" spans="1:11">
      <c r="A243" s="16">
        <v>45839</v>
      </c>
      <c r="B243" s="13">
        <v>2025</v>
      </c>
      <c r="C243" s="13">
        <v>7</v>
      </c>
      <c r="D243" s="13" t="s">
        <v>73</v>
      </c>
      <c r="E243" s="13" t="s">
        <v>74</v>
      </c>
      <c r="F243" s="13" t="s">
        <v>61</v>
      </c>
      <c r="G243" s="19">
        <v>-102.05417556814375</v>
      </c>
      <c r="H243" s="13" t="s">
        <v>84</v>
      </c>
      <c r="I243" s="13" t="s">
        <v>85</v>
      </c>
      <c r="J243" s="21" t="str">
        <f>_xlfn.XLOOKUP(F243,'04_Account_Mapping'!$A$6:$A$14,'04_Account_Mapping'!$C$6:$C$14,"Unmapped",0)</f>
        <v>G&amp;A</v>
      </c>
      <c r="K243" s="21" t="str">
        <f>_xlfn.XLOOKUP(F243,'04_Account_Mapping'!$A$6:$A$14,'04_Account_Mapping'!$D$6:$D$14,"Unmapped",0)</f>
        <v>Expense</v>
      </c>
    </row>
    <row r="244" spans="1:11">
      <c r="A244" s="16">
        <v>45839</v>
      </c>
      <c r="B244" s="13">
        <v>2025</v>
      </c>
      <c r="C244" s="13">
        <v>7</v>
      </c>
      <c r="D244" s="13" t="s">
        <v>73</v>
      </c>
      <c r="E244" s="13" t="s">
        <v>74</v>
      </c>
      <c r="F244" s="13" t="s">
        <v>62</v>
      </c>
      <c r="G244" s="19">
        <v>56.6967642045243</v>
      </c>
      <c r="H244" s="13" t="s">
        <v>84</v>
      </c>
      <c r="I244" s="13" t="s">
        <v>85</v>
      </c>
      <c r="J244" s="21" t="str">
        <f>_xlfn.XLOOKUP(F244,'04_Account_Mapping'!$A$6:$A$14,'04_Account_Mapping'!$C$6:$C$14,"Unmapped",0)</f>
        <v>Finance Income</v>
      </c>
      <c r="K244" s="21" t="str">
        <f>_xlfn.XLOOKUP(F244,'04_Account_Mapping'!$A$6:$A$14,'04_Account_Mapping'!$D$6:$D$14,"Unmapped",0)</f>
        <v>Income</v>
      </c>
    </row>
    <row r="245" spans="1:11">
      <c r="A245" s="16">
        <v>45839</v>
      </c>
      <c r="B245" s="13">
        <v>2025</v>
      </c>
      <c r="C245" s="13">
        <v>7</v>
      </c>
      <c r="D245" s="13" t="s">
        <v>73</v>
      </c>
      <c r="E245" s="13" t="s">
        <v>74</v>
      </c>
      <c r="F245" s="13" t="s">
        <v>63</v>
      </c>
      <c r="G245" s="19">
        <v>-30.238274242412963</v>
      </c>
      <c r="H245" s="13" t="s">
        <v>84</v>
      </c>
      <c r="I245" s="13" t="s">
        <v>85</v>
      </c>
      <c r="J245" s="21" t="str">
        <f>_xlfn.XLOOKUP(F245,'04_Account_Mapping'!$A$6:$A$14,'04_Account_Mapping'!$C$6:$C$14,"Unmapped",0)</f>
        <v>Finance Expense</v>
      </c>
      <c r="K245" s="21" t="str">
        <f>_xlfn.XLOOKUP(F245,'04_Account_Mapping'!$A$6:$A$14,'04_Account_Mapping'!$D$6:$D$14,"Unmapped",0)</f>
        <v>Expense</v>
      </c>
    </row>
    <row r="246" spans="1:11">
      <c r="A246" s="16">
        <v>45839</v>
      </c>
      <c r="B246" s="13">
        <v>2025</v>
      </c>
      <c r="C246" s="13">
        <v>7</v>
      </c>
      <c r="D246" s="13" t="s">
        <v>73</v>
      </c>
      <c r="E246" s="13" t="s">
        <v>74</v>
      </c>
      <c r="F246" s="13" t="s">
        <v>64</v>
      </c>
      <c r="G246" s="19">
        <v>0</v>
      </c>
      <c r="H246" s="13" t="s">
        <v>84</v>
      </c>
      <c r="I246" s="13" t="s">
        <v>85</v>
      </c>
      <c r="J246" s="21" t="str">
        <f>_xlfn.XLOOKUP(F246,'04_Account_Mapping'!$A$6:$A$14,'04_Account_Mapping'!$C$6:$C$14,"Unmapped",0)</f>
        <v>JV Profit/(Loss)</v>
      </c>
      <c r="K246" s="21" t="str">
        <f>_xlfn.XLOOKUP(F246,'04_Account_Mapping'!$A$6:$A$14,'04_Account_Mapping'!$D$6:$D$14,"Unmapped",0)</f>
        <v>Income</v>
      </c>
    </row>
    <row r="247" spans="1:11">
      <c r="A247" s="16">
        <v>45839</v>
      </c>
      <c r="B247" s="13">
        <v>2025</v>
      </c>
      <c r="C247" s="13">
        <v>7</v>
      </c>
      <c r="D247" s="13" t="s">
        <v>73</v>
      </c>
      <c r="E247" s="13" t="s">
        <v>74</v>
      </c>
      <c r="F247" s="13" t="s">
        <v>65</v>
      </c>
      <c r="G247" s="19">
        <v>-6.0476548484825923</v>
      </c>
      <c r="H247" s="13" t="s">
        <v>84</v>
      </c>
      <c r="I247" s="13" t="s">
        <v>85</v>
      </c>
      <c r="J247" s="21" t="str">
        <f>_xlfn.XLOOKUP(F247,'04_Account_Mapping'!$A$6:$A$14,'04_Account_Mapping'!$C$6:$C$14,"Unmapped",0)</f>
        <v>Other Net</v>
      </c>
      <c r="K247" s="21" t="str">
        <f>_xlfn.XLOOKUP(F247,'04_Account_Mapping'!$A$6:$A$14,'04_Account_Mapping'!$D$6:$D$14,"Unmapped",0)</f>
        <v>Income</v>
      </c>
    </row>
    <row r="248" spans="1:11">
      <c r="A248" s="16">
        <v>45839</v>
      </c>
      <c r="B248" s="13">
        <v>2025</v>
      </c>
      <c r="C248" s="13">
        <v>7</v>
      </c>
      <c r="D248" s="13" t="s">
        <v>73</v>
      </c>
      <c r="E248" s="13" t="s">
        <v>74</v>
      </c>
      <c r="F248" s="13" t="s">
        <v>66</v>
      </c>
      <c r="G248" s="19">
        <v>-30.553256265771523</v>
      </c>
      <c r="H248" s="13" t="s">
        <v>84</v>
      </c>
      <c r="I248" s="13" t="s">
        <v>85</v>
      </c>
      <c r="J248" s="21" t="str">
        <f>_xlfn.XLOOKUP(F248,'04_Account_Mapping'!$A$6:$A$14,'04_Account_Mapping'!$C$6:$C$14,"Unmapped",0)</f>
        <v>Tax Expense</v>
      </c>
      <c r="K248" s="21" t="str">
        <f>_xlfn.XLOOKUP(F248,'04_Account_Mapping'!$A$6:$A$14,'04_Account_Mapping'!$D$6:$D$14,"Unmapped",0)</f>
        <v>Expense</v>
      </c>
    </row>
    <row r="249" spans="1:11">
      <c r="A249" s="16">
        <v>45839</v>
      </c>
      <c r="B249" s="13">
        <v>2025</v>
      </c>
      <c r="C249" s="13">
        <v>7</v>
      </c>
      <c r="D249" s="13" t="s">
        <v>75</v>
      </c>
      <c r="E249" s="13" t="s">
        <v>76</v>
      </c>
      <c r="F249" s="13" t="s">
        <v>55</v>
      </c>
      <c r="G249" s="19">
        <v>609.64262585510005</v>
      </c>
      <c r="H249" s="13" t="s">
        <v>84</v>
      </c>
      <c r="I249" s="13" t="s">
        <v>85</v>
      </c>
      <c r="J249" s="21" t="str">
        <f>_xlfn.XLOOKUP(F249,'04_Account_Mapping'!$A$6:$A$14,'04_Account_Mapping'!$C$6:$C$14,"Unmapped",0)</f>
        <v>Revenue</v>
      </c>
      <c r="K249" s="21" t="str">
        <f>_xlfn.XLOOKUP(F249,'04_Account_Mapping'!$A$6:$A$14,'04_Account_Mapping'!$D$6:$D$14,"Unmapped",0)</f>
        <v>Income</v>
      </c>
    </row>
    <row r="250" spans="1:11">
      <c r="A250" s="16">
        <v>45839</v>
      </c>
      <c r="B250" s="13">
        <v>2025</v>
      </c>
      <c r="C250" s="13">
        <v>7</v>
      </c>
      <c r="D250" s="13" t="s">
        <v>75</v>
      </c>
      <c r="E250" s="13" t="s">
        <v>76</v>
      </c>
      <c r="F250" s="13" t="s">
        <v>58</v>
      </c>
      <c r="G250" s="19">
        <v>-485.26536947022873</v>
      </c>
      <c r="H250" s="13" t="s">
        <v>84</v>
      </c>
      <c r="I250" s="13" t="s">
        <v>85</v>
      </c>
      <c r="J250" s="21" t="str">
        <f>_xlfn.XLOOKUP(F250,'04_Account_Mapping'!$A$6:$A$14,'04_Account_Mapping'!$C$6:$C$14,"Unmapped",0)</f>
        <v>COGS</v>
      </c>
      <c r="K250" s="21" t="str">
        <f>_xlfn.XLOOKUP(F250,'04_Account_Mapping'!$A$6:$A$14,'04_Account_Mapping'!$D$6:$D$14,"Unmapped",0)</f>
        <v>Expense</v>
      </c>
    </row>
    <row r="251" spans="1:11">
      <c r="A251" s="16">
        <v>45839</v>
      </c>
      <c r="B251" s="13">
        <v>2025</v>
      </c>
      <c r="C251" s="13">
        <v>7</v>
      </c>
      <c r="D251" s="13" t="s">
        <v>75</v>
      </c>
      <c r="E251" s="13" t="s">
        <v>76</v>
      </c>
      <c r="F251" s="13" t="s">
        <v>60</v>
      </c>
      <c r="G251" s="19">
        <v>-86.569252871424183</v>
      </c>
      <c r="H251" s="13" t="s">
        <v>84</v>
      </c>
      <c r="I251" s="13" t="s">
        <v>85</v>
      </c>
      <c r="J251" s="21" t="str">
        <f>_xlfn.XLOOKUP(F251,'04_Account_Mapping'!$A$6:$A$14,'04_Account_Mapping'!$C$6:$C$14,"Unmapped",0)</f>
        <v>Selling Expense</v>
      </c>
      <c r="K251" s="21" t="str">
        <f>_xlfn.XLOOKUP(F251,'04_Account_Mapping'!$A$6:$A$14,'04_Account_Mapping'!$D$6:$D$14,"Unmapped",0)</f>
        <v>Expense</v>
      </c>
    </row>
    <row r="252" spans="1:11">
      <c r="A252" s="16">
        <v>45839</v>
      </c>
      <c r="B252" s="13">
        <v>2025</v>
      </c>
      <c r="C252" s="13">
        <v>7</v>
      </c>
      <c r="D252" s="13" t="s">
        <v>75</v>
      </c>
      <c r="E252" s="13" t="s">
        <v>76</v>
      </c>
      <c r="F252" s="13" t="s">
        <v>61</v>
      </c>
      <c r="G252" s="19">
        <v>-16.4603508980877</v>
      </c>
      <c r="H252" s="13" t="s">
        <v>84</v>
      </c>
      <c r="I252" s="13" t="s">
        <v>85</v>
      </c>
      <c r="J252" s="21" t="str">
        <f>_xlfn.XLOOKUP(F252,'04_Account_Mapping'!$A$6:$A$14,'04_Account_Mapping'!$C$6:$C$14,"Unmapped",0)</f>
        <v>G&amp;A</v>
      </c>
      <c r="K252" s="21" t="str">
        <f>_xlfn.XLOOKUP(F252,'04_Account_Mapping'!$A$6:$A$14,'04_Account_Mapping'!$D$6:$D$14,"Unmapped",0)</f>
        <v>Expense</v>
      </c>
    </row>
    <row r="253" spans="1:11">
      <c r="A253" s="16">
        <v>45839</v>
      </c>
      <c r="B253" s="13">
        <v>2025</v>
      </c>
      <c r="C253" s="13">
        <v>7</v>
      </c>
      <c r="D253" s="13" t="s">
        <v>75</v>
      </c>
      <c r="E253" s="13" t="s">
        <v>76</v>
      </c>
      <c r="F253" s="13" t="s">
        <v>62</v>
      </c>
      <c r="G253" s="19">
        <v>9.1446393878265013</v>
      </c>
      <c r="H253" s="13" t="s">
        <v>84</v>
      </c>
      <c r="I253" s="13" t="s">
        <v>85</v>
      </c>
      <c r="J253" s="21" t="str">
        <f>_xlfn.XLOOKUP(F253,'04_Account_Mapping'!$A$6:$A$14,'04_Account_Mapping'!$C$6:$C$14,"Unmapped",0)</f>
        <v>Finance Income</v>
      </c>
      <c r="K253" s="21" t="str">
        <f>_xlfn.XLOOKUP(F253,'04_Account_Mapping'!$A$6:$A$14,'04_Account_Mapping'!$D$6:$D$14,"Unmapped",0)</f>
        <v>Income</v>
      </c>
    </row>
    <row r="254" spans="1:11">
      <c r="A254" s="16">
        <v>45839</v>
      </c>
      <c r="B254" s="13">
        <v>2025</v>
      </c>
      <c r="C254" s="13">
        <v>7</v>
      </c>
      <c r="D254" s="13" t="s">
        <v>75</v>
      </c>
      <c r="E254" s="13" t="s">
        <v>76</v>
      </c>
      <c r="F254" s="13" t="s">
        <v>63</v>
      </c>
      <c r="G254" s="19">
        <v>-4.8771410068407999</v>
      </c>
      <c r="H254" s="13" t="s">
        <v>84</v>
      </c>
      <c r="I254" s="13" t="s">
        <v>85</v>
      </c>
      <c r="J254" s="21" t="str">
        <f>_xlfn.XLOOKUP(F254,'04_Account_Mapping'!$A$6:$A$14,'04_Account_Mapping'!$C$6:$C$14,"Unmapped",0)</f>
        <v>Finance Expense</v>
      </c>
      <c r="K254" s="21" t="str">
        <f>_xlfn.XLOOKUP(F254,'04_Account_Mapping'!$A$6:$A$14,'04_Account_Mapping'!$D$6:$D$14,"Unmapped",0)</f>
        <v>Expense</v>
      </c>
    </row>
    <row r="255" spans="1:11">
      <c r="A255" s="16">
        <v>45839</v>
      </c>
      <c r="B255" s="13">
        <v>2025</v>
      </c>
      <c r="C255" s="13">
        <v>7</v>
      </c>
      <c r="D255" s="13" t="s">
        <v>75</v>
      </c>
      <c r="E255" s="13" t="s">
        <v>76</v>
      </c>
      <c r="F255" s="13" t="s">
        <v>64</v>
      </c>
      <c r="G255" s="19">
        <v>0</v>
      </c>
      <c r="H255" s="13" t="s">
        <v>84</v>
      </c>
      <c r="I255" s="13" t="s">
        <v>85</v>
      </c>
      <c r="J255" s="21" t="str">
        <f>_xlfn.XLOOKUP(F255,'04_Account_Mapping'!$A$6:$A$14,'04_Account_Mapping'!$C$6:$C$14,"Unmapped",0)</f>
        <v>JV Profit/(Loss)</v>
      </c>
      <c r="K255" s="21" t="str">
        <f>_xlfn.XLOOKUP(F255,'04_Account_Mapping'!$A$6:$A$14,'04_Account_Mapping'!$D$6:$D$14,"Unmapped",0)</f>
        <v>Income</v>
      </c>
    </row>
    <row r="256" spans="1:11">
      <c r="A256" s="16">
        <v>45839</v>
      </c>
      <c r="B256" s="13">
        <v>2025</v>
      </c>
      <c r="C256" s="13">
        <v>7</v>
      </c>
      <c r="D256" s="13" t="s">
        <v>75</v>
      </c>
      <c r="E256" s="13" t="s">
        <v>76</v>
      </c>
      <c r="F256" s="13" t="s">
        <v>65</v>
      </c>
      <c r="G256" s="19">
        <v>-0.97542820136816011</v>
      </c>
      <c r="H256" s="13" t="s">
        <v>84</v>
      </c>
      <c r="I256" s="13" t="s">
        <v>85</v>
      </c>
      <c r="J256" s="21" t="str">
        <f>_xlfn.XLOOKUP(F256,'04_Account_Mapping'!$A$6:$A$14,'04_Account_Mapping'!$C$6:$C$14,"Unmapped",0)</f>
        <v>Other Net</v>
      </c>
      <c r="K256" s="21" t="str">
        <f>_xlfn.XLOOKUP(F256,'04_Account_Mapping'!$A$6:$A$14,'04_Account_Mapping'!$D$6:$D$14,"Unmapped",0)</f>
        <v>Income</v>
      </c>
    </row>
    <row r="257" spans="1:11">
      <c r="A257" s="16">
        <v>45839</v>
      </c>
      <c r="B257" s="13">
        <v>2025</v>
      </c>
      <c r="C257" s="13">
        <v>7</v>
      </c>
      <c r="D257" s="13" t="s">
        <v>75</v>
      </c>
      <c r="E257" s="13" t="s">
        <v>76</v>
      </c>
      <c r="F257" s="13" t="s">
        <v>66</v>
      </c>
      <c r="G257" s="19">
        <v>-4.9279445589954065</v>
      </c>
      <c r="H257" s="13" t="s">
        <v>84</v>
      </c>
      <c r="I257" s="13" t="s">
        <v>85</v>
      </c>
      <c r="J257" s="21" t="str">
        <f>_xlfn.XLOOKUP(F257,'04_Account_Mapping'!$A$6:$A$14,'04_Account_Mapping'!$C$6:$C$14,"Unmapped",0)</f>
        <v>Tax Expense</v>
      </c>
      <c r="K257" s="21" t="str">
        <f>_xlfn.XLOOKUP(F257,'04_Account_Mapping'!$A$6:$A$14,'04_Account_Mapping'!$D$6:$D$14,"Unmapped",0)</f>
        <v>Expense</v>
      </c>
    </row>
    <row r="258" spans="1:11">
      <c r="A258" s="16">
        <v>45870</v>
      </c>
      <c r="B258" s="13">
        <v>2025</v>
      </c>
      <c r="C258" s="13">
        <v>8</v>
      </c>
      <c r="D258" s="13" t="s">
        <v>67</v>
      </c>
      <c r="E258" s="13" t="s">
        <v>68</v>
      </c>
      <c r="F258" s="13" t="s">
        <v>55</v>
      </c>
      <c r="G258" s="19">
        <v>2806.7231894953884</v>
      </c>
      <c r="H258" s="13" t="s">
        <v>84</v>
      </c>
      <c r="I258" s="13" t="s">
        <v>85</v>
      </c>
      <c r="J258" s="21" t="str">
        <f>_xlfn.XLOOKUP(F258,'04_Account_Mapping'!$A$6:$A$14,'04_Account_Mapping'!$C$6:$C$14,"Unmapped",0)</f>
        <v>Revenue</v>
      </c>
      <c r="K258" s="21" t="str">
        <f>_xlfn.XLOOKUP(F258,'04_Account_Mapping'!$A$6:$A$14,'04_Account_Mapping'!$D$6:$D$14,"Unmapped",0)</f>
        <v>Income</v>
      </c>
    </row>
    <row r="259" spans="1:11">
      <c r="A259" s="16">
        <v>45870</v>
      </c>
      <c r="B259" s="13">
        <v>2025</v>
      </c>
      <c r="C259" s="13">
        <v>8</v>
      </c>
      <c r="D259" s="13" t="s">
        <v>67</v>
      </c>
      <c r="E259" s="13" t="s">
        <v>68</v>
      </c>
      <c r="F259" s="13" t="s">
        <v>58</v>
      </c>
      <c r="G259" s="19">
        <v>-2234.1048801185043</v>
      </c>
      <c r="H259" s="13" t="s">
        <v>84</v>
      </c>
      <c r="I259" s="13" t="s">
        <v>85</v>
      </c>
      <c r="J259" s="21" t="str">
        <f>_xlfn.XLOOKUP(F259,'04_Account_Mapping'!$A$6:$A$14,'04_Account_Mapping'!$C$6:$C$14,"Unmapped",0)</f>
        <v>COGS</v>
      </c>
      <c r="K259" s="21" t="str">
        <f>_xlfn.XLOOKUP(F259,'04_Account_Mapping'!$A$6:$A$14,'04_Account_Mapping'!$D$6:$D$14,"Unmapped",0)</f>
        <v>Expense</v>
      </c>
    </row>
    <row r="260" spans="1:11">
      <c r="A260" s="16">
        <v>45870</v>
      </c>
      <c r="B260" s="13">
        <v>2025</v>
      </c>
      <c r="C260" s="13">
        <v>8</v>
      </c>
      <c r="D260" s="13" t="s">
        <v>67</v>
      </c>
      <c r="E260" s="13" t="s">
        <v>68</v>
      </c>
      <c r="F260" s="13" t="s">
        <v>60</v>
      </c>
      <c r="G260" s="19">
        <v>-398.55469290834509</v>
      </c>
      <c r="H260" s="13" t="s">
        <v>84</v>
      </c>
      <c r="I260" s="13" t="s">
        <v>85</v>
      </c>
      <c r="J260" s="21" t="str">
        <f>_xlfn.XLOOKUP(F260,'04_Account_Mapping'!$A$6:$A$14,'04_Account_Mapping'!$C$6:$C$14,"Unmapped",0)</f>
        <v>Selling Expense</v>
      </c>
      <c r="K260" s="21" t="str">
        <f>_xlfn.XLOOKUP(F260,'04_Account_Mapping'!$A$6:$A$14,'04_Account_Mapping'!$D$6:$D$14,"Unmapped",0)</f>
        <v>Expense</v>
      </c>
    </row>
    <row r="261" spans="1:11">
      <c r="A261" s="16">
        <v>45870</v>
      </c>
      <c r="B261" s="13">
        <v>2025</v>
      </c>
      <c r="C261" s="13">
        <v>8</v>
      </c>
      <c r="D261" s="13" t="s">
        <v>67</v>
      </c>
      <c r="E261" s="13" t="s">
        <v>68</v>
      </c>
      <c r="F261" s="13" t="s">
        <v>61</v>
      </c>
      <c r="G261" s="19">
        <v>-75.781526116375488</v>
      </c>
      <c r="H261" s="13" t="s">
        <v>84</v>
      </c>
      <c r="I261" s="13" t="s">
        <v>85</v>
      </c>
      <c r="J261" s="21" t="str">
        <f>_xlfn.XLOOKUP(F261,'04_Account_Mapping'!$A$6:$A$14,'04_Account_Mapping'!$C$6:$C$14,"Unmapped",0)</f>
        <v>G&amp;A</v>
      </c>
      <c r="K261" s="21" t="str">
        <f>_xlfn.XLOOKUP(F261,'04_Account_Mapping'!$A$6:$A$14,'04_Account_Mapping'!$D$6:$D$14,"Unmapped",0)</f>
        <v>Expense</v>
      </c>
    </row>
    <row r="262" spans="1:11">
      <c r="A262" s="16">
        <v>45870</v>
      </c>
      <c r="B262" s="13">
        <v>2025</v>
      </c>
      <c r="C262" s="13">
        <v>8</v>
      </c>
      <c r="D262" s="13" t="s">
        <v>67</v>
      </c>
      <c r="E262" s="13" t="s">
        <v>68</v>
      </c>
      <c r="F262" s="13" t="s">
        <v>62</v>
      </c>
      <c r="G262" s="19">
        <v>42.100847842430831</v>
      </c>
      <c r="H262" s="13" t="s">
        <v>84</v>
      </c>
      <c r="I262" s="13" t="s">
        <v>85</v>
      </c>
      <c r="J262" s="21" t="str">
        <f>_xlfn.XLOOKUP(F262,'04_Account_Mapping'!$A$6:$A$14,'04_Account_Mapping'!$C$6:$C$14,"Unmapped",0)</f>
        <v>Finance Income</v>
      </c>
      <c r="K262" s="21" t="str">
        <f>_xlfn.XLOOKUP(F262,'04_Account_Mapping'!$A$6:$A$14,'04_Account_Mapping'!$D$6:$D$14,"Unmapped",0)</f>
        <v>Income</v>
      </c>
    </row>
    <row r="263" spans="1:11">
      <c r="A263" s="16">
        <v>45870</v>
      </c>
      <c r="B263" s="13">
        <v>2025</v>
      </c>
      <c r="C263" s="13">
        <v>8</v>
      </c>
      <c r="D263" s="13" t="s">
        <v>67</v>
      </c>
      <c r="E263" s="13" t="s">
        <v>68</v>
      </c>
      <c r="F263" s="13" t="s">
        <v>63</v>
      </c>
      <c r="G263" s="19">
        <v>-22.453785515963109</v>
      </c>
      <c r="H263" s="13" t="s">
        <v>84</v>
      </c>
      <c r="I263" s="13" t="s">
        <v>85</v>
      </c>
      <c r="J263" s="21" t="str">
        <f>_xlfn.XLOOKUP(F263,'04_Account_Mapping'!$A$6:$A$14,'04_Account_Mapping'!$C$6:$C$14,"Unmapped",0)</f>
        <v>Finance Expense</v>
      </c>
      <c r="K263" s="21" t="str">
        <f>_xlfn.XLOOKUP(F263,'04_Account_Mapping'!$A$6:$A$14,'04_Account_Mapping'!$D$6:$D$14,"Unmapped",0)</f>
        <v>Expense</v>
      </c>
    </row>
    <row r="264" spans="1:11">
      <c r="A264" s="16">
        <v>45870</v>
      </c>
      <c r="B264" s="13">
        <v>2025</v>
      </c>
      <c r="C264" s="13">
        <v>8</v>
      </c>
      <c r="D264" s="13" t="s">
        <v>67</v>
      </c>
      <c r="E264" s="13" t="s">
        <v>68</v>
      </c>
      <c r="F264" s="13" t="s">
        <v>64</v>
      </c>
      <c r="G264" s="19">
        <v>0</v>
      </c>
      <c r="H264" s="13" t="s">
        <v>84</v>
      </c>
      <c r="I264" s="13" t="s">
        <v>85</v>
      </c>
      <c r="J264" s="21" t="str">
        <f>_xlfn.XLOOKUP(F264,'04_Account_Mapping'!$A$6:$A$14,'04_Account_Mapping'!$C$6:$C$14,"Unmapped",0)</f>
        <v>JV Profit/(Loss)</v>
      </c>
      <c r="K264" s="21" t="str">
        <f>_xlfn.XLOOKUP(F264,'04_Account_Mapping'!$A$6:$A$14,'04_Account_Mapping'!$D$6:$D$14,"Unmapped",0)</f>
        <v>Income</v>
      </c>
    </row>
    <row r="265" spans="1:11">
      <c r="A265" s="16">
        <v>45870</v>
      </c>
      <c r="B265" s="13">
        <v>2025</v>
      </c>
      <c r="C265" s="13">
        <v>8</v>
      </c>
      <c r="D265" s="13" t="s">
        <v>67</v>
      </c>
      <c r="E265" s="13" t="s">
        <v>68</v>
      </c>
      <c r="F265" s="13" t="s">
        <v>65</v>
      </c>
      <c r="G265" s="19">
        <v>-4.4907571031926219</v>
      </c>
      <c r="H265" s="13" t="s">
        <v>84</v>
      </c>
      <c r="I265" s="13" t="s">
        <v>85</v>
      </c>
      <c r="J265" s="21" t="str">
        <f>_xlfn.XLOOKUP(F265,'04_Account_Mapping'!$A$6:$A$14,'04_Account_Mapping'!$C$6:$C$14,"Unmapped",0)</f>
        <v>Other Net</v>
      </c>
      <c r="K265" s="21" t="str">
        <f>_xlfn.XLOOKUP(F265,'04_Account_Mapping'!$A$6:$A$14,'04_Account_Mapping'!$D$6:$D$14,"Unmapped",0)</f>
        <v>Income</v>
      </c>
    </row>
    <row r="266" spans="1:11">
      <c r="A266" s="16">
        <v>45870</v>
      </c>
      <c r="B266" s="13">
        <v>2025</v>
      </c>
      <c r="C266" s="13">
        <v>8</v>
      </c>
      <c r="D266" s="13" t="s">
        <v>67</v>
      </c>
      <c r="E266" s="13" t="s">
        <v>68</v>
      </c>
      <c r="F266" s="13" t="s">
        <v>66</v>
      </c>
      <c r="G266" s="19">
        <v>-22.687679115087793</v>
      </c>
      <c r="H266" s="13" t="s">
        <v>84</v>
      </c>
      <c r="I266" s="13" t="s">
        <v>85</v>
      </c>
      <c r="J266" s="21" t="str">
        <f>_xlfn.XLOOKUP(F266,'04_Account_Mapping'!$A$6:$A$14,'04_Account_Mapping'!$C$6:$C$14,"Unmapped",0)</f>
        <v>Tax Expense</v>
      </c>
      <c r="K266" s="21" t="str">
        <f>_xlfn.XLOOKUP(F266,'04_Account_Mapping'!$A$6:$A$14,'04_Account_Mapping'!$D$6:$D$14,"Unmapped",0)</f>
        <v>Expense</v>
      </c>
    </row>
    <row r="267" spans="1:11">
      <c r="A267" s="16">
        <v>45870</v>
      </c>
      <c r="B267" s="13">
        <v>2025</v>
      </c>
      <c r="C267" s="13">
        <v>8</v>
      </c>
      <c r="D267" s="13" t="s">
        <v>72</v>
      </c>
      <c r="E267" s="13" t="s">
        <v>68</v>
      </c>
      <c r="F267" s="13" t="s">
        <v>55</v>
      </c>
      <c r="G267" s="19">
        <v>5358.2897254002864</v>
      </c>
      <c r="H267" s="13" t="s">
        <v>84</v>
      </c>
      <c r="I267" s="13" t="s">
        <v>85</v>
      </c>
      <c r="J267" s="21" t="str">
        <f>_xlfn.XLOOKUP(F267,'04_Account_Mapping'!$A$6:$A$14,'04_Account_Mapping'!$C$6:$C$14,"Unmapped",0)</f>
        <v>Revenue</v>
      </c>
      <c r="K267" s="21" t="str">
        <f>_xlfn.XLOOKUP(F267,'04_Account_Mapping'!$A$6:$A$14,'04_Account_Mapping'!$D$6:$D$14,"Unmapped",0)</f>
        <v>Income</v>
      </c>
    </row>
    <row r="268" spans="1:11">
      <c r="A268" s="16">
        <v>45870</v>
      </c>
      <c r="B268" s="13">
        <v>2025</v>
      </c>
      <c r="C268" s="13">
        <v>8</v>
      </c>
      <c r="D268" s="13" t="s">
        <v>72</v>
      </c>
      <c r="E268" s="13" t="s">
        <v>68</v>
      </c>
      <c r="F268" s="13" t="s">
        <v>58</v>
      </c>
      <c r="G268" s="19">
        <v>-4265.1093165898719</v>
      </c>
      <c r="H268" s="13" t="s">
        <v>84</v>
      </c>
      <c r="I268" s="13" t="s">
        <v>85</v>
      </c>
      <c r="J268" s="21" t="str">
        <f>_xlfn.XLOOKUP(F268,'04_Account_Mapping'!$A$6:$A$14,'04_Account_Mapping'!$C$6:$C$14,"Unmapped",0)</f>
        <v>COGS</v>
      </c>
      <c r="K268" s="21" t="str">
        <f>_xlfn.XLOOKUP(F268,'04_Account_Mapping'!$A$6:$A$14,'04_Account_Mapping'!$D$6:$D$14,"Unmapped",0)</f>
        <v>Expense</v>
      </c>
    </row>
    <row r="269" spans="1:11">
      <c r="A269" s="16">
        <v>45870</v>
      </c>
      <c r="B269" s="13">
        <v>2025</v>
      </c>
      <c r="C269" s="13">
        <v>8</v>
      </c>
      <c r="D269" s="13" t="s">
        <v>72</v>
      </c>
      <c r="E269" s="13" t="s">
        <v>68</v>
      </c>
      <c r="F269" s="13" t="s">
        <v>60</v>
      </c>
      <c r="G269" s="19">
        <v>-760.87714100684059</v>
      </c>
      <c r="H269" s="13" t="s">
        <v>84</v>
      </c>
      <c r="I269" s="13" t="s">
        <v>85</v>
      </c>
      <c r="J269" s="21" t="str">
        <f>_xlfn.XLOOKUP(F269,'04_Account_Mapping'!$A$6:$A$14,'04_Account_Mapping'!$C$6:$C$14,"Unmapped",0)</f>
        <v>Selling Expense</v>
      </c>
      <c r="K269" s="21" t="str">
        <f>_xlfn.XLOOKUP(F269,'04_Account_Mapping'!$A$6:$A$14,'04_Account_Mapping'!$D$6:$D$14,"Unmapped",0)</f>
        <v>Expense</v>
      </c>
    </row>
    <row r="270" spans="1:11">
      <c r="A270" s="16">
        <v>45870</v>
      </c>
      <c r="B270" s="13">
        <v>2025</v>
      </c>
      <c r="C270" s="13">
        <v>8</v>
      </c>
      <c r="D270" s="13" t="s">
        <v>72</v>
      </c>
      <c r="E270" s="13" t="s">
        <v>68</v>
      </c>
      <c r="F270" s="13" t="s">
        <v>61</v>
      </c>
      <c r="G270" s="19">
        <v>-144.67382258580776</v>
      </c>
      <c r="H270" s="13" t="s">
        <v>84</v>
      </c>
      <c r="I270" s="13" t="s">
        <v>85</v>
      </c>
      <c r="J270" s="21" t="str">
        <f>_xlfn.XLOOKUP(F270,'04_Account_Mapping'!$A$6:$A$14,'04_Account_Mapping'!$C$6:$C$14,"Unmapped",0)</f>
        <v>G&amp;A</v>
      </c>
      <c r="K270" s="21" t="str">
        <f>_xlfn.XLOOKUP(F270,'04_Account_Mapping'!$A$6:$A$14,'04_Account_Mapping'!$D$6:$D$14,"Unmapped",0)</f>
        <v>Expense</v>
      </c>
    </row>
    <row r="271" spans="1:11">
      <c r="A271" s="16">
        <v>45870</v>
      </c>
      <c r="B271" s="13">
        <v>2025</v>
      </c>
      <c r="C271" s="13">
        <v>8</v>
      </c>
      <c r="D271" s="13" t="s">
        <v>72</v>
      </c>
      <c r="E271" s="13" t="s">
        <v>68</v>
      </c>
      <c r="F271" s="13" t="s">
        <v>62</v>
      </c>
      <c r="G271" s="19">
        <v>80.374345881004302</v>
      </c>
      <c r="H271" s="13" t="s">
        <v>84</v>
      </c>
      <c r="I271" s="13" t="s">
        <v>85</v>
      </c>
      <c r="J271" s="21" t="str">
        <f>_xlfn.XLOOKUP(F271,'04_Account_Mapping'!$A$6:$A$14,'04_Account_Mapping'!$C$6:$C$14,"Unmapped",0)</f>
        <v>Finance Income</v>
      </c>
      <c r="K271" s="21" t="str">
        <f>_xlfn.XLOOKUP(F271,'04_Account_Mapping'!$A$6:$A$14,'04_Account_Mapping'!$D$6:$D$14,"Unmapped",0)</f>
        <v>Income</v>
      </c>
    </row>
    <row r="272" spans="1:11">
      <c r="A272" s="16">
        <v>45870</v>
      </c>
      <c r="B272" s="13">
        <v>2025</v>
      </c>
      <c r="C272" s="13">
        <v>8</v>
      </c>
      <c r="D272" s="13" t="s">
        <v>72</v>
      </c>
      <c r="E272" s="13" t="s">
        <v>68</v>
      </c>
      <c r="F272" s="13" t="s">
        <v>63</v>
      </c>
      <c r="G272" s="19">
        <v>-42.866317803202293</v>
      </c>
      <c r="H272" s="13" t="s">
        <v>84</v>
      </c>
      <c r="I272" s="13" t="s">
        <v>85</v>
      </c>
      <c r="J272" s="21" t="str">
        <f>_xlfn.XLOOKUP(F272,'04_Account_Mapping'!$A$6:$A$14,'04_Account_Mapping'!$C$6:$C$14,"Unmapped",0)</f>
        <v>Finance Expense</v>
      </c>
      <c r="K272" s="21" t="str">
        <f>_xlfn.XLOOKUP(F272,'04_Account_Mapping'!$A$6:$A$14,'04_Account_Mapping'!$D$6:$D$14,"Unmapped",0)</f>
        <v>Expense</v>
      </c>
    </row>
    <row r="273" spans="1:11">
      <c r="A273" s="16">
        <v>45870</v>
      </c>
      <c r="B273" s="13">
        <v>2025</v>
      </c>
      <c r="C273" s="13">
        <v>8</v>
      </c>
      <c r="D273" s="13" t="s">
        <v>72</v>
      </c>
      <c r="E273" s="13" t="s">
        <v>68</v>
      </c>
      <c r="F273" s="13" t="s">
        <v>64</v>
      </c>
      <c r="G273" s="19">
        <v>0</v>
      </c>
      <c r="H273" s="13" t="s">
        <v>84</v>
      </c>
      <c r="I273" s="13" t="s">
        <v>85</v>
      </c>
      <c r="J273" s="21" t="str">
        <f>_xlfn.XLOOKUP(F273,'04_Account_Mapping'!$A$6:$A$14,'04_Account_Mapping'!$C$6:$C$14,"Unmapped",0)</f>
        <v>JV Profit/(Loss)</v>
      </c>
      <c r="K273" s="21" t="str">
        <f>_xlfn.XLOOKUP(F273,'04_Account_Mapping'!$A$6:$A$14,'04_Account_Mapping'!$D$6:$D$14,"Unmapped",0)</f>
        <v>Income</v>
      </c>
    </row>
    <row r="274" spans="1:11">
      <c r="A274" s="16">
        <v>45870</v>
      </c>
      <c r="B274" s="13">
        <v>2025</v>
      </c>
      <c r="C274" s="13">
        <v>8</v>
      </c>
      <c r="D274" s="13" t="s">
        <v>72</v>
      </c>
      <c r="E274" s="13" t="s">
        <v>68</v>
      </c>
      <c r="F274" s="13" t="s">
        <v>65</v>
      </c>
      <c r="G274" s="19">
        <v>-8.5732635606404592</v>
      </c>
      <c r="H274" s="13" t="s">
        <v>84</v>
      </c>
      <c r="I274" s="13" t="s">
        <v>85</v>
      </c>
      <c r="J274" s="21" t="str">
        <f>_xlfn.XLOOKUP(F274,'04_Account_Mapping'!$A$6:$A$14,'04_Account_Mapping'!$C$6:$C$14,"Unmapped",0)</f>
        <v>Other Net</v>
      </c>
      <c r="K274" s="21" t="str">
        <f>_xlfn.XLOOKUP(F274,'04_Account_Mapping'!$A$6:$A$14,'04_Account_Mapping'!$D$6:$D$14,"Unmapped",0)</f>
        <v>Income</v>
      </c>
    </row>
    <row r="275" spans="1:11">
      <c r="A275" s="16">
        <v>45870</v>
      </c>
      <c r="B275" s="13">
        <v>2025</v>
      </c>
      <c r="C275" s="13">
        <v>8</v>
      </c>
      <c r="D275" s="13" t="s">
        <v>72</v>
      </c>
      <c r="E275" s="13" t="s">
        <v>68</v>
      </c>
      <c r="F275" s="13" t="s">
        <v>66</v>
      </c>
      <c r="G275" s="19">
        <v>-43.312841946985785</v>
      </c>
      <c r="H275" s="13" t="s">
        <v>84</v>
      </c>
      <c r="I275" s="13" t="s">
        <v>85</v>
      </c>
      <c r="J275" s="21" t="str">
        <f>_xlfn.XLOOKUP(F275,'04_Account_Mapping'!$A$6:$A$14,'04_Account_Mapping'!$C$6:$C$14,"Unmapped",0)</f>
        <v>Tax Expense</v>
      </c>
      <c r="K275" s="21" t="str">
        <f>_xlfn.XLOOKUP(F275,'04_Account_Mapping'!$A$6:$A$14,'04_Account_Mapping'!$D$6:$D$14,"Unmapped",0)</f>
        <v>Expense</v>
      </c>
    </row>
    <row r="276" spans="1:11">
      <c r="A276" s="16">
        <v>45870</v>
      </c>
      <c r="B276" s="13">
        <v>2025</v>
      </c>
      <c r="C276" s="13">
        <v>8</v>
      </c>
      <c r="D276" s="13" t="s">
        <v>73</v>
      </c>
      <c r="E276" s="13" t="s">
        <v>74</v>
      </c>
      <c r="F276" s="13" t="s">
        <v>55</v>
      </c>
      <c r="G276" s="19">
        <v>3954.9281306525927</v>
      </c>
      <c r="H276" s="13" t="s">
        <v>84</v>
      </c>
      <c r="I276" s="13" t="s">
        <v>85</v>
      </c>
      <c r="J276" s="21" t="str">
        <f>_xlfn.XLOOKUP(F276,'04_Account_Mapping'!$A$6:$A$14,'04_Account_Mapping'!$C$6:$C$14,"Unmapped",0)</f>
        <v>Revenue</v>
      </c>
      <c r="K276" s="21" t="str">
        <f>_xlfn.XLOOKUP(F276,'04_Account_Mapping'!$A$6:$A$14,'04_Account_Mapping'!$D$6:$D$14,"Unmapped",0)</f>
        <v>Income</v>
      </c>
    </row>
    <row r="277" spans="1:11">
      <c r="A277" s="16">
        <v>45870</v>
      </c>
      <c r="B277" s="13">
        <v>2025</v>
      </c>
      <c r="C277" s="13">
        <v>8</v>
      </c>
      <c r="D277" s="13" t="s">
        <v>73</v>
      </c>
      <c r="E277" s="13" t="s">
        <v>74</v>
      </c>
      <c r="F277" s="13" t="s">
        <v>58</v>
      </c>
      <c r="G277" s="19">
        <v>-3148.0568765306198</v>
      </c>
      <c r="H277" s="13" t="s">
        <v>84</v>
      </c>
      <c r="I277" s="13" t="s">
        <v>85</v>
      </c>
      <c r="J277" s="21" t="str">
        <f>_xlfn.XLOOKUP(F277,'04_Account_Mapping'!$A$6:$A$14,'04_Account_Mapping'!$C$6:$C$14,"Unmapped",0)</f>
        <v>COGS</v>
      </c>
      <c r="K277" s="21" t="str">
        <f>_xlfn.XLOOKUP(F277,'04_Account_Mapping'!$A$6:$A$14,'04_Account_Mapping'!$D$6:$D$14,"Unmapped",0)</f>
        <v>Expense</v>
      </c>
    </row>
    <row r="278" spans="1:11">
      <c r="A278" s="16">
        <v>45870</v>
      </c>
      <c r="B278" s="13">
        <v>2025</v>
      </c>
      <c r="C278" s="13">
        <v>8</v>
      </c>
      <c r="D278" s="13" t="s">
        <v>73</v>
      </c>
      <c r="E278" s="13" t="s">
        <v>74</v>
      </c>
      <c r="F278" s="13" t="s">
        <v>60</v>
      </c>
      <c r="G278" s="19">
        <v>-561.59979455266807</v>
      </c>
      <c r="H278" s="13" t="s">
        <v>84</v>
      </c>
      <c r="I278" s="13" t="s">
        <v>85</v>
      </c>
      <c r="J278" s="21" t="str">
        <f>_xlfn.XLOOKUP(F278,'04_Account_Mapping'!$A$6:$A$14,'04_Account_Mapping'!$C$6:$C$14,"Unmapped",0)</f>
        <v>Selling Expense</v>
      </c>
      <c r="K278" s="21" t="str">
        <f>_xlfn.XLOOKUP(F278,'04_Account_Mapping'!$A$6:$A$14,'04_Account_Mapping'!$D$6:$D$14,"Unmapped",0)</f>
        <v>Expense</v>
      </c>
    </row>
    <row r="279" spans="1:11">
      <c r="A279" s="16">
        <v>45870</v>
      </c>
      <c r="B279" s="13">
        <v>2025</v>
      </c>
      <c r="C279" s="13">
        <v>8</v>
      </c>
      <c r="D279" s="13" t="s">
        <v>73</v>
      </c>
      <c r="E279" s="13" t="s">
        <v>74</v>
      </c>
      <c r="F279" s="13" t="s">
        <v>61</v>
      </c>
      <c r="G279" s="19">
        <v>-106.78305952762001</v>
      </c>
      <c r="H279" s="13" t="s">
        <v>84</v>
      </c>
      <c r="I279" s="13" t="s">
        <v>85</v>
      </c>
      <c r="J279" s="21" t="str">
        <f>_xlfn.XLOOKUP(F279,'04_Account_Mapping'!$A$6:$A$14,'04_Account_Mapping'!$C$6:$C$14,"Unmapped",0)</f>
        <v>G&amp;A</v>
      </c>
      <c r="K279" s="21" t="str">
        <f>_xlfn.XLOOKUP(F279,'04_Account_Mapping'!$A$6:$A$14,'04_Account_Mapping'!$D$6:$D$14,"Unmapped",0)</f>
        <v>Expense</v>
      </c>
    </row>
    <row r="280" spans="1:11">
      <c r="A280" s="16">
        <v>45870</v>
      </c>
      <c r="B280" s="13">
        <v>2025</v>
      </c>
      <c r="C280" s="13">
        <v>8</v>
      </c>
      <c r="D280" s="13" t="s">
        <v>73</v>
      </c>
      <c r="E280" s="13" t="s">
        <v>74</v>
      </c>
      <c r="F280" s="13" t="s">
        <v>62</v>
      </c>
      <c r="G280" s="19">
        <v>59.32392195978889</v>
      </c>
      <c r="H280" s="13" t="s">
        <v>84</v>
      </c>
      <c r="I280" s="13" t="s">
        <v>85</v>
      </c>
      <c r="J280" s="21" t="str">
        <f>_xlfn.XLOOKUP(F280,'04_Account_Mapping'!$A$6:$A$14,'04_Account_Mapping'!$C$6:$C$14,"Unmapped",0)</f>
        <v>Finance Income</v>
      </c>
      <c r="K280" s="21" t="str">
        <f>_xlfn.XLOOKUP(F280,'04_Account_Mapping'!$A$6:$A$14,'04_Account_Mapping'!$D$6:$D$14,"Unmapped",0)</f>
        <v>Income</v>
      </c>
    </row>
    <row r="281" spans="1:11">
      <c r="A281" s="16">
        <v>45870</v>
      </c>
      <c r="B281" s="13">
        <v>2025</v>
      </c>
      <c r="C281" s="13">
        <v>8</v>
      </c>
      <c r="D281" s="13" t="s">
        <v>73</v>
      </c>
      <c r="E281" s="13" t="s">
        <v>74</v>
      </c>
      <c r="F281" s="13" t="s">
        <v>63</v>
      </c>
      <c r="G281" s="19">
        <v>-31.639425045220744</v>
      </c>
      <c r="H281" s="13" t="s">
        <v>84</v>
      </c>
      <c r="I281" s="13" t="s">
        <v>85</v>
      </c>
      <c r="J281" s="21" t="str">
        <f>_xlfn.XLOOKUP(F281,'04_Account_Mapping'!$A$6:$A$14,'04_Account_Mapping'!$C$6:$C$14,"Unmapped",0)</f>
        <v>Finance Expense</v>
      </c>
      <c r="K281" s="21" t="str">
        <f>_xlfn.XLOOKUP(F281,'04_Account_Mapping'!$A$6:$A$14,'04_Account_Mapping'!$D$6:$D$14,"Unmapped",0)</f>
        <v>Expense</v>
      </c>
    </row>
    <row r="282" spans="1:11">
      <c r="A282" s="16">
        <v>45870</v>
      </c>
      <c r="B282" s="13">
        <v>2025</v>
      </c>
      <c r="C282" s="13">
        <v>8</v>
      </c>
      <c r="D282" s="13" t="s">
        <v>73</v>
      </c>
      <c r="E282" s="13" t="s">
        <v>74</v>
      </c>
      <c r="F282" s="13" t="s">
        <v>64</v>
      </c>
      <c r="G282" s="19">
        <v>0</v>
      </c>
      <c r="H282" s="13" t="s">
        <v>84</v>
      </c>
      <c r="I282" s="13" t="s">
        <v>85</v>
      </c>
      <c r="J282" s="21" t="str">
        <f>_xlfn.XLOOKUP(F282,'04_Account_Mapping'!$A$6:$A$14,'04_Account_Mapping'!$C$6:$C$14,"Unmapped",0)</f>
        <v>JV Profit/(Loss)</v>
      </c>
      <c r="K282" s="21" t="str">
        <f>_xlfn.XLOOKUP(F282,'04_Account_Mapping'!$A$6:$A$14,'04_Account_Mapping'!$D$6:$D$14,"Unmapped",0)</f>
        <v>Income</v>
      </c>
    </row>
    <row r="283" spans="1:11">
      <c r="A283" s="16">
        <v>45870</v>
      </c>
      <c r="B283" s="13">
        <v>2025</v>
      </c>
      <c r="C283" s="13">
        <v>8</v>
      </c>
      <c r="D283" s="13" t="s">
        <v>73</v>
      </c>
      <c r="E283" s="13" t="s">
        <v>74</v>
      </c>
      <c r="F283" s="13" t="s">
        <v>65</v>
      </c>
      <c r="G283" s="19">
        <v>-6.3278850090441487</v>
      </c>
      <c r="H283" s="13" t="s">
        <v>84</v>
      </c>
      <c r="I283" s="13" t="s">
        <v>85</v>
      </c>
      <c r="J283" s="21" t="str">
        <f>_xlfn.XLOOKUP(F283,'04_Account_Mapping'!$A$6:$A$14,'04_Account_Mapping'!$C$6:$C$14,"Unmapped",0)</f>
        <v>Other Net</v>
      </c>
      <c r="K283" s="21" t="str">
        <f>_xlfn.XLOOKUP(F283,'04_Account_Mapping'!$A$6:$A$14,'04_Account_Mapping'!$D$6:$D$14,"Unmapped",0)</f>
        <v>Income</v>
      </c>
    </row>
    <row r="284" spans="1:11">
      <c r="A284" s="16">
        <v>45870</v>
      </c>
      <c r="B284" s="13">
        <v>2025</v>
      </c>
      <c r="C284" s="13">
        <v>8</v>
      </c>
      <c r="D284" s="13" t="s">
        <v>73</v>
      </c>
      <c r="E284" s="13" t="s">
        <v>74</v>
      </c>
      <c r="F284" s="13" t="s">
        <v>66</v>
      </c>
      <c r="G284" s="19">
        <v>-31.969002389441886</v>
      </c>
      <c r="H284" s="13" t="s">
        <v>84</v>
      </c>
      <c r="I284" s="13" t="s">
        <v>85</v>
      </c>
      <c r="J284" s="21" t="str">
        <f>_xlfn.XLOOKUP(F284,'04_Account_Mapping'!$A$6:$A$14,'04_Account_Mapping'!$C$6:$C$14,"Unmapped",0)</f>
        <v>Tax Expense</v>
      </c>
      <c r="K284" s="21" t="str">
        <f>_xlfn.XLOOKUP(F284,'04_Account_Mapping'!$A$6:$A$14,'04_Account_Mapping'!$D$6:$D$14,"Unmapped",0)</f>
        <v>Expense</v>
      </c>
    </row>
    <row r="285" spans="1:11">
      <c r="A285" s="16">
        <v>45870</v>
      </c>
      <c r="B285" s="13">
        <v>2025</v>
      </c>
      <c r="C285" s="13">
        <v>8</v>
      </c>
      <c r="D285" s="13" t="s">
        <v>75</v>
      </c>
      <c r="E285" s="13" t="s">
        <v>76</v>
      </c>
      <c r="F285" s="13" t="s">
        <v>55</v>
      </c>
      <c r="G285" s="19">
        <v>637.89163397622474</v>
      </c>
      <c r="H285" s="13" t="s">
        <v>84</v>
      </c>
      <c r="I285" s="13" t="s">
        <v>85</v>
      </c>
      <c r="J285" s="21" t="str">
        <f>_xlfn.XLOOKUP(F285,'04_Account_Mapping'!$A$6:$A$14,'04_Account_Mapping'!$C$6:$C$14,"Unmapped",0)</f>
        <v>Revenue</v>
      </c>
      <c r="K285" s="21" t="str">
        <f>_xlfn.XLOOKUP(F285,'04_Account_Mapping'!$A$6:$A$14,'04_Account_Mapping'!$D$6:$D$14,"Unmapped",0)</f>
        <v>Income</v>
      </c>
    </row>
    <row r="286" spans="1:11">
      <c r="A286" s="16">
        <v>45870</v>
      </c>
      <c r="B286" s="13">
        <v>2025</v>
      </c>
      <c r="C286" s="13">
        <v>8</v>
      </c>
      <c r="D286" s="13" t="s">
        <v>75</v>
      </c>
      <c r="E286" s="13" t="s">
        <v>76</v>
      </c>
      <c r="F286" s="13" t="s">
        <v>58</v>
      </c>
      <c r="G286" s="19">
        <v>-507.75110911784191</v>
      </c>
      <c r="H286" s="13" t="s">
        <v>84</v>
      </c>
      <c r="I286" s="13" t="s">
        <v>85</v>
      </c>
      <c r="J286" s="21" t="str">
        <f>_xlfn.XLOOKUP(F286,'04_Account_Mapping'!$A$6:$A$14,'04_Account_Mapping'!$C$6:$C$14,"Unmapped",0)</f>
        <v>COGS</v>
      </c>
      <c r="K286" s="21" t="str">
        <f>_xlfn.XLOOKUP(F286,'04_Account_Mapping'!$A$6:$A$14,'04_Account_Mapping'!$D$6:$D$14,"Unmapped",0)</f>
        <v>Expense</v>
      </c>
    </row>
    <row r="287" spans="1:11">
      <c r="A287" s="16">
        <v>45870</v>
      </c>
      <c r="B287" s="13">
        <v>2025</v>
      </c>
      <c r="C287" s="13">
        <v>8</v>
      </c>
      <c r="D287" s="13" t="s">
        <v>75</v>
      </c>
      <c r="E287" s="13" t="s">
        <v>76</v>
      </c>
      <c r="F287" s="13" t="s">
        <v>60</v>
      </c>
      <c r="G287" s="19">
        <v>-90.580612024623889</v>
      </c>
      <c r="H287" s="13" t="s">
        <v>84</v>
      </c>
      <c r="I287" s="13" t="s">
        <v>85</v>
      </c>
      <c r="J287" s="21" t="str">
        <f>_xlfn.XLOOKUP(F287,'04_Account_Mapping'!$A$6:$A$14,'04_Account_Mapping'!$C$6:$C$14,"Unmapped",0)</f>
        <v>Selling Expense</v>
      </c>
      <c r="K287" s="21" t="str">
        <f>_xlfn.XLOOKUP(F287,'04_Account_Mapping'!$A$6:$A$14,'04_Account_Mapping'!$D$6:$D$14,"Unmapped",0)</f>
        <v>Expense</v>
      </c>
    </row>
    <row r="288" spans="1:11">
      <c r="A288" s="16">
        <v>45870</v>
      </c>
      <c r="B288" s="13">
        <v>2025</v>
      </c>
      <c r="C288" s="13">
        <v>8</v>
      </c>
      <c r="D288" s="13" t="s">
        <v>75</v>
      </c>
      <c r="E288" s="13" t="s">
        <v>76</v>
      </c>
      <c r="F288" s="13" t="s">
        <v>61</v>
      </c>
      <c r="G288" s="19">
        <v>-17.223074117358067</v>
      </c>
      <c r="H288" s="13" t="s">
        <v>84</v>
      </c>
      <c r="I288" s="13" t="s">
        <v>85</v>
      </c>
      <c r="J288" s="21" t="str">
        <f>_xlfn.XLOOKUP(F288,'04_Account_Mapping'!$A$6:$A$14,'04_Account_Mapping'!$C$6:$C$14,"Unmapped",0)</f>
        <v>G&amp;A</v>
      </c>
      <c r="K288" s="21" t="str">
        <f>_xlfn.XLOOKUP(F288,'04_Account_Mapping'!$A$6:$A$14,'04_Account_Mapping'!$D$6:$D$14,"Unmapped",0)</f>
        <v>Expense</v>
      </c>
    </row>
    <row r="289" spans="1:11">
      <c r="A289" s="16">
        <v>45870</v>
      </c>
      <c r="B289" s="13">
        <v>2025</v>
      </c>
      <c r="C289" s="13">
        <v>8</v>
      </c>
      <c r="D289" s="13" t="s">
        <v>75</v>
      </c>
      <c r="E289" s="13" t="s">
        <v>76</v>
      </c>
      <c r="F289" s="13" t="s">
        <v>62</v>
      </c>
      <c r="G289" s="19">
        <v>9.5683745096433714</v>
      </c>
      <c r="H289" s="13" t="s">
        <v>84</v>
      </c>
      <c r="I289" s="13" t="s">
        <v>85</v>
      </c>
      <c r="J289" s="21" t="str">
        <f>_xlfn.XLOOKUP(F289,'04_Account_Mapping'!$A$6:$A$14,'04_Account_Mapping'!$C$6:$C$14,"Unmapped",0)</f>
        <v>Finance Income</v>
      </c>
      <c r="K289" s="21" t="str">
        <f>_xlfn.XLOOKUP(F289,'04_Account_Mapping'!$A$6:$A$14,'04_Account_Mapping'!$D$6:$D$14,"Unmapped",0)</f>
        <v>Income</v>
      </c>
    </row>
    <row r="290" spans="1:11">
      <c r="A290" s="16">
        <v>45870</v>
      </c>
      <c r="B290" s="13">
        <v>2025</v>
      </c>
      <c r="C290" s="13">
        <v>8</v>
      </c>
      <c r="D290" s="13" t="s">
        <v>75</v>
      </c>
      <c r="E290" s="13" t="s">
        <v>76</v>
      </c>
      <c r="F290" s="13" t="s">
        <v>63</v>
      </c>
      <c r="G290" s="19">
        <v>-5.1031330718097978</v>
      </c>
      <c r="H290" s="13" t="s">
        <v>84</v>
      </c>
      <c r="I290" s="13" t="s">
        <v>85</v>
      </c>
      <c r="J290" s="21" t="str">
        <f>_xlfn.XLOOKUP(F290,'04_Account_Mapping'!$A$6:$A$14,'04_Account_Mapping'!$C$6:$C$14,"Unmapped",0)</f>
        <v>Finance Expense</v>
      </c>
      <c r="K290" s="21" t="str">
        <f>_xlfn.XLOOKUP(F290,'04_Account_Mapping'!$A$6:$A$14,'04_Account_Mapping'!$D$6:$D$14,"Unmapped",0)</f>
        <v>Expense</v>
      </c>
    </row>
    <row r="291" spans="1:11">
      <c r="A291" s="16">
        <v>45870</v>
      </c>
      <c r="B291" s="13">
        <v>2025</v>
      </c>
      <c r="C291" s="13">
        <v>8</v>
      </c>
      <c r="D291" s="13" t="s">
        <v>75</v>
      </c>
      <c r="E291" s="13" t="s">
        <v>76</v>
      </c>
      <c r="F291" s="13" t="s">
        <v>64</v>
      </c>
      <c r="G291" s="19">
        <v>0</v>
      </c>
      <c r="H291" s="13" t="s">
        <v>84</v>
      </c>
      <c r="I291" s="13" t="s">
        <v>85</v>
      </c>
      <c r="J291" s="21" t="str">
        <f>_xlfn.XLOOKUP(F291,'04_Account_Mapping'!$A$6:$A$14,'04_Account_Mapping'!$C$6:$C$14,"Unmapped",0)</f>
        <v>JV Profit/(Loss)</v>
      </c>
      <c r="K291" s="21" t="str">
        <f>_xlfn.XLOOKUP(F291,'04_Account_Mapping'!$A$6:$A$14,'04_Account_Mapping'!$D$6:$D$14,"Unmapped",0)</f>
        <v>Income</v>
      </c>
    </row>
    <row r="292" spans="1:11">
      <c r="A292" s="16">
        <v>45870</v>
      </c>
      <c r="B292" s="13">
        <v>2025</v>
      </c>
      <c r="C292" s="13">
        <v>8</v>
      </c>
      <c r="D292" s="13" t="s">
        <v>75</v>
      </c>
      <c r="E292" s="13" t="s">
        <v>76</v>
      </c>
      <c r="F292" s="13" t="s">
        <v>65</v>
      </c>
      <c r="G292" s="19">
        <v>-1.0206266143619596</v>
      </c>
      <c r="H292" s="13" t="s">
        <v>84</v>
      </c>
      <c r="I292" s="13" t="s">
        <v>85</v>
      </c>
      <c r="J292" s="21" t="str">
        <f>_xlfn.XLOOKUP(F292,'04_Account_Mapping'!$A$6:$A$14,'04_Account_Mapping'!$C$6:$C$14,"Unmapped",0)</f>
        <v>Other Net</v>
      </c>
      <c r="K292" s="21" t="str">
        <f>_xlfn.XLOOKUP(F292,'04_Account_Mapping'!$A$6:$A$14,'04_Account_Mapping'!$D$6:$D$14,"Unmapped",0)</f>
        <v>Income</v>
      </c>
    </row>
    <row r="293" spans="1:11">
      <c r="A293" s="16">
        <v>45870</v>
      </c>
      <c r="B293" s="13">
        <v>2025</v>
      </c>
      <c r="C293" s="13">
        <v>8</v>
      </c>
      <c r="D293" s="13" t="s">
        <v>75</v>
      </c>
      <c r="E293" s="13" t="s">
        <v>76</v>
      </c>
      <c r="F293" s="13" t="s">
        <v>66</v>
      </c>
      <c r="G293" s="19">
        <v>-5.1562907079744988</v>
      </c>
      <c r="H293" s="13" t="s">
        <v>84</v>
      </c>
      <c r="I293" s="13" t="s">
        <v>85</v>
      </c>
      <c r="J293" s="21" t="str">
        <f>_xlfn.XLOOKUP(F293,'04_Account_Mapping'!$A$6:$A$14,'04_Account_Mapping'!$C$6:$C$14,"Unmapped",0)</f>
        <v>Tax Expense</v>
      </c>
      <c r="K293" s="21" t="str">
        <f>_xlfn.XLOOKUP(F293,'04_Account_Mapping'!$A$6:$A$14,'04_Account_Mapping'!$D$6:$D$14,"Unmapped",0)</f>
        <v>Expense</v>
      </c>
    </row>
    <row r="294" spans="1:11">
      <c r="A294" s="16">
        <v>45901</v>
      </c>
      <c r="B294" s="13">
        <v>2025</v>
      </c>
      <c r="C294" s="13">
        <v>9</v>
      </c>
      <c r="D294" s="13" t="s">
        <v>67</v>
      </c>
      <c r="E294" s="13" t="s">
        <v>68</v>
      </c>
      <c r="F294" s="13" t="s">
        <v>55</v>
      </c>
      <c r="G294" s="19">
        <v>2898.5938767762632</v>
      </c>
      <c r="H294" s="13" t="s">
        <v>84</v>
      </c>
      <c r="I294" s="13" t="s">
        <v>85</v>
      </c>
      <c r="J294" s="21" t="str">
        <f>_xlfn.XLOOKUP(F294,'04_Account_Mapping'!$A$6:$A$14,'04_Account_Mapping'!$C$6:$C$14,"Unmapped",0)</f>
        <v>Revenue</v>
      </c>
      <c r="K294" s="21" t="str">
        <f>_xlfn.XLOOKUP(F294,'04_Account_Mapping'!$A$6:$A$14,'04_Account_Mapping'!$D$6:$D$14,"Unmapped",0)</f>
        <v>Income</v>
      </c>
    </row>
    <row r="295" spans="1:11">
      <c r="A295" s="16">
        <v>45901</v>
      </c>
      <c r="B295" s="13">
        <v>2025</v>
      </c>
      <c r="C295" s="13">
        <v>9</v>
      </c>
      <c r="D295" s="13" t="s">
        <v>67</v>
      </c>
      <c r="E295" s="13" t="s">
        <v>68</v>
      </c>
      <c r="F295" s="13" t="s">
        <v>58</v>
      </c>
      <c r="G295" s="19">
        <v>-2307.2324160159592</v>
      </c>
      <c r="H295" s="13" t="s">
        <v>84</v>
      </c>
      <c r="I295" s="13" t="s">
        <v>85</v>
      </c>
      <c r="J295" s="21" t="str">
        <f>_xlfn.XLOOKUP(F295,'04_Account_Mapping'!$A$6:$A$14,'04_Account_Mapping'!$C$6:$C$14,"Unmapped",0)</f>
        <v>COGS</v>
      </c>
      <c r="K295" s="21" t="str">
        <f>_xlfn.XLOOKUP(F295,'04_Account_Mapping'!$A$6:$A$14,'04_Account_Mapping'!$D$6:$D$14,"Unmapped",0)</f>
        <v>Expense</v>
      </c>
    </row>
    <row r="296" spans="1:11">
      <c r="A296" s="16">
        <v>45901</v>
      </c>
      <c r="B296" s="13">
        <v>2025</v>
      </c>
      <c r="C296" s="13">
        <v>9</v>
      </c>
      <c r="D296" s="13" t="s">
        <v>67</v>
      </c>
      <c r="E296" s="13" t="s">
        <v>68</v>
      </c>
      <c r="F296" s="13" t="s">
        <v>60</v>
      </c>
      <c r="G296" s="19">
        <v>-411.60033050222933</v>
      </c>
      <c r="H296" s="13" t="s">
        <v>84</v>
      </c>
      <c r="I296" s="13" t="s">
        <v>85</v>
      </c>
      <c r="J296" s="21" t="str">
        <f>_xlfn.XLOOKUP(F296,'04_Account_Mapping'!$A$6:$A$14,'04_Account_Mapping'!$C$6:$C$14,"Unmapped",0)</f>
        <v>Selling Expense</v>
      </c>
      <c r="K296" s="21" t="str">
        <f>_xlfn.XLOOKUP(F296,'04_Account_Mapping'!$A$6:$A$14,'04_Account_Mapping'!$D$6:$D$14,"Unmapped",0)</f>
        <v>Expense</v>
      </c>
    </row>
    <row r="297" spans="1:11">
      <c r="A297" s="16">
        <v>45901</v>
      </c>
      <c r="B297" s="13">
        <v>2025</v>
      </c>
      <c r="C297" s="13">
        <v>9</v>
      </c>
      <c r="D297" s="13" t="s">
        <v>67</v>
      </c>
      <c r="E297" s="13" t="s">
        <v>68</v>
      </c>
      <c r="F297" s="13" t="s">
        <v>61</v>
      </c>
      <c r="G297" s="19">
        <v>-78.262034672959103</v>
      </c>
      <c r="H297" s="13" t="s">
        <v>84</v>
      </c>
      <c r="I297" s="13" t="s">
        <v>85</v>
      </c>
      <c r="J297" s="21" t="str">
        <f>_xlfn.XLOOKUP(F297,'04_Account_Mapping'!$A$6:$A$14,'04_Account_Mapping'!$C$6:$C$14,"Unmapped",0)</f>
        <v>G&amp;A</v>
      </c>
      <c r="K297" s="21" t="str">
        <f>_xlfn.XLOOKUP(F297,'04_Account_Mapping'!$A$6:$A$14,'04_Account_Mapping'!$D$6:$D$14,"Unmapped",0)</f>
        <v>Expense</v>
      </c>
    </row>
    <row r="298" spans="1:11">
      <c r="A298" s="16">
        <v>45901</v>
      </c>
      <c r="B298" s="13">
        <v>2025</v>
      </c>
      <c r="C298" s="13">
        <v>9</v>
      </c>
      <c r="D298" s="13" t="s">
        <v>67</v>
      </c>
      <c r="E298" s="13" t="s">
        <v>68</v>
      </c>
      <c r="F298" s="13" t="s">
        <v>62</v>
      </c>
      <c r="G298" s="19">
        <v>43.47890815164395</v>
      </c>
      <c r="H298" s="13" t="s">
        <v>84</v>
      </c>
      <c r="I298" s="13" t="s">
        <v>85</v>
      </c>
      <c r="J298" s="21" t="str">
        <f>_xlfn.XLOOKUP(F298,'04_Account_Mapping'!$A$6:$A$14,'04_Account_Mapping'!$C$6:$C$14,"Unmapped",0)</f>
        <v>Finance Income</v>
      </c>
      <c r="K298" s="21" t="str">
        <f>_xlfn.XLOOKUP(F298,'04_Account_Mapping'!$A$6:$A$14,'04_Account_Mapping'!$D$6:$D$14,"Unmapped",0)</f>
        <v>Income</v>
      </c>
    </row>
    <row r="299" spans="1:11">
      <c r="A299" s="16">
        <v>45901</v>
      </c>
      <c r="B299" s="13">
        <v>2025</v>
      </c>
      <c r="C299" s="13">
        <v>9</v>
      </c>
      <c r="D299" s="13" t="s">
        <v>67</v>
      </c>
      <c r="E299" s="13" t="s">
        <v>68</v>
      </c>
      <c r="F299" s="13" t="s">
        <v>63</v>
      </c>
      <c r="G299" s="19">
        <v>-23.188751014210105</v>
      </c>
      <c r="H299" s="13" t="s">
        <v>84</v>
      </c>
      <c r="I299" s="13" t="s">
        <v>85</v>
      </c>
      <c r="J299" s="21" t="str">
        <f>_xlfn.XLOOKUP(F299,'04_Account_Mapping'!$A$6:$A$14,'04_Account_Mapping'!$C$6:$C$14,"Unmapped",0)</f>
        <v>Finance Expense</v>
      </c>
      <c r="K299" s="21" t="str">
        <f>_xlfn.XLOOKUP(F299,'04_Account_Mapping'!$A$6:$A$14,'04_Account_Mapping'!$D$6:$D$14,"Unmapped",0)</f>
        <v>Expense</v>
      </c>
    </row>
    <row r="300" spans="1:11">
      <c r="A300" s="16">
        <v>45901</v>
      </c>
      <c r="B300" s="13">
        <v>2025</v>
      </c>
      <c r="C300" s="13">
        <v>9</v>
      </c>
      <c r="D300" s="13" t="s">
        <v>67</v>
      </c>
      <c r="E300" s="13" t="s">
        <v>68</v>
      </c>
      <c r="F300" s="13" t="s">
        <v>64</v>
      </c>
      <c r="G300" s="19">
        <v>0</v>
      </c>
      <c r="H300" s="13" t="s">
        <v>84</v>
      </c>
      <c r="I300" s="13" t="s">
        <v>85</v>
      </c>
      <c r="J300" s="21" t="str">
        <f>_xlfn.XLOOKUP(F300,'04_Account_Mapping'!$A$6:$A$14,'04_Account_Mapping'!$C$6:$C$14,"Unmapped",0)</f>
        <v>JV Profit/(Loss)</v>
      </c>
      <c r="K300" s="21" t="str">
        <f>_xlfn.XLOOKUP(F300,'04_Account_Mapping'!$A$6:$A$14,'04_Account_Mapping'!$D$6:$D$14,"Unmapped",0)</f>
        <v>Income</v>
      </c>
    </row>
    <row r="301" spans="1:11">
      <c r="A301" s="16">
        <v>45901</v>
      </c>
      <c r="B301" s="13">
        <v>2025</v>
      </c>
      <c r="C301" s="13">
        <v>9</v>
      </c>
      <c r="D301" s="13" t="s">
        <v>67</v>
      </c>
      <c r="E301" s="13" t="s">
        <v>68</v>
      </c>
      <c r="F301" s="13" t="s">
        <v>65</v>
      </c>
      <c r="G301" s="19">
        <v>-4.637750202842021</v>
      </c>
      <c r="H301" s="13" t="s">
        <v>84</v>
      </c>
      <c r="I301" s="13" t="s">
        <v>85</v>
      </c>
      <c r="J301" s="21" t="str">
        <f>_xlfn.XLOOKUP(F301,'04_Account_Mapping'!$A$6:$A$14,'04_Account_Mapping'!$C$6:$C$14,"Unmapped",0)</f>
        <v>Other Net</v>
      </c>
      <c r="K301" s="21" t="str">
        <f>_xlfn.XLOOKUP(F301,'04_Account_Mapping'!$A$6:$A$14,'04_Account_Mapping'!$D$6:$D$14,"Unmapped",0)</f>
        <v>Income</v>
      </c>
    </row>
    <row r="302" spans="1:11">
      <c r="A302" s="16">
        <v>45901</v>
      </c>
      <c r="B302" s="13">
        <v>2025</v>
      </c>
      <c r="C302" s="13">
        <v>9</v>
      </c>
      <c r="D302" s="13" t="s">
        <v>67</v>
      </c>
      <c r="E302" s="13" t="s">
        <v>68</v>
      </c>
      <c r="F302" s="13" t="s">
        <v>66</v>
      </c>
      <c r="G302" s="19">
        <v>-23.430300503941531</v>
      </c>
      <c r="H302" s="13" t="s">
        <v>84</v>
      </c>
      <c r="I302" s="13" t="s">
        <v>85</v>
      </c>
      <c r="J302" s="21" t="str">
        <f>_xlfn.XLOOKUP(F302,'04_Account_Mapping'!$A$6:$A$14,'04_Account_Mapping'!$C$6:$C$14,"Unmapped",0)</f>
        <v>Tax Expense</v>
      </c>
      <c r="K302" s="21" t="str">
        <f>_xlfn.XLOOKUP(F302,'04_Account_Mapping'!$A$6:$A$14,'04_Account_Mapping'!$D$6:$D$14,"Unmapped",0)</f>
        <v>Expense</v>
      </c>
    </row>
    <row r="303" spans="1:11">
      <c r="A303" s="16">
        <v>45901</v>
      </c>
      <c r="B303" s="13">
        <v>2025</v>
      </c>
      <c r="C303" s="13">
        <v>9</v>
      </c>
      <c r="D303" s="13" t="s">
        <v>72</v>
      </c>
      <c r="E303" s="13" t="s">
        <v>68</v>
      </c>
      <c r="F303" s="13" t="s">
        <v>55</v>
      </c>
      <c r="G303" s="19">
        <v>5533.6792193001393</v>
      </c>
      <c r="H303" s="13" t="s">
        <v>84</v>
      </c>
      <c r="I303" s="13" t="s">
        <v>85</v>
      </c>
      <c r="J303" s="21" t="str">
        <f>_xlfn.XLOOKUP(F303,'04_Account_Mapping'!$A$6:$A$14,'04_Account_Mapping'!$C$6:$C$14,"Unmapped",0)</f>
        <v>Revenue</v>
      </c>
      <c r="K303" s="21" t="str">
        <f>_xlfn.XLOOKUP(F303,'04_Account_Mapping'!$A$6:$A$14,'04_Account_Mapping'!$D$6:$D$14,"Unmapped",0)</f>
        <v>Income</v>
      </c>
    </row>
    <row r="304" spans="1:11">
      <c r="A304" s="16">
        <v>45901</v>
      </c>
      <c r="B304" s="13">
        <v>2025</v>
      </c>
      <c r="C304" s="13">
        <v>9</v>
      </c>
      <c r="D304" s="13" t="s">
        <v>72</v>
      </c>
      <c r="E304" s="13" t="s">
        <v>68</v>
      </c>
      <c r="F304" s="13" t="s">
        <v>58</v>
      </c>
      <c r="G304" s="19">
        <v>-4404.7164305759225</v>
      </c>
      <c r="H304" s="13" t="s">
        <v>84</v>
      </c>
      <c r="I304" s="13" t="s">
        <v>85</v>
      </c>
      <c r="J304" s="21" t="str">
        <f>_xlfn.XLOOKUP(F304,'04_Account_Mapping'!$A$6:$A$14,'04_Account_Mapping'!$C$6:$C$14,"Unmapped",0)</f>
        <v>COGS</v>
      </c>
      <c r="K304" s="21" t="str">
        <f>_xlfn.XLOOKUP(F304,'04_Account_Mapping'!$A$6:$A$14,'04_Account_Mapping'!$D$6:$D$14,"Unmapped",0)</f>
        <v>Expense</v>
      </c>
    </row>
    <row r="305" spans="1:11">
      <c r="A305" s="16">
        <v>45901</v>
      </c>
      <c r="B305" s="13">
        <v>2025</v>
      </c>
      <c r="C305" s="13">
        <v>9</v>
      </c>
      <c r="D305" s="13" t="s">
        <v>72</v>
      </c>
      <c r="E305" s="13" t="s">
        <v>68</v>
      </c>
      <c r="F305" s="13" t="s">
        <v>60</v>
      </c>
      <c r="G305" s="19">
        <v>-785.78244914061963</v>
      </c>
      <c r="H305" s="13" t="s">
        <v>84</v>
      </c>
      <c r="I305" s="13" t="s">
        <v>85</v>
      </c>
      <c r="J305" s="21" t="str">
        <f>_xlfn.XLOOKUP(F305,'04_Account_Mapping'!$A$6:$A$14,'04_Account_Mapping'!$C$6:$C$14,"Unmapped",0)</f>
        <v>Selling Expense</v>
      </c>
      <c r="K305" s="21" t="str">
        <f>_xlfn.XLOOKUP(F305,'04_Account_Mapping'!$A$6:$A$14,'04_Account_Mapping'!$D$6:$D$14,"Unmapped",0)</f>
        <v>Expense</v>
      </c>
    </row>
    <row r="306" spans="1:11">
      <c r="A306" s="16">
        <v>45901</v>
      </c>
      <c r="B306" s="13">
        <v>2025</v>
      </c>
      <c r="C306" s="13">
        <v>9</v>
      </c>
      <c r="D306" s="13" t="s">
        <v>72</v>
      </c>
      <c r="E306" s="13" t="s">
        <v>68</v>
      </c>
      <c r="F306" s="13" t="s">
        <v>61</v>
      </c>
      <c r="G306" s="19">
        <v>-149.40933892110374</v>
      </c>
      <c r="H306" s="13" t="s">
        <v>84</v>
      </c>
      <c r="I306" s="13" t="s">
        <v>85</v>
      </c>
      <c r="J306" s="21" t="str">
        <f>_xlfn.XLOOKUP(F306,'04_Account_Mapping'!$A$6:$A$14,'04_Account_Mapping'!$C$6:$C$14,"Unmapped",0)</f>
        <v>G&amp;A</v>
      </c>
      <c r="K306" s="21" t="str">
        <f>_xlfn.XLOOKUP(F306,'04_Account_Mapping'!$A$6:$A$14,'04_Account_Mapping'!$D$6:$D$14,"Unmapped",0)</f>
        <v>Expense</v>
      </c>
    </row>
    <row r="307" spans="1:11">
      <c r="A307" s="16">
        <v>45901</v>
      </c>
      <c r="B307" s="13">
        <v>2025</v>
      </c>
      <c r="C307" s="13">
        <v>9</v>
      </c>
      <c r="D307" s="13" t="s">
        <v>72</v>
      </c>
      <c r="E307" s="13" t="s">
        <v>68</v>
      </c>
      <c r="F307" s="13" t="s">
        <v>62</v>
      </c>
      <c r="G307" s="19">
        <v>83.005188289502087</v>
      </c>
      <c r="H307" s="13" t="s">
        <v>84</v>
      </c>
      <c r="I307" s="13" t="s">
        <v>85</v>
      </c>
      <c r="J307" s="21" t="str">
        <f>_xlfn.XLOOKUP(F307,'04_Account_Mapping'!$A$6:$A$14,'04_Account_Mapping'!$C$6:$C$14,"Unmapped",0)</f>
        <v>Finance Income</v>
      </c>
      <c r="K307" s="21" t="str">
        <f>_xlfn.XLOOKUP(F307,'04_Account_Mapping'!$A$6:$A$14,'04_Account_Mapping'!$D$6:$D$14,"Unmapped",0)</f>
        <v>Income</v>
      </c>
    </row>
    <row r="308" spans="1:11">
      <c r="A308" s="16">
        <v>45901</v>
      </c>
      <c r="B308" s="13">
        <v>2025</v>
      </c>
      <c r="C308" s="13">
        <v>9</v>
      </c>
      <c r="D308" s="13" t="s">
        <v>72</v>
      </c>
      <c r="E308" s="13" t="s">
        <v>68</v>
      </c>
      <c r="F308" s="13" t="s">
        <v>63</v>
      </c>
      <c r="G308" s="19">
        <v>-44.269433754401113</v>
      </c>
      <c r="H308" s="13" t="s">
        <v>84</v>
      </c>
      <c r="I308" s="13" t="s">
        <v>85</v>
      </c>
      <c r="J308" s="21" t="str">
        <f>_xlfn.XLOOKUP(F308,'04_Account_Mapping'!$A$6:$A$14,'04_Account_Mapping'!$C$6:$C$14,"Unmapped",0)</f>
        <v>Finance Expense</v>
      </c>
      <c r="K308" s="21" t="str">
        <f>_xlfn.XLOOKUP(F308,'04_Account_Mapping'!$A$6:$A$14,'04_Account_Mapping'!$D$6:$D$14,"Unmapped",0)</f>
        <v>Expense</v>
      </c>
    </row>
    <row r="309" spans="1:11">
      <c r="A309" s="16">
        <v>45901</v>
      </c>
      <c r="B309" s="13">
        <v>2025</v>
      </c>
      <c r="C309" s="13">
        <v>9</v>
      </c>
      <c r="D309" s="13" t="s">
        <v>72</v>
      </c>
      <c r="E309" s="13" t="s">
        <v>68</v>
      </c>
      <c r="F309" s="13" t="s">
        <v>64</v>
      </c>
      <c r="G309" s="19">
        <v>0</v>
      </c>
      <c r="H309" s="13" t="s">
        <v>84</v>
      </c>
      <c r="I309" s="13" t="s">
        <v>85</v>
      </c>
      <c r="J309" s="21" t="str">
        <f>_xlfn.XLOOKUP(F309,'04_Account_Mapping'!$A$6:$A$14,'04_Account_Mapping'!$C$6:$C$14,"Unmapped",0)</f>
        <v>JV Profit/(Loss)</v>
      </c>
      <c r="K309" s="21" t="str">
        <f>_xlfn.XLOOKUP(F309,'04_Account_Mapping'!$A$6:$A$14,'04_Account_Mapping'!$D$6:$D$14,"Unmapped",0)</f>
        <v>Income</v>
      </c>
    </row>
    <row r="310" spans="1:11">
      <c r="A310" s="16">
        <v>45901</v>
      </c>
      <c r="B310" s="13">
        <v>2025</v>
      </c>
      <c r="C310" s="13">
        <v>9</v>
      </c>
      <c r="D310" s="13" t="s">
        <v>72</v>
      </c>
      <c r="E310" s="13" t="s">
        <v>68</v>
      </c>
      <c r="F310" s="13" t="s">
        <v>65</v>
      </c>
      <c r="G310" s="19">
        <v>-8.8538867508802213</v>
      </c>
      <c r="H310" s="13" t="s">
        <v>84</v>
      </c>
      <c r="I310" s="13" t="s">
        <v>85</v>
      </c>
      <c r="J310" s="21" t="str">
        <f>_xlfn.XLOOKUP(F310,'04_Account_Mapping'!$A$6:$A$14,'04_Account_Mapping'!$C$6:$C$14,"Unmapped",0)</f>
        <v>Other Net</v>
      </c>
      <c r="K310" s="21" t="str">
        <f>_xlfn.XLOOKUP(F310,'04_Account_Mapping'!$A$6:$A$14,'04_Account_Mapping'!$D$6:$D$14,"Unmapped",0)</f>
        <v>Income</v>
      </c>
    </row>
    <row r="311" spans="1:11">
      <c r="A311" s="16">
        <v>45901</v>
      </c>
      <c r="B311" s="13">
        <v>2025</v>
      </c>
      <c r="C311" s="13">
        <v>9</v>
      </c>
      <c r="D311" s="13" t="s">
        <v>72</v>
      </c>
      <c r="E311" s="13" t="s">
        <v>68</v>
      </c>
      <c r="F311" s="13" t="s">
        <v>66</v>
      </c>
      <c r="G311" s="19">
        <v>-44.730573689342926</v>
      </c>
      <c r="H311" s="13" t="s">
        <v>84</v>
      </c>
      <c r="I311" s="13" t="s">
        <v>85</v>
      </c>
      <c r="J311" s="21" t="str">
        <f>_xlfn.XLOOKUP(F311,'04_Account_Mapping'!$A$6:$A$14,'04_Account_Mapping'!$C$6:$C$14,"Unmapped",0)</f>
        <v>Tax Expense</v>
      </c>
      <c r="K311" s="21" t="str">
        <f>_xlfn.XLOOKUP(F311,'04_Account_Mapping'!$A$6:$A$14,'04_Account_Mapping'!$D$6:$D$14,"Unmapped",0)</f>
        <v>Expense</v>
      </c>
    </row>
    <row r="312" spans="1:11">
      <c r="A312" s="16">
        <v>45901</v>
      </c>
      <c r="B312" s="13">
        <v>2025</v>
      </c>
      <c r="C312" s="13">
        <v>9</v>
      </c>
      <c r="D312" s="13" t="s">
        <v>73</v>
      </c>
      <c r="E312" s="13" t="s">
        <v>74</v>
      </c>
      <c r="F312" s="13" t="s">
        <v>55</v>
      </c>
      <c r="G312" s="19">
        <v>4084.3822809120074</v>
      </c>
      <c r="H312" s="13" t="s">
        <v>84</v>
      </c>
      <c r="I312" s="13" t="s">
        <v>85</v>
      </c>
      <c r="J312" s="21" t="str">
        <f>_xlfn.XLOOKUP(F312,'04_Account_Mapping'!$A$6:$A$14,'04_Account_Mapping'!$C$6:$C$14,"Unmapped",0)</f>
        <v>Revenue</v>
      </c>
      <c r="K312" s="21" t="str">
        <f>_xlfn.XLOOKUP(F312,'04_Account_Mapping'!$A$6:$A$14,'04_Account_Mapping'!$D$6:$D$14,"Unmapped",0)</f>
        <v>Income</v>
      </c>
    </row>
    <row r="313" spans="1:11">
      <c r="A313" s="16">
        <v>45901</v>
      </c>
      <c r="B313" s="13">
        <v>2025</v>
      </c>
      <c r="C313" s="13">
        <v>9</v>
      </c>
      <c r="D313" s="13" t="s">
        <v>73</v>
      </c>
      <c r="E313" s="13" t="s">
        <v>74</v>
      </c>
      <c r="F313" s="13" t="s">
        <v>58</v>
      </c>
      <c r="G313" s="19">
        <v>-3251.1002225679426</v>
      </c>
      <c r="H313" s="13" t="s">
        <v>84</v>
      </c>
      <c r="I313" s="13" t="s">
        <v>85</v>
      </c>
      <c r="J313" s="21" t="str">
        <f>_xlfn.XLOOKUP(F313,'04_Account_Mapping'!$A$6:$A$14,'04_Account_Mapping'!$C$6:$C$14,"Unmapped",0)</f>
        <v>COGS</v>
      </c>
      <c r="K313" s="21" t="str">
        <f>_xlfn.XLOOKUP(F313,'04_Account_Mapping'!$A$6:$A$14,'04_Account_Mapping'!$D$6:$D$14,"Unmapped",0)</f>
        <v>Expense</v>
      </c>
    </row>
    <row r="314" spans="1:11">
      <c r="A314" s="16">
        <v>45901</v>
      </c>
      <c r="B314" s="13">
        <v>2025</v>
      </c>
      <c r="C314" s="13">
        <v>9</v>
      </c>
      <c r="D314" s="13" t="s">
        <v>73</v>
      </c>
      <c r="E314" s="13" t="s">
        <v>74</v>
      </c>
      <c r="F314" s="13" t="s">
        <v>60</v>
      </c>
      <c r="G314" s="19">
        <v>-579.98228388950497</v>
      </c>
      <c r="H314" s="13" t="s">
        <v>84</v>
      </c>
      <c r="I314" s="13" t="s">
        <v>85</v>
      </c>
      <c r="J314" s="21" t="str">
        <f>_xlfn.XLOOKUP(F314,'04_Account_Mapping'!$A$6:$A$14,'04_Account_Mapping'!$C$6:$C$14,"Unmapped",0)</f>
        <v>Selling Expense</v>
      </c>
      <c r="K314" s="21" t="str">
        <f>_xlfn.XLOOKUP(F314,'04_Account_Mapping'!$A$6:$A$14,'04_Account_Mapping'!$D$6:$D$14,"Unmapped",0)</f>
        <v>Expense</v>
      </c>
    </row>
    <row r="315" spans="1:11">
      <c r="A315" s="16">
        <v>45901</v>
      </c>
      <c r="B315" s="13">
        <v>2025</v>
      </c>
      <c r="C315" s="13">
        <v>9</v>
      </c>
      <c r="D315" s="13" t="s">
        <v>73</v>
      </c>
      <c r="E315" s="13" t="s">
        <v>74</v>
      </c>
      <c r="F315" s="13" t="s">
        <v>61</v>
      </c>
      <c r="G315" s="19">
        <v>-110.27832158462421</v>
      </c>
      <c r="H315" s="13" t="s">
        <v>84</v>
      </c>
      <c r="I315" s="13" t="s">
        <v>85</v>
      </c>
      <c r="J315" s="21" t="str">
        <f>_xlfn.XLOOKUP(F315,'04_Account_Mapping'!$A$6:$A$14,'04_Account_Mapping'!$C$6:$C$14,"Unmapped",0)</f>
        <v>G&amp;A</v>
      </c>
      <c r="K315" s="21" t="str">
        <f>_xlfn.XLOOKUP(F315,'04_Account_Mapping'!$A$6:$A$14,'04_Account_Mapping'!$D$6:$D$14,"Unmapped",0)</f>
        <v>Expense</v>
      </c>
    </row>
    <row r="316" spans="1:11">
      <c r="A316" s="16">
        <v>45901</v>
      </c>
      <c r="B316" s="13">
        <v>2025</v>
      </c>
      <c r="C316" s="13">
        <v>9</v>
      </c>
      <c r="D316" s="13" t="s">
        <v>73</v>
      </c>
      <c r="E316" s="13" t="s">
        <v>74</v>
      </c>
      <c r="F316" s="13" t="s">
        <v>62</v>
      </c>
      <c r="G316" s="19">
        <v>61.265734213680112</v>
      </c>
      <c r="H316" s="13" t="s">
        <v>84</v>
      </c>
      <c r="I316" s="13" t="s">
        <v>85</v>
      </c>
      <c r="J316" s="21" t="str">
        <f>_xlfn.XLOOKUP(F316,'04_Account_Mapping'!$A$6:$A$14,'04_Account_Mapping'!$C$6:$C$14,"Unmapped",0)</f>
        <v>Finance Income</v>
      </c>
      <c r="K316" s="21" t="str">
        <f>_xlfn.XLOOKUP(F316,'04_Account_Mapping'!$A$6:$A$14,'04_Account_Mapping'!$D$6:$D$14,"Unmapped",0)</f>
        <v>Income</v>
      </c>
    </row>
    <row r="317" spans="1:11">
      <c r="A317" s="16">
        <v>45901</v>
      </c>
      <c r="B317" s="13">
        <v>2025</v>
      </c>
      <c r="C317" s="13">
        <v>9</v>
      </c>
      <c r="D317" s="13" t="s">
        <v>73</v>
      </c>
      <c r="E317" s="13" t="s">
        <v>74</v>
      </c>
      <c r="F317" s="13" t="s">
        <v>63</v>
      </c>
      <c r="G317" s="19">
        <v>-32.675058247296057</v>
      </c>
      <c r="H317" s="13" t="s">
        <v>84</v>
      </c>
      <c r="I317" s="13" t="s">
        <v>85</v>
      </c>
      <c r="J317" s="21" t="str">
        <f>_xlfn.XLOOKUP(F317,'04_Account_Mapping'!$A$6:$A$14,'04_Account_Mapping'!$C$6:$C$14,"Unmapped",0)</f>
        <v>Finance Expense</v>
      </c>
      <c r="K317" s="21" t="str">
        <f>_xlfn.XLOOKUP(F317,'04_Account_Mapping'!$A$6:$A$14,'04_Account_Mapping'!$D$6:$D$14,"Unmapped",0)</f>
        <v>Expense</v>
      </c>
    </row>
    <row r="318" spans="1:11">
      <c r="A318" s="16">
        <v>45901</v>
      </c>
      <c r="B318" s="13">
        <v>2025</v>
      </c>
      <c r="C318" s="13">
        <v>9</v>
      </c>
      <c r="D318" s="13" t="s">
        <v>73</v>
      </c>
      <c r="E318" s="13" t="s">
        <v>74</v>
      </c>
      <c r="F318" s="13" t="s">
        <v>64</v>
      </c>
      <c r="G318" s="19">
        <v>0</v>
      </c>
      <c r="H318" s="13" t="s">
        <v>84</v>
      </c>
      <c r="I318" s="13" t="s">
        <v>85</v>
      </c>
      <c r="J318" s="21" t="str">
        <f>_xlfn.XLOOKUP(F318,'04_Account_Mapping'!$A$6:$A$14,'04_Account_Mapping'!$C$6:$C$14,"Unmapped",0)</f>
        <v>JV Profit/(Loss)</v>
      </c>
      <c r="K318" s="21" t="str">
        <f>_xlfn.XLOOKUP(F318,'04_Account_Mapping'!$A$6:$A$14,'04_Account_Mapping'!$D$6:$D$14,"Unmapped",0)</f>
        <v>Income</v>
      </c>
    </row>
    <row r="319" spans="1:11">
      <c r="A319" s="16">
        <v>45901</v>
      </c>
      <c r="B319" s="13">
        <v>2025</v>
      </c>
      <c r="C319" s="13">
        <v>9</v>
      </c>
      <c r="D319" s="13" t="s">
        <v>73</v>
      </c>
      <c r="E319" s="13" t="s">
        <v>74</v>
      </c>
      <c r="F319" s="13" t="s">
        <v>65</v>
      </c>
      <c r="G319" s="19">
        <v>-6.5350116494592116</v>
      </c>
      <c r="H319" s="13" t="s">
        <v>84</v>
      </c>
      <c r="I319" s="13" t="s">
        <v>85</v>
      </c>
      <c r="J319" s="21" t="str">
        <f>_xlfn.XLOOKUP(F319,'04_Account_Mapping'!$A$6:$A$14,'04_Account_Mapping'!$C$6:$C$14,"Unmapped",0)</f>
        <v>Other Net</v>
      </c>
      <c r="K319" s="21" t="str">
        <f>_xlfn.XLOOKUP(F319,'04_Account_Mapping'!$A$6:$A$14,'04_Account_Mapping'!$D$6:$D$14,"Unmapped",0)</f>
        <v>Income</v>
      </c>
    </row>
    <row r="320" spans="1:11">
      <c r="A320" s="16">
        <v>45901</v>
      </c>
      <c r="B320" s="13">
        <v>2025</v>
      </c>
      <c r="C320" s="13">
        <v>9</v>
      </c>
      <c r="D320" s="13" t="s">
        <v>73</v>
      </c>
      <c r="E320" s="13" t="s">
        <v>74</v>
      </c>
      <c r="F320" s="13" t="s">
        <v>66</v>
      </c>
      <c r="G320" s="19">
        <v>-33.015423437372156</v>
      </c>
      <c r="H320" s="13" t="s">
        <v>84</v>
      </c>
      <c r="I320" s="13" t="s">
        <v>85</v>
      </c>
      <c r="J320" s="21" t="str">
        <f>_xlfn.XLOOKUP(F320,'04_Account_Mapping'!$A$6:$A$14,'04_Account_Mapping'!$C$6:$C$14,"Unmapped",0)</f>
        <v>Tax Expense</v>
      </c>
      <c r="K320" s="21" t="str">
        <f>_xlfn.XLOOKUP(F320,'04_Account_Mapping'!$A$6:$A$14,'04_Account_Mapping'!$D$6:$D$14,"Unmapped",0)</f>
        <v>Expense</v>
      </c>
    </row>
    <row r="321" spans="1:11">
      <c r="A321" s="16">
        <v>45901</v>
      </c>
      <c r="B321" s="13">
        <v>2025</v>
      </c>
      <c r="C321" s="13">
        <v>9</v>
      </c>
      <c r="D321" s="13" t="s">
        <v>75</v>
      </c>
      <c r="E321" s="13" t="s">
        <v>76</v>
      </c>
      <c r="F321" s="13" t="s">
        <v>55</v>
      </c>
      <c r="G321" s="19">
        <v>658.77133563096891</v>
      </c>
      <c r="H321" s="13" t="s">
        <v>84</v>
      </c>
      <c r="I321" s="13" t="s">
        <v>85</v>
      </c>
      <c r="J321" s="21" t="str">
        <f>_xlfn.XLOOKUP(F321,'04_Account_Mapping'!$A$6:$A$14,'04_Account_Mapping'!$C$6:$C$14,"Unmapped",0)</f>
        <v>Revenue</v>
      </c>
      <c r="K321" s="21" t="str">
        <f>_xlfn.XLOOKUP(F321,'04_Account_Mapping'!$A$6:$A$14,'04_Account_Mapping'!$D$6:$D$14,"Unmapped",0)</f>
        <v>Income</v>
      </c>
    </row>
    <row r="322" spans="1:11">
      <c r="A322" s="16">
        <v>45901</v>
      </c>
      <c r="B322" s="13">
        <v>2025</v>
      </c>
      <c r="C322" s="13">
        <v>9</v>
      </c>
      <c r="D322" s="13" t="s">
        <v>75</v>
      </c>
      <c r="E322" s="13" t="s">
        <v>76</v>
      </c>
      <c r="F322" s="13" t="s">
        <v>58</v>
      </c>
      <c r="G322" s="19">
        <v>-524.3710036399907</v>
      </c>
      <c r="H322" s="13" t="s">
        <v>84</v>
      </c>
      <c r="I322" s="13" t="s">
        <v>85</v>
      </c>
      <c r="J322" s="21" t="str">
        <f>_xlfn.XLOOKUP(F322,'04_Account_Mapping'!$A$6:$A$14,'04_Account_Mapping'!$C$6:$C$14,"Unmapped",0)</f>
        <v>COGS</v>
      </c>
      <c r="K322" s="21" t="str">
        <f>_xlfn.XLOOKUP(F322,'04_Account_Mapping'!$A$6:$A$14,'04_Account_Mapping'!$D$6:$D$14,"Unmapped",0)</f>
        <v>Expense</v>
      </c>
    </row>
    <row r="323" spans="1:11">
      <c r="A323" s="16">
        <v>45901</v>
      </c>
      <c r="B323" s="13">
        <v>2025</v>
      </c>
      <c r="C323" s="13">
        <v>9</v>
      </c>
      <c r="D323" s="13" t="s">
        <v>75</v>
      </c>
      <c r="E323" s="13" t="s">
        <v>76</v>
      </c>
      <c r="F323" s="13" t="s">
        <v>60</v>
      </c>
      <c r="G323" s="19">
        <v>-93.545529659597562</v>
      </c>
      <c r="H323" s="13" t="s">
        <v>84</v>
      </c>
      <c r="I323" s="13" t="s">
        <v>85</v>
      </c>
      <c r="J323" s="21" t="str">
        <f>_xlfn.XLOOKUP(F323,'04_Account_Mapping'!$A$6:$A$14,'04_Account_Mapping'!$C$6:$C$14,"Unmapped",0)</f>
        <v>Selling Expense</v>
      </c>
      <c r="K323" s="21" t="str">
        <f>_xlfn.XLOOKUP(F323,'04_Account_Mapping'!$A$6:$A$14,'04_Account_Mapping'!$D$6:$D$14,"Unmapped",0)</f>
        <v>Expense</v>
      </c>
    </row>
    <row r="324" spans="1:11">
      <c r="A324" s="16">
        <v>45901</v>
      </c>
      <c r="B324" s="13">
        <v>2025</v>
      </c>
      <c r="C324" s="13">
        <v>9</v>
      </c>
      <c r="D324" s="13" t="s">
        <v>75</v>
      </c>
      <c r="E324" s="13" t="s">
        <v>76</v>
      </c>
      <c r="F324" s="13" t="s">
        <v>61</v>
      </c>
      <c r="G324" s="19">
        <v>-17.786826062036159</v>
      </c>
      <c r="H324" s="13" t="s">
        <v>84</v>
      </c>
      <c r="I324" s="13" t="s">
        <v>85</v>
      </c>
      <c r="J324" s="21" t="str">
        <f>_xlfn.XLOOKUP(F324,'04_Account_Mapping'!$A$6:$A$14,'04_Account_Mapping'!$C$6:$C$14,"Unmapped",0)</f>
        <v>G&amp;A</v>
      </c>
      <c r="K324" s="21" t="str">
        <f>_xlfn.XLOOKUP(F324,'04_Account_Mapping'!$A$6:$A$14,'04_Account_Mapping'!$D$6:$D$14,"Unmapped",0)</f>
        <v>Expense</v>
      </c>
    </row>
    <row r="325" spans="1:11">
      <c r="A325" s="16">
        <v>45901</v>
      </c>
      <c r="B325" s="13">
        <v>2025</v>
      </c>
      <c r="C325" s="13">
        <v>9</v>
      </c>
      <c r="D325" s="13" t="s">
        <v>75</v>
      </c>
      <c r="E325" s="13" t="s">
        <v>76</v>
      </c>
      <c r="F325" s="13" t="s">
        <v>62</v>
      </c>
      <c r="G325" s="19">
        <v>9.8815700344645343</v>
      </c>
      <c r="H325" s="13" t="s">
        <v>84</v>
      </c>
      <c r="I325" s="13" t="s">
        <v>85</v>
      </c>
      <c r="J325" s="21" t="str">
        <f>_xlfn.XLOOKUP(F325,'04_Account_Mapping'!$A$6:$A$14,'04_Account_Mapping'!$C$6:$C$14,"Unmapped",0)</f>
        <v>Finance Income</v>
      </c>
      <c r="K325" s="21" t="str">
        <f>_xlfn.XLOOKUP(F325,'04_Account_Mapping'!$A$6:$A$14,'04_Account_Mapping'!$D$6:$D$14,"Unmapped",0)</f>
        <v>Income</v>
      </c>
    </row>
    <row r="326" spans="1:11">
      <c r="A326" s="16">
        <v>45901</v>
      </c>
      <c r="B326" s="13">
        <v>2025</v>
      </c>
      <c r="C326" s="13">
        <v>9</v>
      </c>
      <c r="D326" s="13" t="s">
        <v>75</v>
      </c>
      <c r="E326" s="13" t="s">
        <v>76</v>
      </c>
      <c r="F326" s="13" t="s">
        <v>63</v>
      </c>
      <c r="G326" s="19">
        <v>-5.2701706850477512</v>
      </c>
      <c r="H326" s="13" t="s">
        <v>84</v>
      </c>
      <c r="I326" s="13" t="s">
        <v>85</v>
      </c>
      <c r="J326" s="21" t="str">
        <f>_xlfn.XLOOKUP(F326,'04_Account_Mapping'!$A$6:$A$14,'04_Account_Mapping'!$C$6:$C$14,"Unmapped",0)</f>
        <v>Finance Expense</v>
      </c>
      <c r="K326" s="21" t="str">
        <f>_xlfn.XLOOKUP(F326,'04_Account_Mapping'!$A$6:$A$14,'04_Account_Mapping'!$D$6:$D$14,"Unmapped",0)</f>
        <v>Expense</v>
      </c>
    </row>
    <row r="327" spans="1:11">
      <c r="A327" s="16">
        <v>45901</v>
      </c>
      <c r="B327" s="13">
        <v>2025</v>
      </c>
      <c r="C327" s="13">
        <v>9</v>
      </c>
      <c r="D327" s="13" t="s">
        <v>75</v>
      </c>
      <c r="E327" s="13" t="s">
        <v>76</v>
      </c>
      <c r="F327" s="13" t="s">
        <v>64</v>
      </c>
      <c r="G327" s="19">
        <v>0</v>
      </c>
      <c r="H327" s="13" t="s">
        <v>84</v>
      </c>
      <c r="I327" s="13" t="s">
        <v>85</v>
      </c>
      <c r="J327" s="21" t="str">
        <f>_xlfn.XLOOKUP(F327,'04_Account_Mapping'!$A$6:$A$14,'04_Account_Mapping'!$C$6:$C$14,"Unmapped",0)</f>
        <v>JV Profit/(Loss)</v>
      </c>
      <c r="K327" s="21" t="str">
        <f>_xlfn.XLOOKUP(F327,'04_Account_Mapping'!$A$6:$A$14,'04_Account_Mapping'!$D$6:$D$14,"Unmapped",0)</f>
        <v>Income</v>
      </c>
    </row>
    <row r="328" spans="1:11">
      <c r="A328" s="16">
        <v>45901</v>
      </c>
      <c r="B328" s="13">
        <v>2025</v>
      </c>
      <c r="C328" s="13">
        <v>9</v>
      </c>
      <c r="D328" s="13" t="s">
        <v>75</v>
      </c>
      <c r="E328" s="13" t="s">
        <v>76</v>
      </c>
      <c r="F328" s="13" t="s">
        <v>65</v>
      </c>
      <c r="G328" s="19">
        <v>-1.0540341370095503</v>
      </c>
      <c r="H328" s="13" t="s">
        <v>84</v>
      </c>
      <c r="I328" s="13" t="s">
        <v>85</v>
      </c>
      <c r="J328" s="21" t="str">
        <f>_xlfn.XLOOKUP(F328,'04_Account_Mapping'!$A$6:$A$14,'04_Account_Mapping'!$C$6:$C$14,"Unmapped",0)</f>
        <v>Other Net</v>
      </c>
      <c r="K328" s="21" t="str">
        <f>_xlfn.XLOOKUP(F328,'04_Account_Mapping'!$A$6:$A$14,'04_Account_Mapping'!$D$6:$D$14,"Unmapped",0)</f>
        <v>Income</v>
      </c>
    </row>
    <row r="329" spans="1:11">
      <c r="A329" s="16">
        <v>45901</v>
      </c>
      <c r="B329" s="13">
        <v>2025</v>
      </c>
      <c r="C329" s="13">
        <v>9</v>
      </c>
      <c r="D329" s="13" t="s">
        <v>75</v>
      </c>
      <c r="E329" s="13" t="s">
        <v>76</v>
      </c>
      <c r="F329" s="13" t="s">
        <v>66</v>
      </c>
      <c r="G329" s="19">
        <v>-5.3250682963503477</v>
      </c>
      <c r="H329" s="13" t="s">
        <v>84</v>
      </c>
      <c r="I329" s="13" t="s">
        <v>85</v>
      </c>
      <c r="J329" s="21" t="str">
        <f>_xlfn.XLOOKUP(F329,'04_Account_Mapping'!$A$6:$A$14,'04_Account_Mapping'!$C$6:$C$14,"Unmapped",0)</f>
        <v>Tax Expense</v>
      </c>
      <c r="K329" s="21" t="str">
        <f>_xlfn.XLOOKUP(F329,'04_Account_Mapping'!$A$6:$A$14,'04_Account_Mapping'!$D$6:$D$14,"Unmapped",0)</f>
        <v>Expense</v>
      </c>
    </row>
    <row r="330" spans="1:11">
      <c r="A330" s="16">
        <v>45931</v>
      </c>
      <c r="B330" s="13">
        <v>2025</v>
      </c>
      <c r="C330" s="13">
        <v>10</v>
      </c>
      <c r="D330" s="13" t="s">
        <v>67</v>
      </c>
      <c r="E330" s="13" t="s">
        <v>68</v>
      </c>
      <c r="F330" s="13" t="s">
        <v>55</v>
      </c>
      <c r="G330" s="19">
        <v>2846.0261573160838</v>
      </c>
      <c r="H330" s="13" t="s">
        <v>84</v>
      </c>
      <c r="I330" s="13" t="s">
        <v>85</v>
      </c>
      <c r="J330" s="21" t="str">
        <f>_xlfn.XLOOKUP(F330,'04_Account_Mapping'!$A$6:$A$14,'04_Account_Mapping'!$C$6:$C$14,"Unmapped",0)</f>
        <v>Revenue</v>
      </c>
      <c r="K330" s="21" t="str">
        <f>_xlfn.XLOOKUP(F330,'04_Account_Mapping'!$A$6:$A$14,'04_Account_Mapping'!$D$6:$D$14,"Unmapped",0)</f>
        <v>Income</v>
      </c>
    </row>
    <row r="331" spans="1:11">
      <c r="A331" s="16">
        <v>45931</v>
      </c>
      <c r="B331" s="13">
        <v>2025</v>
      </c>
      <c r="C331" s="13">
        <v>10</v>
      </c>
      <c r="D331" s="13" t="s">
        <v>67</v>
      </c>
      <c r="E331" s="13" t="s">
        <v>68</v>
      </c>
      <c r="F331" s="13" t="s">
        <v>58</v>
      </c>
      <c r="G331" s="19">
        <v>-2265.3893874543141</v>
      </c>
      <c r="H331" s="13" t="s">
        <v>84</v>
      </c>
      <c r="I331" s="13" t="s">
        <v>85</v>
      </c>
      <c r="J331" s="21" t="str">
        <f>_xlfn.XLOOKUP(F331,'04_Account_Mapping'!$A$6:$A$14,'04_Account_Mapping'!$C$6:$C$14,"Unmapped",0)</f>
        <v>COGS</v>
      </c>
      <c r="K331" s="21" t="str">
        <f>_xlfn.XLOOKUP(F331,'04_Account_Mapping'!$A$6:$A$14,'04_Account_Mapping'!$D$6:$D$14,"Unmapped",0)</f>
        <v>Expense</v>
      </c>
    </row>
    <row r="332" spans="1:11">
      <c r="A332" s="16">
        <v>45931</v>
      </c>
      <c r="B332" s="13">
        <v>2025</v>
      </c>
      <c r="C332" s="13">
        <v>10</v>
      </c>
      <c r="D332" s="13" t="s">
        <v>67</v>
      </c>
      <c r="E332" s="13" t="s">
        <v>68</v>
      </c>
      <c r="F332" s="13" t="s">
        <v>60</v>
      </c>
      <c r="G332" s="19">
        <v>-404.13571433888382</v>
      </c>
      <c r="H332" s="13" t="s">
        <v>84</v>
      </c>
      <c r="I332" s="13" t="s">
        <v>85</v>
      </c>
      <c r="J332" s="21" t="str">
        <f>_xlfn.XLOOKUP(F332,'04_Account_Mapping'!$A$6:$A$14,'04_Account_Mapping'!$C$6:$C$14,"Unmapped",0)</f>
        <v>Selling Expense</v>
      </c>
      <c r="K332" s="21" t="str">
        <f>_xlfn.XLOOKUP(F332,'04_Account_Mapping'!$A$6:$A$14,'04_Account_Mapping'!$D$6:$D$14,"Unmapped",0)</f>
        <v>Expense</v>
      </c>
    </row>
    <row r="333" spans="1:11">
      <c r="A333" s="16">
        <v>45931</v>
      </c>
      <c r="B333" s="13">
        <v>2025</v>
      </c>
      <c r="C333" s="13">
        <v>10</v>
      </c>
      <c r="D333" s="13" t="s">
        <v>67</v>
      </c>
      <c r="E333" s="13" t="s">
        <v>68</v>
      </c>
      <c r="F333" s="13" t="s">
        <v>61</v>
      </c>
      <c r="G333" s="19">
        <v>-76.842706247534267</v>
      </c>
      <c r="H333" s="13" t="s">
        <v>84</v>
      </c>
      <c r="I333" s="13" t="s">
        <v>85</v>
      </c>
      <c r="J333" s="21" t="str">
        <f>_xlfn.XLOOKUP(F333,'04_Account_Mapping'!$A$6:$A$14,'04_Account_Mapping'!$C$6:$C$14,"Unmapped",0)</f>
        <v>G&amp;A</v>
      </c>
      <c r="K333" s="21" t="str">
        <f>_xlfn.XLOOKUP(F333,'04_Account_Mapping'!$A$6:$A$14,'04_Account_Mapping'!$D$6:$D$14,"Unmapped",0)</f>
        <v>Expense</v>
      </c>
    </row>
    <row r="334" spans="1:11">
      <c r="A334" s="16">
        <v>45931</v>
      </c>
      <c r="B334" s="13">
        <v>2025</v>
      </c>
      <c r="C334" s="13">
        <v>10</v>
      </c>
      <c r="D334" s="13" t="s">
        <v>67</v>
      </c>
      <c r="E334" s="13" t="s">
        <v>68</v>
      </c>
      <c r="F334" s="13" t="s">
        <v>62</v>
      </c>
      <c r="G334" s="19">
        <v>42.690392359741253</v>
      </c>
      <c r="H334" s="13" t="s">
        <v>84</v>
      </c>
      <c r="I334" s="13" t="s">
        <v>85</v>
      </c>
      <c r="J334" s="21" t="str">
        <f>_xlfn.XLOOKUP(F334,'04_Account_Mapping'!$A$6:$A$14,'04_Account_Mapping'!$C$6:$C$14,"Unmapped",0)</f>
        <v>Finance Income</v>
      </c>
      <c r="K334" s="21" t="str">
        <f>_xlfn.XLOOKUP(F334,'04_Account_Mapping'!$A$6:$A$14,'04_Account_Mapping'!$D$6:$D$14,"Unmapped",0)</f>
        <v>Income</v>
      </c>
    </row>
    <row r="335" spans="1:11">
      <c r="A335" s="16">
        <v>45931</v>
      </c>
      <c r="B335" s="13">
        <v>2025</v>
      </c>
      <c r="C335" s="13">
        <v>10</v>
      </c>
      <c r="D335" s="13" t="s">
        <v>67</v>
      </c>
      <c r="E335" s="13" t="s">
        <v>68</v>
      </c>
      <c r="F335" s="13" t="s">
        <v>63</v>
      </c>
      <c r="G335" s="19">
        <v>-22.768209258528671</v>
      </c>
      <c r="H335" s="13" t="s">
        <v>84</v>
      </c>
      <c r="I335" s="13" t="s">
        <v>85</v>
      </c>
      <c r="J335" s="21" t="str">
        <f>_xlfn.XLOOKUP(F335,'04_Account_Mapping'!$A$6:$A$14,'04_Account_Mapping'!$C$6:$C$14,"Unmapped",0)</f>
        <v>Finance Expense</v>
      </c>
      <c r="K335" s="21" t="str">
        <f>_xlfn.XLOOKUP(F335,'04_Account_Mapping'!$A$6:$A$14,'04_Account_Mapping'!$D$6:$D$14,"Unmapped",0)</f>
        <v>Expense</v>
      </c>
    </row>
    <row r="336" spans="1:11">
      <c r="A336" s="16">
        <v>45931</v>
      </c>
      <c r="B336" s="13">
        <v>2025</v>
      </c>
      <c r="C336" s="13">
        <v>10</v>
      </c>
      <c r="D336" s="13" t="s">
        <v>67</v>
      </c>
      <c r="E336" s="13" t="s">
        <v>68</v>
      </c>
      <c r="F336" s="13" t="s">
        <v>64</v>
      </c>
      <c r="G336" s="19">
        <v>0</v>
      </c>
      <c r="H336" s="13" t="s">
        <v>84</v>
      </c>
      <c r="I336" s="13" t="s">
        <v>85</v>
      </c>
      <c r="J336" s="21" t="str">
        <f>_xlfn.XLOOKUP(F336,'04_Account_Mapping'!$A$6:$A$14,'04_Account_Mapping'!$C$6:$C$14,"Unmapped",0)</f>
        <v>JV Profit/(Loss)</v>
      </c>
      <c r="K336" s="21" t="str">
        <f>_xlfn.XLOOKUP(F336,'04_Account_Mapping'!$A$6:$A$14,'04_Account_Mapping'!$D$6:$D$14,"Unmapped",0)</f>
        <v>Income</v>
      </c>
    </row>
    <row r="337" spans="1:11">
      <c r="A337" s="16">
        <v>45931</v>
      </c>
      <c r="B337" s="13">
        <v>2025</v>
      </c>
      <c r="C337" s="13">
        <v>10</v>
      </c>
      <c r="D337" s="13" t="s">
        <v>67</v>
      </c>
      <c r="E337" s="13" t="s">
        <v>68</v>
      </c>
      <c r="F337" s="13" t="s">
        <v>65</v>
      </c>
      <c r="G337" s="19">
        <v>-4.5536418517057342</v>
      </c>
      <c r="H337" s="13" t="s">
        <v>84</v>
      </c>
      <c r="I337" s="13" t="s">
        <v>85</v>
      </c>
      <c r="J337" s="21" t="str">
        <f>_xlfn.XLOOKUP(F337,'04_Account_Mapping'!$A$6:$A$14,'04_Account_Mapping'!$C$6:$C$14,"Unmapped",0)</f>
        <v>Other Net</v>
      </c>
      <c r="K337" s="21" t="str">
        <f>_xlfn.XLOOKUP(F337,'04_Account_Mapping'!$A$6:$A$14,'04_Account_Mapping'!$D$6:$D$14,"Unmapped",0)</f>
        <v>Income</v>
      </c>
    </row>
    <row r="338" spans="1:11">
      <c r="A338" s="16">
        <v>45931</v>
      </c>
      <c r="B338" s="13">
        <v>2025</v>
      </c>
      <c r="C338" s="13">
        <v>10</v>
      </c>
      <c r="D338" s="13" t="s">
        <v>67</v>
      </c>
      <c r="E338" s="13" t="s">
        <v>68</v>
      </c>
      <c r="F338" s="13" t="s">
        <v>66</v>
      </c>
      <c r="G338" s="19">
        <v>-23.005378104971747</v>
      </c>
      <c r="H338" s="13" t="s">
        <v>84</v>
      </c>
      <c r="I338" s="13" t="s">
        <v>85</v>
      </c>
      <c r="J338" s="21" t="str">
        <f>_xlfn.XLOOKUP(F338,'04_Account_Mapping'!$A$6:$A$14,'04_Account_Mapping'!$C$6:$C$14,"Unmapped",0)</f>
        <v>Tax Expense</v>
      </c>
      <c r="K338" s="21" t="str">
        <f>_xlfn.XLOOKUP(F338,'04_Account_Mapping'!$A$6:$A$14,'04_Account_Mapping'!$D$6:$D$14,"Unmapped",0)</f>
        <v>Expense</v>
      </c>
    </row>
    <row r="339" spans="1:11">
      <c r="A339" s="16">
        <v>45931</v>
      </c>
      <c r="B339" s="13">
        <v>2025</v>
      </c>
      <c r="C339" s="13">
        <v>10</v>
      </c>
      <c r="D339" s="13" t="s">
        <v>72</v>
      </c>
      <c r="E339" s="13" t="s">
        <v>68</v>
      </c>
      <c r="F339" s="13" t="s">
        <v>55</v>
      </c>
      <c r="G339" s="19">
        <v>5433.3226639670684</v>
      </c>
      <c r="H339" s="13" t="s">
        <v>84</v>
      </c>
      <c r="I339" s="13" t="s">
        <v>85</v>
      </c>
      <c r="J339" s="21" t="str">
        <f>_xlfn.XLOOKUP(F339,'04_Account_Mapping'!$A$6:$A$14,'04_Account_Mapping'!$C$6:$C$14,"Unmapped",0)</f>
        <v>Revenue</v>
      </c>
      <c r="K339" s="21" t="str">
        <f>_xlfn.XLOOKUP(F339,'04_Account_Mapping'!$A$6:$A$14,'04_Account_Mapping'!$D$6:$D$14,"Unmapped",0)</f>
        <v>Income</v>
      </c>
    </row>
    <row r="340" spans="1:11">
      <c r="A340" s="16">
        <v>45931</v>
      </c>
      <c r="B340" s="13">
        <v>2025</v>
      </c>
      <c r="C340" s="13">
        <v>10</v>
      </c>
      <c r="D340" s="13" t="s">
        <v>72</v>
      </c>
      <c r="E340" s="13" t="s">
        <v>68</v>
      </c>
      <c r="F340" s="13" t="s">
        <v>58</v>
      </c>
      <c r="G340" s="19">
        <v>-4324.8342851400539</v>
      </c>
      <c r="H340" s="13" t="s">
        <v>84</v>
      </c>
      <c r="I340" s="13" t="s">
        <v>85</v>
      </c>
      <c r="J340" s="21" t="str">
        <f>_xlfn.XLOOKUP(F340,'04_Account_Mapping'!$A$6:$A$14,'04_Account_Mapping'!$C$6:$C$14,"Unmapped",0)</f>
        <v>COGS</v>
      </c>
      <c r="K340" s="21" t="str">
        <f>_xlfn.XLOOKUP(F340,'04_Account_Mapping'!$A$6:$A$14,'04_Account_Mapping'!$D$6:$D$14,"Unmapped",0)</f>
        <v>Expense</v>
      </c>
    </row>
    <row r="341" spans="1:11">
      <c r="A341" s="16">
        <v>45931</v>
      </c>
      <c r="B341" s="13">
        <v>2025</v>
      </c>
      <c r="C341" s="13">
        <v>10</v>
      </c>
      <c r="D341" s="13" t="s">
        <v>72</v>
      </c>
      <c r="E341" s="13" t="s">
        <v>68</v>
      </c>
      <c r="F341" s="13" t="s">
        <v>60</v>
      </c>
      <c r="G341" s="19">
        <v>-771.53181828332356</v>
      </c>
      <c r="H341" s="13" t="s">
        <v>84</v>
      </c>
      <c r="I341" s="13" t="s">
        <v>85</v>
      </c>
      <c r="J341" s="21" t="str">
        <f>_xlfn.XLOOKUP(F341,'04_Account_Mapping'!$A$6:$A$14,'04_Account_Mapping'!$C$6:$C$14,"Unmapped",0)</f>
        <v>Selling Expense</v>
      </c>
      <c r="K341" s="21" t="str">
        <f>_xlfn.XLOOKUP(F341,'04_Account_Mapping'!$A$6:$A$14,'04_Account_Mapping'!$D$6:$D$14,"Unmapped",0)</f>
        <v>Expense</v>
      </c>
    </row>
    <row r="342" spans="1:11">
      <c r="A342" s="16">
        <v>45931</v>
      </c>
      <c r="B342" s="13">
        <v>2025</v>
      </c>
      <c r="C342" s="13">
        <v>10</v>
      </c>
      <c r="D342" s="13" t="s">
        <v>72</v>
      </c>
      <c r="E342" s="13" t="s">
        <v>68</v>
      </c>
      <c r="F342" s="13" t="s">
        <v>61</v>
      </c>
      <c r="G342" s="19">
        <v>-146.69971192711085</v>
      </c>
      <c r="H342" s="13" t="s">
        <v>84</v>
      </c>
      <c r="I342" s="13" t="s">
        <v>85</v>
      </c>
      <c r="J342" s="21" t="str">
        <f>_xlfn.XLOOKUP(F342,'04_Account_Mapping'!$A$6:$A$14,'04_Account_Mapping'!$C$6:$C$14,"Unmapped",0)</f>
        <v>G&amp;A</v>
      </c>
      <c r="K342" s="21" t="str">
        <f>_xlfn.XLOOKUP(F342,'04_Account_Mapping'!$A$6:$A$14,'04_Account_Mapping'!$D$6:$D$14,"Unmapped",0)</f>
        <v>Expense</v>
      </c>
    </row>
    <row r="343" spans="1:11">
      <c r="A343" s="16">
        <v>45931</v>
      </c>
      <c r="B343" s="13">
        <v>2025</v>
      </c>
      <c r="C343" s="13">
        <v>10</v>
      </c>
      <c r="D343" s="13" t="s">
        <v>72</v>
      </c>
      <c r="E343" s="13" t="s">
        <v>68</v>
      </c>
      <c r="F343" s="13" t="s">
        <v>62</v>
      </c>
      <c r="G343" s="19">
        <v>81.499839959506019</v>
      </c>
      <c r="H343" s="13" t="s">
        <v>84</v>
      </c>
      <c r="I343" s="13" t="s">
        <v>85</v>
      </c>
      <c r="J343" s="21" t="str">
        <f>_xlfn.XLOOKUP(F343,'04_Account_Mapping'!$A$6:$A$14,'04_Account_Mapping'!$C$6:$C$14,"Unmapped",0)</f>
        <v>Finance Income</v>
      </c>
      <c r="K343" s="21" t="str">
        <f>_xlfn.XLOOKUP(F343,'04_Account_Mapping'!$A$6:$A$14,'04_Account_Mapping'!$D$6:$D$14,"Unmapped",0)</f>
        <v>Income</v>
      </c>
    </row>
    <row r="344" spans="1:11">
      <c r="A344" s="16">
        <v>45931</v>
      </c>
      <c r="B344" s="13">
        <v>2025</v>
      </c>
      <c r="C344" s="13">
        <v>10</v>
      </c>
      <c r="D344" s="13" t="s">
        <v>72</v>
      </c>
      <c r="E344" s="13" t="s">
        <v>68</v>
      </c>
      <c r="F344" s="13" t="s">
        <v>63</v>
      </c>
      <c r="G344" s="19">
        <v>-43.466581311736547</v>
      </c>
      <c r="H344" s="13" t="s">
        <v>84</v>
      </c>
      <c r="I344" s="13" t="s">
        <v>85</v>
      </c>
      <c r="J344" s="21" t="str">
        <f>_xlfn.XLOOKUP(F344,'04_Account_Mapping'!$A$6:$A$14,'04_Account_Mapping'!$C$6:$C$14,"Unmapped",0)</f>
        <v>Finance Expense</v>
      </c>
      <c r="K344" s="21" t="str">
        <f>_xlfn.XLOOKUP(F344,'04_Account_Mapping'!$A$6:$A$14,'04_Account_Mapping'!$D$6:$D$14,"Unmapped",0)</f>
        <v>Expense</v>
      </c>
    </row>
    <row r="345" spans="1:11">
      <c r="A345" s="16">
        <v>45931</v>
      </c>
      <c r="B345" s="13">
        <v>2025</v>
      </c>
      <c r="C345" s="13">
        <v>10</v>
      </c>
      <c r="D345" s="13" t="s">
        <v>72</v>
      </c>
      <c r="E345" s="13" t="s">
        <v>68</v>
      </c>
      <c r="F345" s="13" t="s">
        <v>64</v>
      </c>
      <c r="G345" s="19">
        <v>0</v>
      </c>
      <c r="H345" s="13" t="s">
        <v>84</v>
      </c>
      <c r="I345" s="13" t="s">
        <v>85</v>
      </c>
      <c r="J345" s="21" t="str">
        <f>_xlfn.XLOOKUP(F345,'04_Account_Mapping'!$A$6:$A$14,'04_Account_Mapping'!$C$6:$C$14,"Unmapped",0)</f>
        <v>JV Profit/(Loss)</v>
      </c>
      <c r="K345" s="21" t="str">
        <f>_xlfn.XLOOKUP(F345,'04_Account_Mapping'!$A$6:$A$14,'04_Account_Mapping'!$D$6:$D$14,"Unmapped",0)</f>
        <v>Income</v>
      </c>
    </row>
    <row r="346" spans="1:11">
      <c r="A346" s="16">
        <v>45931</v>
      </c>
      <c r="B346" s="13">
        <v>2025</v>
      </c>
      <c r="C346" s="13">
        <v>10</v>
      </c>
      <c r="D346" s="13" t="s">
        <v>72</v>
      </c>
      <c r="E346" s="13" t="s">
        <v>68</v>
      </c>
      <c r="F346" s="13" t="s">
        <v>65</v>
      </c>
      <c r="G346" s="19">
        <v>-8.6933162623473095</v>
      </c>
      <c r="H346" s="13" t="s">
        <v>84</v>
      </c>
      <c r="I346" s="13" t="s">
        <v>85</v>
      </c>
      <c r="J346" s="21" t="str">
        <f>_xlfn.XLOOKUP(F346,'04_Account_Mapping'!$A$6:$A$14,'04_Account_Mapping'!$C$6:$C$14,"Unmapped",0)</f>
        <v>Other Net</v>
      </c>
      <c r="K346" s="21" t="str">
        <f>_xlfn.XLOOKUP(F346,'04_Account_Mapping'!$A$6:$A$14,'04_Account_Mapping'!$D$6:$D$14,"Unmapped",0)</f>
        <v>Income</v>
      </c>
    </row>
    <row r="347" spans="1:11">
      <c r="A347" s="16">
        <v>45931</v>
      </c>
      <c r="B347" s="13">
        <v>2025</v>
      </c>
      <c r="C347" s="13">
        <v>10</v>
      </c>
      <c r="D347" s="13" t="s">
        <v>72</v>
      </c>
      <c r="E347" s="13" t="s">
        <v>68</v>
      </c>
      <c r="F347" s="13" t="s">
        <v>66</v>
      </c>
      <c r="G347" s="19">
        <v>-43.919358200400602</v>
      </c>
      <c r="H347" s="13" t="s">
        <v>84</v>
      </c>
      <c r="I347" s="13" t="s">
        <v>85</v>
      </c>
      <c r="J347" s="21" t="str">
        <f>_xlfn.XLOOKUP(F347,'04_Account_Mapping'!$A$6:$A$14,'04_Account_Mapping'!$C$6:$C$14,"Unmapped",0)</f>
        <v>Tax Expense</v>
      </c>
      <c r="K347" s="21" t="str">
        <f>_xlfn.XLOOKUP(F347,'04_Account_Mapping'!$A$6:$A$14,'04_Account_Mapping'!$D$6:$D$14,"Unmapped",0)</f>
        <v>Expense</v>
      </c>
    </row>
    <row r="348" spans="1:11">
      <c r="A348" s="16">
        <v>45931</v>
      </c>
      <c r="B348" s="13">
        <v>2025</v>
      </c>
      <c r="C348" s="13">
        <v>10</v>
      </c>
      <c r="D348" s="13" t="s">
        <v>73</v>
      </c>
      <c r="E348" s="13" t="s">
        <v>74</v>
      </c>
      <c r="F348" s="13" t="s">
        <v>55</v>
      </c>
      <c r="G348" s="19">
        <v>4010.3095853090267</v>
      </c>
      <c r="H348" s="13" t="s">
        <v>84</v>
      </c>
      <c r="I348" s="13" t="s">
        <v>85</v>
      </c>
      <c r="J348" s="21" t="str">
        <f>_xlfn.XLOOKUP(F348,'04_Account_Mapping'!$A$6:$A$14,'04_Account_Mapping'!$C$6:$C$14,"Unmapped",0)</f>
        <v>Revenue</v>
      </c>
      <c r="K348" s="21" t="str">
        <f>_xlfn.XLOOKUP(F348,'04_Account_Mapping'!$A$6:$A$14,'04_Account_Mapping'!$D$6:$D$14,"Unmapped",0)</f>
        <v>Income</v>
      </c>
    </row>
    <row r="349" spans="1:11">
      <c r="A349" s="16">
        <v>45931</v>
      </c>
      <c r="B349" s="13">
        <v>2025</v>
      </c>
      <c r="C349" s="13">
        <v>10</v>
      </c>
      <c r="D349" s="13" t="s">
        <v>73</v>
      </c>
      <c r="E349" s="13" t="s">
        <v>74</v>
      </c>
      <c r="F349" s="13" t="s">
        <v>58</v>
      </c>
      <c r="G349" s="19">
        <v>-3192.1395914128966</v>
      </c>
      <c r="H349" s="13" t="s">
        <v>84</v>
      </c>
      <c r="I349" s="13" t="s">
        <v>85</v>
      </c>
      <c r="J349" s="21" t="str">
        <f>_xlfn.XLOOKUP(F349,'04_Account_Mapping'!$A$6:$A$14,'04_Account_Mapping'!$C$6:$C$14,"Unmapped",0)</f>
        <v>COGS</v>
      </c>
      <c r="K349" s="21" t="str">
        <f>_xlfn.XLOOKUP(F349,'04_Account_Mapping'!$A$6:$A$14,'04_Account_Mapping'!$D$6:$D$14,"Unmapped",0)</f>
        <v>Expense</v>
      </c>
    </row>
    <row r="350" spans="1:11">
      <c r="A350" s="16">
        <v>45931</v>
      </c>
      <c r="B350" s="13">
        <v>2025</v>
      </c>
      <c r="C350" s="13">
        <v>10</v>
      </c>
      <c r="D350" s="13" t="s">
        <v>73</v>
      </c>
      <c r="E350" s="13" t="s">
        <v>74</v>
      </c>
      <c r="F350" s="13" t="s">
        <v>60</v>
      </c>
      <c r="G350" s="19">
        <v>-569.46396111388174</v>
      </c>
      <c r="H350" s="13" t="s">
        <v>84</v>
      </c>
      <c r="I350" s="13" t="s">
        <v>85</v>
      </c>
      <c r="J350" s="21" t="str">
        <f>_xlfn.XLOOKUP(F350,'04_Account_Mapping'!$A$6:$A$14,'04_Account_Mapping'!$C$6:$C$14,"Unmapped",0)</f>
        <v>Selling Expense</v>
      </c>
      <c r="K350" s="21" t="str">
        <f>_xlfn.XLOOKUP(F350,'04_Account_Mapping'!$A$6:$A$14,'04_Account_Mapping'!$D$6:$D$14,"Unmapped",0)</f>
        <v>Expense</v>
      </c>
    </row>
    <row r="351" spans="1:11">
      <c r="A351" s="16">
        <v>45931</v>
      </c>
      <c r="B351" s="13">
        <v>2025</v>
      </c>
      <c r="C351" s="13">
        <v>10</v>
      </c>
      <c r="D351" s="13" t="s">
        <v>73</v>
      </c>
      <c r="E351" s="13" t="s">
        <v>74</v>
      </c>
      <c r="F351" s="13" t="s">
        <v>61</v>
      </c>
      <c r="G351" s="19">
        <v>-108.27835880334372</v>
      </c>
      <c r="H351" s="13" t="s">
        <v>84</v>
      </c>
      <c r="I351" s="13" t="s">
        <v>85</v>
      </c>
      <c r="J351" s="21" t="str">
        <f>_xlfn.XLOOKUP(F351,'04_Account_Mapping'!$A$6:$A$14,'04_Account_Mapping'!$C$6:$C$14,"Unmapped",0)</f>
        <v>G&amp;A</v>
      </c>
      <c r="K351" s="21" t="str">
        <f>_xlfn.XLOOKUP(F351,'04_Account_Mapping'!$A$6:$A$14,'04_Account_Mapping'!$D$6:$D$14,"Unmapped",0)</f>
        <v>Expense</v>
      </c>
    </row>
    <row r="352" spans="1:11">
      <c r="A352" s="16">
        <v>45931</v>
      </c>
      <c r="B352" s="13">
        <v>2025</v>
      </c>
      <c r="C352" s="13">
        <v>10</v>
      </c>
      <c r="D352" s="13" t="s">
        <v>73</v>
      </c>
      <c r="E352" s="13" t="s">
        <v>74</v>
      </c>
      <c r="F352" s="13" t="s">
        <v>62</v>
      </c>
      <c r="G352" s="19">
        <v>60.1546437796354</v>
      </c>
      <c r="H352" s="13" t="s">
        <v>84</v>
      </c>
      <c r="I352" s="13" t="s">
        <v>85</v>
      </c>
      <c r="J352" s="21" t="str">
        <f>_xlfn.XLOOKUP(F352,'04_Account_Mapping'!$A$6:$A$14,'04_Account_Mapping'!$C$6:$C$14,"Unmapped",0)</f>
        <v>Finance Income</v>
      </c>
      <c r="K352" s="21" t="str">
        <f>_xlfn.XLOOKUP(F352,'04_Account_Mapping'!$A$6:$A$14,'04_Account_Mapping'!$D$6:$D$14,"Unmapped",0)</f>
        <v>Income</v>
      </c>
    </row>
    <row r="353" spans="1:11">
      <c r="A353" s="16">
        <v>45931</v>
      </c>
      <c r="B353" s="13">
        <v>2025</v>
      </c>
      <c r="C353" s="13">
        <v>10</v>
      </c>
      <c r="D353" s="13" t="s">
        <v>73</v>
      </c>
      <c r="E353" s="13" t="s">
        <v>74</v>
      </c>
      <c r="F353" s="13" t="s">
        <v>63</v>
      </c>
      <c r="G353" s="19">
        <v>-32.082476682472212</v>
      </c>
      <c r="H353" s="13" t="s">
        <v>84</v>
      </c>
      <c r="I353" s="13" t="s">
        <v>85</v>
      </c>
      <c r="J353" s="21" t="str">
        <f>_xlfn.XLOOKUP(F353,'04_Account_Mapping'!$A$6:$A$14,'04_Account_Mapping'!$C$6:$C$14,"Unmapped",0)</f>
        <v>Finance Expense</v>
      </c>
      <c r="K353" s="21" t="str">
        <f>_xlfn.XLOOKUP(F353,'04_Account_Mapping'!$A$6:$A$14,'04_Account_Mapping'!$D$6:$D$14,"Unmapped",0)</f>
        <v>Expense</v>
      </c>
    </row>
    <row r="354" spans="1:11">
      <c r="A354" s="16">
        <v>45931</v>
      </c>
      <c r="B354" s="13">
        <v>2025</v>
      </c>
      <c r="C354" s="13">
        <v>10</v>
      </c>
      <c r="D354" s="13" t="s">
        <v>73</v>
      </c>
      <c r="E354" s="13" t="s">
        <v>74</v>
      </c>
      <c r="F354" s="13" t="s">
        <v>64</v>
      </c>
      <c r="G354" s="19">
        <v>0</v>
      </c>
      <c r="H354" s="13" t="s">
        <v>84</v>
      </c>
      <c r="I354" s="13" t="s">
        <v>85</v>
      </c>
      <c r="J354" s="21" t="str">
        <f>_xlfn.XLOOKUP(F354,'04_Account_Mapping'!$A$6:$A$14,'04_Account_Mapping'!$C$6:$C$14,"Unmapped",0)</f>
        <v>JV Profit/(Loss)</v>
      </c>
      <c r="K354" s="21" t="str">
        <f>_xlfn.XLOOKUP(F354,'04_Account_Mapping'!$A$6:$A$14,'04_Account_Mapping'!$D$6:$D$14,"Unmapped",0)</f>
        <v>Income</v>
      </c>
    </row>
    <row r="355" spans="1:11">
      <c r="A355" s="16">
        <v>45931</v>
      </c>
      <c r="B355" s="13">
        <v>2025</v>
      </c>
      <c r="C355" s="13">
        <v>10</v>
      </c>
      <c r="D355" s="13" t="s">
        <v>73</v>
      </c>
      <c r="E355" s="13" t="s">
        <v>74</v>
      </c>
      <c r="F355" s="13" t="s">
        <v>65</v>
      </c>
      <c r="G355" s="19">
        <v>-6.4164953364944424</v>
      </c>
      <c r="H355" s="13" t="s">
        <v>84</v>
      </c>
      <c r="I355" s="13" t="s">
        <v>85</v>
      </c>
      <c r="J355" s="21" t="str">
        <f>_xlfn.XLOOKUP(F355,'04_Account_Mapping'!$A$6:$A$14,'04_Account_Mapping'!$C$6:$C$14,"Unmapped",0)</f>
        <v>Other Net</v>
      </c>
      <c r="K355" s="21" t="str">
        <f>_xlfn.XLOOKUP(F355,'04_Account_Mapping'!$A$6:$A$14,'04_Account_Mapping'!$D$6:$D$14,"Unmapped",0)</f>
        <v>Income</v>
      </c>
    </row>
    <row r="356" spans="1:11">
      <c r="A356" s="16">
        <v>45931</v>
      </c>
      <c r="B356" s="13">
        <v>2025</v>
      </c>
      <c r="C356" s="13">
        <v>10</v>
      </c>
      <c r="D356" s="13" t="s">
        <v>73</v>
      </c>
      <c r="E356" s="13" t="s">
        <v>74</v>
      </c>
      <c r="F356" s="13" t="s">
        <v>66</v>
      </c>
      <c r="G356" s="19">
        <v>-32.416669147914732</v>
      </c>
      <c r="H356" s="13" t="s">
        <v>84</v>
      </c>
      <c r="I356" s="13" t="s">
        <v>85</v>
      </c>
      <c r="J356" s="21" t="str">
        <f>_xlfn.XLOOKUP(F356,'04_Account_Mapping'!$A$6:$A$14,'04_Account_Mapping'!$C$6:$C$14,"Unmapped",0)</f>
        <v>Tax Expense</v>
      </c>
      <c r="K356" s="21" t="str">
        <f>_xlfn.XLOOKUP(F356,'04_Account_Mapping'!$A$6:$A$14,'04_Account_Mapping'!$D$6:$D$14,"Unmapped",0)</f>
        <v>Expense</v>
      </c>
    </row>
    <row r="357" spans="1:11">
      <c r="A357" s="16">
        <v>45931</v>
      </c>
      <c r="B357" s="13">
        <v>2025</v>
      </c>
      <c r="C357" s="13">
        <v>10</v>
      </c>
      <c r="D357" s="13" t="s">
        <v>75</v>
      </c>
      <c r="E357" s="13" t="s">
        <v>76</v>
      </c>
      <c r="F357" s="13" t="s">
        <v>55</v>
      </c>
      <c r="G357" s="19">
        <v>646.82412666274627</v>
      </c>
      <c r="H357" s="13" t="s">
        <v>84</v>
      </c>
      <c r="I357" s="13" t="s">
        <v>85</v>
      </c>
      <c r="J357" s="21" t="str">
        <f>_xlfn.XLOOKUP(F357,'04_Account_Mapping'!$A$6:$A$14,'04_Account_Mapping'!$C$6:$C$14,"Unmapped",0)</f>
        <v>Revenue</v>
      </c>
      <c r="K357" s="21" t="str">
        <f>_xlfn.XLOOKUP(F357,'04_Account_Mapping'!$A$6:$A$14,'04_Account_Mapping'!$D$6:$D$14,"Unmapped",0)</f>
        <v>Income</v>
      </c>
    </row>
    <row r="358" spans="1:11">
      <c r="A358" s="16">
        <v>45931</v>
      </c>
      <c r="B358" s="13">
        <v>2025</v>
      </c>
      <c r="C358" s="13">
        <v>10</v>
      </c>
      <c r="D358" s="13" t="s">
        <v>75</v>
      </c>
      <c r="E358" s="13" t="s">
        <v>76</v>
      </c>
      <c r="F358" s="13" t="s">
        <v>58</v>
      </c>
      <c r="G358" s="19">
        <v>-514.86122442143494</v>
      </c>
      <c r="H358" s="13" t="s">
        <v>84</v>
      </c>
      <c r="I358" s="13" t="s">
        <v>85</v>
      </c>
      <c r="J358" s="21" t="str">
        <f>_xlfn.XLOOKUP(F358,'04_Account_Mapping'!$A$6:$A$14,'04_Account_Mapping'!$C$6:$C$14,"Unmapped",0)</f>
        <v>COGS</v>
      </c>
      <c r="K358" s="21" t="str">
        <f>_xlfn.XLOOKUP(F358,'04_Account_Mapping'!$A$6:$A$14,'04_Account_Mapping'!$D$6:$D$14,"Unmapped",0)</f>
        <v>Expense</v>
      </c>
    </row>
    <row r="359" spans="1:11">
      <c r="A359" s="16">
        <v>45931</v>
      </c>
      <c r="B359" s="13">
        <v>2025</v>
      </c>
      <c r="C359" s="13">
        <v>10</v>
      </c>
      <c r="D359" s="13" t="s">
        <v>75</v>
      </c>
      <c r="E359" s="13" t="s">
        <v>76</v>
      </c>
      <c r="F359" s="13" t="s">
        <v>60</v>
      </c>
      <c r="G359" s="19">
        <v>-91.84902598610995</v>
      </c>
      <c r="H359" s="13" t="s">
        <v>84</v>
      </c>
      <c r="I359" s="13" t="s">
        <v>85</v>
      </c>
      <c r="J359" s="21" t="str">
        <f>_xlfn.XLOOKUP(F359,'04_Account_Mapping'!$A$6:$A$14,'04_Account_Mapping'!$C$6:$C$14,"Unmapped",0)</f>
        <v>Selling Expense</v>
      </c>
      <c r="K359" s="21" t="str">
        <f>_xlfn.XLOOKUP(F359,'04_Account_Mapping'!$A$6:$A$14,'04_Account_Mapping'!$D$6:$D$14,"Unmapped",0)</f>
        <v>Expense</v>
      </c>
    </row>
    <row r="360" spans="1:11">
      <c r="A360" s="16">
        <v>45931</v>
      </c>
      <c r="B360" s="13">
        <v>2025</v>
      </c>
      <c r="C360" s="13">
        <v>10</v>
      </c>
      <c r="D360" s="13" t="s">
        <v>75</v>
      </c>
      <c r="E360" s="13" t="s">
        <v>76</v>
      </c>
      <c r="F360" s="13" t="s">
        <v>61</v>
      </c>
      <c r="G360" s="19">
        <v>-17.464251419894151</v>
      </c>
      <c r="H360" s="13" t="s">
        <v>84</v>
      </c>
      <c r="I360" s="13" t="s">
        <v>85</v>
      </c>
      <c r="J360" s="21" t="str">
        <f>_xlfn.XLOOKUP(F360,'04_Account_Mapping'!$A$6:$A$14,'04_Account_Mapping'!$C$6:$C$14,"Unmapped",0)</f>
        <v>G&amp;A</v>
      </c>
      <c r="K360" s="21" t="str">
        <f>_xlfn.XLOOKUP(F360,'04_Account_Mapping'!$A$6:$A$14,'04_Account_Mapping'!$D$6:$D$14,"Unmapped",0)</f>
        <v>Expense</v>
      </c>
    </row>
    <row r="361" spans="1:11">
      <c r="A361" s="16">
        <v>45931</v>
      </c>
      <c r="B361" s="13">
        <v>2025</v>
      </c>
      <c r="C361" s="13">
        <v>10</v>
      </c>
      <c r="D361" s="13" t="s">
        <v>75</v>
      </c>
      <c r="E361" s="13" t="s">
        <v>76</v>
      </c>
      <c r="F361" s="13" t="s">
        <v>62</v>
      </c>
      <c r="G361" s="19">
        <v>9.7023618999411934</v>
      </c>
      <c r="H361" s="13" t="s">
        <v>84</v>
      </c>
      <c r="I361" s="13" t="s">
        <v>85</v>
      </c>
      <c r="J361" s="21" t="str">
        <f>_xlfn.XLOOKUP(F361,'04_Account_Mapping'!$A$6:$A$14,'04_Account_Mapping'!$C$6:$C$14,"Unmapped",0)</f>
        <v>Finance Income</v>
      </c>
      <c r="K361" s="21" t="str">
        <f>_xlfn.XLOOKUP(F361,'04_Account_Mapping'!$A$6:$A$14,'04_Account_Mapping'!$D$6:$D$14,"Unmapped",0)</f>
        <v>Income</v>
      </c>
    </row>
    <row r="362" spans="1:11">
      <c r="A362" s="16">
        <v>45931</v>
      </c>
      <c r="B362" s="13">
        <v>2025</v>
      </c>
      <c r="C362" s="13">
        <v>10</v>
      </c>
      <c r="D362" s="13" t="s">
        <v>75</v>
      </c>
      <c r="E362" s="13" t="s">
        <v>76</v>
      </c>
      <c r="F362" s="13" t="s">
        <v>63</v>
      </c>
      <c r="G362" s="19">
        <v>-5.17459301330197</v>
      </c>
      <c r="H362" s="13" t="s">
        <v>84</v>
      </c>
      <c r="I362" s="13" t="s">
        <v>85</v>
      </c>
      <c r="J362" s="21" t="str">
        <f>_xlfn.XLOOKUP(F362,'04_Account_Mapping'!$A$6:$A$14,'04_Account_Mapping'!$C$6:$C$14,"Unmapped",0)</f>
        <v>Finance Expense</v>
      </c>
      <c r="K362" s="21" t="str">
        <f>_xlfn.XLOOKUP(F362,'04_Account_Mapping'!$A$6:$A$14,'04_Account_Mapping'!$D$6:$D$14,"Unmapped",0)</f>
        <v>Expense</v>
      </c>
    </row>
    <row r="363" spans="1:11">
      <c r="A363" s="16">
        <v>45931</v>
      </c>
      <c r="B363" s="13">
        <v>2025</v>
      </c>
      <c r="C363" s="13">
        <v>10</v>
      </c>
      <c r="D363" s="13" t="s">
        <v>75</v>
      </c>
      <c r="E363" s="13" t="s">
        <v>76</v>
      </c>
      <c r="F363" s="13" t="s">
        <v>64</v>
      </c>
      <c r="G363" s="19">
        <v>0</v>
      </c>
      <c r="H363" s="13" t="s">
        <v>84</v>
      </c>
      <c r="I363" s="13" t="s">
        <v>85</v>
      </c>
      <c r="J363" s="21" t="str">
        <f>_xlfn.XLOOKUP(F363,'04_Account_Mapping'!$A$6:$A$14,'04_Account_Mapping'!$C$6:$C$14,"Unmapped",0)</f>
        <v>JV Profit/(Loss)</v>
      </c>
      <c r="K363" s="21" t="str">
        <f>_xlfn.XLOOKUP(F363,'04_Account_Mapping'!$A$6:$A$14,'04_Account_Mapping'!$D$6:$D$14,"Unmapped",0)</f>
        <v>Income</v>
      </c>
    </row>
    <row r="364" spans="1:11">
      <c r="A364" s="16">
        <v>45931</v>
      </c>
      <c r="B364" s="13">
        <v>2025</v>
      </c>
      <c r="C364" s="13">
        <v>10</v>
      </c>
      <c r="D364" s="13" t="s">
        <v>75</v>
      </c>
      <c r="E364" s="13" t="s">
        <v>76</v>
      </c>
      <c r="F364" s="13" t="s">
        <v>65</v>
      </c>
      <c r="G364" s="19">
        <v>-1.034918602660394</v>
      </c>
      <c r="H364" s="13" t="s">
        <v>84</v>
      </c>
      <c r="I364" s="13" t="s">
        <v>85</v>
      </c>
      <c r="J364" s="21" t="str">
        <f>_xlfn.XLOOKUP(F364,'04_Account_Mapping'!$A$6:$A$14,'04_Account_Mapping'!$C$6:$C$14,"Unmapped",0)</f>
        <v>Other Net</v>
      </c>
      <c r="K364" s="21" t="str">
        <f>_xlfn.XLOOKUP(F364,'04_Account_Mapping'!$A$6:$A$14,'04_Account_Mapping'!$D$6:$D$14,"Unmapped",0)</f>
        <v>Income</v>
      </c>
    </row>
    <row r="365" spans="1:11">
      <c r="A365" s="16">
        <v>45931</v>
      </c>
      <c r="B365" s="13">
        <v>2025</v>
      </c>
      <c r="C365" s="13">
        <v>10</v>
      </c>
      <c r="D365" s="13" t="s">
        <v>75</v>
      </c>
      <c r="E365" s="13" t="s">
        <v>76</v>
      </c>
      <c r="F365" s="13" t="s">
        <v>66</v>
      </c>
      <c r="G365" s="19">
        <v>-5.2284950238572145</v>
      </c>
      <c r="H365" s="13" t="s">
        <v>84</v>
      </c>
      <c r="I365" s="13" t="s">
        <v>85</v>
      </c>
      <c r="J365" s="21" t="str">
        <f>_xlfn.XLOOKUP(F365,'04_Account_Mapping'!$A$6:$A$14,'04_Account_Mapping'!$C$6:$C$14,"Unmapped",0)</f>
        <v>Tax Expense</v>
      </c>
      <c r="K365" s="21" t="str">
        <f>_xlfn.XLOOKUP(F365,'04_Account_Mapping'!$A$6:$A$14,'04_Account_Mapping'!$D$6:$D$14,"Unmapped",0)</f>
        <v>Expense</v>
      </c>
    </row>
    <row r="366" spans="1:11">
      <c r="A366" s="16">
        <v>45962</v>
      </c>
      <c r="B366" s="13">
        <v>2025</v>
      </c>
      <c r="C366" s="13">
        <v>11</v>
      </c>
      <c r="D366" s="13" t="s">
        <v>67</v>
      </c>
      <c r="E366" s="13" t="s">
        <v>68</v>
      </c>
      <c r="F366" s="13" t="s">
        <v>55</v>
      </c>
      <c r="G366" s="19">
        <v>2688.5686424844239</v>
      </c>
      <c r="H366" s="13" t="s">
        <v>84</v>
      </c>
      <c r="I366" s="13" t="s">
        <v>85</v>
      </c>
      <c r="J366" s="21" t="str">
        <f>_xlfn.XLOOKUP(F366,'04_Account_Mapping'!$A$6:$A$14,'04_Account_Mapping'!$C$6:$C$14,"Unmapped",0)</f>
        <v>Revenue</v>
      </c>
      <c r="K366" s="21" t="str">
        <f>_xlfn.XLOOKUP(F366,'04_Account_Mapping'!$A$6:$A$14,'04_Account_Mapping'!$D$6:$D$14,"Unmapped",0)</f>
        <v>Income</v>
      </c>
    </row>
    <row r="367" spans="1:11">
      <c r="A367" s="16">
        <v>45962</v>
      </c>
      <c r="B367" s="13">
        <v>2025</v>
      </c>
      <c r="C367" s="13">
        <v>11</v>
      </c>
      <c r="D367" s="13" t="s">
        <v>67</v>
      </c>
      <c r="E367" s="13" t="s">
        <v>68</v>
      </c>
      <c r="F367" s="13" t="s">
        <v>58</v>
      </c>
      <c r="G367" s="19">
        <v>-2140.0558299402269</v>
      </c>
      <c r="H367" s="13" t="s">
        <v>84</v>
      </c>
      <c r="I367" s="13" t="s">
        <v>85</v>
      </c>
      <c r="J367" s="21" t="str">
        <f>_xlfn.XLOOKUP(F367,'04_Account_Mapping'!$A$6:$A$14,'04_Account_Mapping'!$C$6:$C$14,"Unmapped",0)</f>
        <v>COGS</v>
      </c>
      <c r="K367" s="21" t="str">
        <f>_xlfn.XLOOKUP(F367,'04_Account_Mapping'!$A$6:$A$14,'04_Account_Mapping'!$D$6:$D$14,"Unmapped",0)</f>
        <v>Expense</v>
      </c>
    </row>
    <row r="368" spans="1:11">
      <c r="A368" s="16">
        <v>45962</v>
      </c>
      <c r="B368" s="13">
        <v>2025</v>
      </c>
      <c r="C368" s="13">
        <v>11</v>
      </c>
      <c r="D368" s="13" t="s">
        <v>67</v>
      </c>
      <c r="E368" s="13" t="s">
        <v>68</v>
      </c>
      <c r="F368" s="13" t="s">
        <v>60</v>
      </c>
      <c r="G368" s="19">
        <v>-381.77674723278813</v>
      </c>
      <c r="H368" s="13" t="s">
        <v>84</v>
      </c>
      <c r="I368" s="13" t="s">
        <v>85</v>
      </c>
      <c r="J368" s="21" t="str">
        <f>_xlfn.XLOOKUP(F368,'04_Account_Mapping'!$A$6:$A$14,'04_Account_Mapping'!$C$6:$C$14,"Unmapped",0)</f>
        <v>Selling Expense</v>
      </c>
      <c r="K368" s="21" t="str">
        <f>_xlfn.XLOOKUP(F368,'04_Account_Mapping'!$A$6:$A$14,'04_Account_Mapping'!$D$6:$D$14,"Unmapped",0)</f>
        <v>Expense</v>
      </c>
    </row>
    <row r="369" spans="1:11">
      <c r="A369" s="16">
        <v>45962</v>
      </c>
      <c r="B369" s="13">
        <v>2025</v>
      </c>
      <c r="C369" s="13">
        <v>11</v>
      </c>
      <c r="D369" s="13" t="s">
        <v>67</v>
      </c>
      <c r="E369" s="13" t="s">
        <v>68</v>
      </c>
      <c r="F369" s="13" t="s">
        <v>61</v>
      </c>
      <c r="G369" s="19">
        <v>-72.591353347079448</v>
      </c>
      <c r="H369" s="13" t="s">
        <v>84</v>
      </c>
      <c r="I369" s="13" t="s">
        <v>85</v>
      </c>
      <c r="J369" s="21" t="str">
        <f>_xlfn.XLOOKUP(F369,'04_Account_Mapping'!$A$6:$A$14,'04_Account_Mapping'!$C$6:$C$14,"Unmapped",0)</f>
        <v>G&amp;A</v>
      </c>
      <c r="K369" s="21" t="str">
        <f>_xlfn.XLOOKUP(F369,'04_Account_Mapping'!$A$6:$A$14,'04_Account_Mapping'!$D$6:$D$14,"Unmapped",0)</f>
        <v>Expense</v>
      </c>
    </row>
    <row r="370" spans="1:11">
      <c r="A370" s="16">
        <v>45962</v>
      </c>
      <c r="B370" s="13">
        <v>2025</v>
      </c>
      <c r="C370" s="13">
        <v>11</v>
      </c>
      <c r="D370" s="13" t="s">
        <v>67</v>
      </c>
      <c r="E370" s="13" t="s">
        <v>68</v>
      </c>
      <c r="F370" s="13" t="s">
        <v>62</v>
      </c>
      <c r="G370" s="19">
        <v>40.328529637266364</v>
      </c>
      <c r="H370" s="13" t="s">
        <v>84</v>
      </c>
      <c r="I370" s="13" t="s">
        <v>85</v>
      </c>
      <c r="J370" s="21" t="str">
        <f>_xlfn.XLOOKUP(F370,'04_Account_Mapping'!$A$6:$A$14,'04_Account_Mapping'!$C$6:$C$14,"Unmapped",0)</f>
        <v>Finance Income</v>
      </c>
      <c r="K370" s="21" t="str">
        <f>_xlfn.XLOOKUP(F370,'04_Account_Mapping'!$A$6:$A$14,'04_Account_Mapping'!$D$6:$D$14,"Unmapped",0)</f>
        <v>Income</v>
      </c>
    </row>
    <row r="371" spans="1:11">
      <c r="A371" s="16">
        <v>45962</v>
      </c>
      <c r="B371" s="13">
        <v>2025</v>
      </c>
      <c r="C371" s="13">
        <v>11</v>
      </c>
      <c r="D371" s="13" t="s">
        <v>67</v>
      </c>
      <c r="E371" s="13" t="s">
        <v>68</v>
      </c>
      <c r="F371" s="13" t="s">
        <v>63</v>
      </c>
      <c r="G371" s="19">
        <v>-21.508549139875392</v>
      </c>
      <c r="H371" s="13" t="s">
        <v>84</v>
      </c>
      <c r="I371" s="13" t="s">
        <v>85</v>
      </c>
      <c r="J371" s="21" t="str">
        <f>_xlfn.XLOOKUP(F371,'04_Account_Mapping'!$A$6:$A$14,'04_Account_Mapping'!$C$6:$C$14,"Unmapped",0)</f>
        <v>Finance Expense</v>
      </c>
      <c r="K371" s="21" t="str">
        <f>_xlfn.XLOOKUP(F371,'04_Account_Mapping'!$A$6:$A$14,'04_Account_Mapping'!$D$6:$D$14,"Unmapped",0)</f>
        <v>Expense</v>
      </c>
    </row>
    <row r="372" spans="1:11">
      <c r="A372" s="16">
        <v>45962</v>
      </c>
      <c r="B372" s="13">
        <v>2025</v>
      </c>
      <c r="C372" s="13">
        <v>11</v>
      </c>
      <c r="D372" s="13" t="s">
        <v>67</v>
      </c>
      <c r="E372" s="13" t="s">
        <v>68</v>
      </c>
      <c r="F372" s="13" t="s">
        <v>64</v>
      </c>
      <c r="G372" s="19">
        <v>0</v>
      </c>
      <c r="H372" s="13" t="s">
        <v>84</v>
      </c>
      <c r="I372" s="13" t="s">
        <v>85</v>
      </c>
      <c r="J372" s="21" t="str">
        <f>_xlfn.XLOOKUP(F372,'04_Account_Mapping'!$A$6:$A$14,'04_Account_Mapping'!$C$6:$C$14,"Unmapped",0)</f>
        <v>JV Profit/(Loss)</v>
      </c>
      <c r="K372" s="21" t="str">
        <f>_xlfn.XLOOKUP(F372,'04_Account_Mapping'!$A$6:$A$14,'04_Account_Mapping'!$D$6:$D$14,"Unmapped",0)</f>
        <v>Income</v>
      </c>
    </row>
    <row r="373" spans="1:11">
      <c r="A373" s="16">
        <v>45962</v>
      </c>
      <c r="B373" s="13">
        <v>2025</v>
      </c>
      <c r="C373" s="13">
        <v>11</v>
      </c>
      <c r="D373" s="13" t="s">
        <v>67</v>
      </c>
      <c r="E373" s="13" t="s">
        <v>68</v>
      </c>
      <c r="F373" s="13" t="s">
        <v>65</v>
      </c>
      <c r="G373" s="19">
        <v>-4.3017098279750785</v>
      </c>
      <c r="H373" s="13" t="s">
        <v>84</v>
      </c>
      <c r="I373" s="13" t="s">
        <v>85</v>
      </c>
      <c r="J373" s="21" t="str">
        <f>_xlfn.XLOOKUP(F373,'04_Account_Mapping'!$A$6:$A$14,'04_Account_Mapping'!$C$6:$C$14,"Unmapped",0)</f>
        <v>Other Net</v>
      </c>
      <c r="K373" s="21" t="str">
        <f>_xlfn.XLOOKUP(F373,'04_Account_Mapping'!$A$6:$A$14,'04_Account_Mapping'!$D$6:$D$14,"Unmapped",0)</f>
        <v>Income</v>
      </c>
    </row>
    <row r="374" spans="1:11">
      <c r="A374" s="16">
        <v>45962</v>
      </c>
      <c r="B374" s="13">
        <v>2025</v>
      </c>
      <c r="C374" s="13">
        <v>11</v>
      </c>
      <c r="D374" s="13" t="s">
        <v>67</v>
      </c>
      <c r="E374" s="13" t="s">
        <v>68</v>
      </c>
      <c r="F374" s="13" t="s">
        <v>66</v>
      </c>
      <c r="G374" s="19">
        <v>-21.732596526749159</v>
      </c>
      <c r="H374" s="13" t="s">
        <v>84</v>
      </c>
      <c r="I374" s="13" t="s">
        <v>85</v>
      </c>
      <c r="J374" s="21" t="str">
        <f>_xlfn.XLOOKUP(F374,'04_Account_Mapping'!$A$6:$A$14,'04_Account_Mapping'!$C$6:$C$14,"Unmapped",0)</f>
        <v>Tax Expense</v>
      </c>
      <c r="K374" s="21" t="str">
        <f>_xlfn.XLOOKUP(F374,'04_Account_Mapping'!$A$6:$A$14,'04_Account_Mapping'!$D$6:$D$14,"Unmapped",0)</f>
        <v>Expense</v>
      </c>
    </row>
    <row r="375" spans="1:11">
      <c r="A375" s="16">
        <v>45962</v>
      </c>
      <c r="B375" s="13">
        <v>2025</v>
      </c>
      <c r="C375" s="13">
        <v>11</v>
      </c>
      <c r="D375" s="13" t="s">
        <v>72</v>
      </c>
      <c r="E375" s="13" t="s">
        <v>68</v>
      </c>
      <c r="F375" s="13" t="s">
        <v>55</v>
      </c>
      <c r="G375" s="19">
        <v>5132.7219538338995</v>
      </c>
      <c r="H375" s="13" t="s">
        <v>84</v>
      </c>
      <c r="I375" s="13" t="s">
        <v>85</v>
      </c>
      <c r="J375" s="21" t="str">
        <f>_xlfn.XLOOKUP(F375,'04_Account_Mapping'!$A$6:$A$14,'04_Account_Mapping'!$C$6:$C$14,"Unmapped",0)</f>
        <v>Revenue</v>
      </c>
      <c r="K375" s="21" t="str">
        <f>_xlfn.XLOOKUP(F375,'04_Account_Mapping'!$A$6:$A$14,'04_Account_Mapping'!$D$6:$D$14,"Unmapped",0)</f>
        <v>Income</v>
      </c>
    </row>
    <row r="376" spans="1:11">
      <c r="A376" s="16">
        <v>45962</v>
      </c>
      <c r="B376" s="13">
        <v>2025</v>
      </c>
      <c r="C376" s="13">
        <v>11</v>
      </c>
      <c r="D376" s="13" t="s">
        <v>72</v>
      </c>
      <c r="E376" s="13" t="s">
        <v>68</v>
      </c>
      <c r="F376" s="13" t="s">
        <v>58</v>
      </c>
      <c r="G376" s="19">
        <v>-4085.5611298858867</v>
      </c>
      <c r="H376" s="13" t="s">
        <v>84</v>
      </c>
      <c r="I376" s="13" t="s">
        <v>85</v>
      </c>
      <c r="J376" s="21" t="str">
        <f>_xlfn.XLOOKUP(F376,'04_Account_Mapping'!$A$6:$A$14,'04_Account_Mapping'!$C$6:$C$14,"Unmapped",0)</f>
        <v>COGS</v>
      </c>
      <c r="K376" s="21" t="str">
        <f>_xlfn.XLOOKUP(F376,'04_Account_Mapping'!$A$6:$A$14,'04_Account_Mapping'!$D$6:$D$14,"Unmapped",0)</f>
        <v>Expense</v>
      </c>
    </row>
    <row r="377" spans="1:11">
      <c r="A377" s="16">
        <v>45962</v>
      </c>
      <c r="B377" s="13">
        <v>2025</v>
      </c>
      <c r="C377" s="13">
        <v>11</v>
      </c>
      <c r="D377" s="13" t="s">
        <v>72</v>
      </c>
      <c r="E377" s="13" t="s">
        <v>68</v>
      </c>
      <c r="F377" s="13" t="s">
        <v>60</v>
      </c>
      <c r="G377" s="19">
        <v>-728.84651744441362</v>
      </c>
      <c r="H377" s="13" t="s">
        <v>84</v>
      </c>
      <c r="I377" s="13" t="s">
        <v>85</v>
      </c>
      <c r="J377" s="21" t="str">
        <f>_xlfn.XLOOKUP(F377,'04_Account_Mapping'!$A$6:$A$14,'04_Account_Mapping'!$C$6:$C$14,"Unmapped",0)</f>
        <v>Selling Expense</v>
      </c>
      <c r="K377" s="21" t="str">
        <f>_xlfn.XLOOKUP(F377,'04_Account_Mapping'!$A$6:$A$14,'04_Account_Mapping'!$D$6:$D$14,"Unmapped",0)</f>
        <v>Expense</v>
      </c>
    </row>
    <row r="378" spans="1:11">
      <c r="A378" s="16">
        <v>45962</v>
      </c>
      <c r="B378" s="13">
        <v>2025</v>
      </c>
      <c r="C378" s="13">
        <v>11</v>
      </c>
      <c r="D378" s="13" t="s">
        <v>72</v>
      </c>
      <c r="E378" s="13" t="s">
        <v>68</v>
      </c>
      <c r="F378" s="13" t="s">
        <v>61</v>
      </c>
      <c r="G378" s="19">
        <v>-138.58349275351529</v>
      </c>
      <c r="H378" s="13" t="s">
        <v>84</v>
      </c>
      <c r="I378" s="13" t="s">
        <v>85</v>
      </c>
      <c r="J378" s="21" t="str">
        <f>_xlfn.XLOOKUP(F378,'04_Account_Mapping'!$A$6:$A$14,'04_Account_Mapping'!$C$6:$C$14,"Unmapped",0)</f>
        <v>G&amp;A</v>
      </c>
      <c r="K378" s="21" t="str">
        <f>_xlfn.XLOOKUP(F378,'04_Account_Mapping'!$A$6:$A$14,'04_Account_Mapping'!$D$6:$D$14,"Unmapped",0)</f>
        <v>Expense</v>
      </c>
    </row>
    <row r="379" spans="1:11">
      <c r="A379" s="16">
        <v>45962</v>
      </c>
      <c r="B379" s="13">
        <v>2025</v>
      </c>
      <c r="C379" s="13">
        <v>11</v>
      </c>
      <c r="D379" s="13" t="s">
        <v>72</v>
      </c>
      <c r="E379" s="13" t="s">
        <v>68</v>
      </c>
      <c r="F379" s="13" t="s">
        <v>62</v>
      </c>
      <c r="G379" s="19">
        <v>76.990829307508491</v>
      </c>
      <c r="H379" s="13" t="s">
        <v>84</v>
      </c>
      <c r="I379" s="13" t="s">
        <v>85</v>
      </c>
      <c r="J379" s="21" t="str">
        <f>_xlfn.XLOOKUP(F379,'04_Account_Mapping'!$A$6:$A$14,'04_Account_Mapping'!$C$6:$C$14,"Unmapped",0)</f>
        <v>Finance Income</v>
      </c>
      <c r="K379" s="21" t="str">
        <f>_xlfn.XLOOKUP(F379,'04_Account_Mapping'!$A$6:$A$14,'04_Account_Mapping'!$D$6:$D$14,"Unmapped",0)</f>
        <v>Income</v>
      </c>
    </row>
    <row r="380" spans="1:11">
      <c r="A380" s="16">
        <v>45962</v>
      </c>
      <c r="B380" s="13">
        <v>2025</v>
      </c>
      <c r="C380" s="13">
        <v>11</v>
      </c>
      <c r="D380" s="13" t="s">
        <v>72</v>
      </c>
      <c r="E380" s="13" t="s">
        <v>68</v>
      </c>
      <c r="F380" s="13" t="s">
        <v>63</v>
      </c>
      <c r="G380" s="19">
        <v>-41.0617756306712</v>
      </c>
      <c r="H380" s="13" t="s">
        <v>84</v>
      </c>
      <c r="I380" s="13" t="s">
        <v>85</v>
      </c>
      <c r="J380" s="21" t="str">
        <f>_xlfn.XLOOKUP(F380,'04_Account_Mapping'!$A$6:$A$14,'04_Account_Mapping'!$C$6:$C$14,"Unmapped",0)</f>
        <v>Finance Expense</v>
      </c>
      <c r="K380" s="21" t="str">
        <f>_xlfn.XLOOKUP(F380,'04_Account_Mapping'!$A$6:$A$14,'04_Account_Mapping'!$D$6:$D$14,"Unmapped",0)</f>
        <v>Expense</v>
      </c>
    </row>
    <row r="381" spans="1:11">
      <c r="A381" s="16">
        <v>45962</v>
      </c>
      <c r="B381" s="13">
        <v>2025</v>
      </c>
      <c r="C381" s="13">
        <v>11</v>
      </c>
      <c r="D381" s="13" t="s">
        <v>72</v>
      </c>
      <c r="E381" s="13" t="s">
        <v>68</v>
      </c>
      <c r="F381" s="13" t="s">
        <v>64</v>
      </c>
      <c r="G381" s="19">
        <v>0</v>
      </c>
      <c r="H381" s="13" t="s">
        <v>84</v>
      </c>
      <c r="I381" s="13" t="s">
        <v>85</v>
      </c>
      <c r="J381" s="21" t="str">
        <f>_xlfn.XLOOKUP(F381,'04_Account_Mapping'!$A$6:$A$14,'04_Account_Mapping'!$C$6:$C$14,"Unmapped",0)</f>
        <v>JV Profit/(Loss)</v>
      </c>
      <c r="K381" s="21" t="str">
        <f>_xlfn.XLOOKUP(F381,'04_Account_Mapping'!$A$6:$A$14,'04_Account_Mapping'!$D$6:$D$14,"Unmapped",0)</f>
        <v>Income</v>
      </c>
    </row>
    <row r="382" spans="1:11">
      <c r="A382" s="16">
        <v>45962</v>
      </c>
      <c r="B382" s="13">
        <v>2025</v>
      </c>
      <c r="C382" s="13">
        <v>11</v>
      </c>
      <c r="D382" s="13" t="s">
        <v>72</v>
      </c>
      <c r="E382" s="13" t="s">
        <v>68</v>
      </c>
      <c r="F382" s="13" t="s">
        <v>65</v>
      </c>
      <c r="G382" s="19">
        <v>-8.2123551261342396</v>
      </c>
      <c r="H382" s="13" t="s">
        <v>84</v>
      </c>
      <c r="I382" s="13" t="s">
        <v>85</v>
      </c>
      <c r="J382" s="21" t="str">
        <f>_xlfn.XLOOKUP(F382,'04_Account_Mapping'!$A$6:$A$14,'04_Account_Mapping'!$C$6:$C$14,"Unmapped",0)</f>
        <v>Other Net</v>
      </c>
      <c r="K382" s="21" t="str">
        <f>_xlfn.XLOOKUP(F382,'04_Account_Mapping'!$A$6:$A$14,'04_Account_Mapping'!$D$6:$D$14,"Unmapped",0)</f>
        <v>Income</v>
      </c>
    </row>
    <row r="383" spans="1:11">
      <c r="A383" s="16">
        <v>45962</v>
      </c>
      <c r="B383" s="13">
        <v>2025</v>
      </c>
      <c r="C383" s="13">
        <v>11</v>
      </c>
      <c r="D383" s="13" t="s">
        <v>72</v>
      </c>
      <c r="E383" s="13" t="s">
        <v>68</v>
      </c>
      <c r="F383" s="13" t="s">
        <v>66</v>
      </c>
      <c r="G383" s="19">
        <v>-41.489502460157482</v>
      </c>
      <c r="H383" s="13" t="s">
        <v>84</v>
      </c>
      <c r="I383" s="13" t="s">
        <v>85</v>
      </c>
      <c r="J383" s="21" t="str">
        <f>_xlfn.XLOOKUP(F383,'04_Account_Mapping'!$A$6:$A$14,'04_Account_Mapping'!$C$6:$C$14,"Unmapped",0)</f>
        <v>Tax Expense</v>
      </c>
      <c r="K383" s="21" t="str">
        <f>_xlfn.XLOOKUP(F383,'04_Account_Mapping'!$A$6:$A$14,'04_Account_Mapping'!$D$6:$D$14,"Unmapped",0)</f>
        <v>Expense</v>
      </c>
    </row>
    <row r="384" spans="1:11">
      <c r="A384" s="16">
        <v>45962</v>
      </c>
      <c r="B384" s="13">
        <v>2025</v>
      </c>
      <c r="C384" s="13">
        <v>11</v>
      </c>
      <c r="D384" s="13" t="s">
        <v>73</v>
      </c>
      <c r="E384" s="13" t="s">
        <v>74</v>
      </c>
      <c r="F384" s="13" t="s">
        <v>55</v>
      </c>
      <c r="G384" s="19">
        <v>3788.4376325916883</v>
      </c>
      <c r="H384" s="13" t="s">
        <v>84</v>
      </c>
      <c r="I384" s="13" t="s">
        <v>85</v>
      </c>
      <c r="J384" s="21" t="str">
        <f>_xlfn.XLOOKUP(F384,'04_Account_Mapping'!$A$6:$A$14,'04_Account_Mapping'!$C$6:$C$14,"Unmapped",0)</f>
        <v>Revenue</v>
      </c>
      <c r="K384" s="21" t="str">
        <f>_xlfn.XLOOKUP(F384,'04_Account_Mapping'!$A$6:$A$14,'04_Account_Mapping'!$D$6:$D$14,"Unmapped",0)</f>
        <v>Income</v>
      </c>
    </row>
    <row r="385" spans="1:11">
      <c r="A385" s="16">
        <v>45962</v>
      </c>
      <c r="B385" s="13">
        <v>2025</v>
      </c>
      <c r="C385" s="13">
        <v>11</v>
      </c>
      <c r="D385" s="13" t="s">
        <v>73</v>
      </c>
      <c r="E385" s="13" t="s">
        <v>74</v>
      </c>
      <c r="F385" s="13" t="s">
        <v>58</v>
      </c>
      <c r="G385" s="19">
        <v>-3015.5332149157739</v>
      </c>
      <c r="H385" s="13" t="s">
        <v>84</v>
      </c>
      <c r="I385" s="13" t="s">
        <v>85</v>
      </c>
      <c r="J385" s="21" t="str">
        <f>_xlfn.XLOOKUP(F385,'04_Account_Mapping'!$A$6:$A$14,'04_Account_Mapping'!$C$6:$C$14,"Unmapped",0)</f>
        <v>COGS</v>
      </c>
      <c r="K385" s="21" t="str">
        <f>_xlfn.XLOOKUP(F385,'04_Account_Mapping'!$A$6:$A$14,'04_Account_Mapping'!$D$6:$D$14,"Unmapped",0)</f>
        <v>Expense</v>
      </c>
    </row>
    <row r="386" spans="1:11">
      <c r="A386" s="16">
        <v>45962</v>
      </c>
      <c r="B386" s="13">
        <v>2025</v>
      </c>
      <c r="C386" s="13">
        <v>11</v>
      </c>
      <c r="D386" s="13" t="s">
        <v>73</v>
      </c>
      <c r="E386" s="13" t="s">
        <v>74</v>
      </c>
      <c r="F386" s="13" t="s">
        <v>60</v>
      </c>
      <c r="G386" s="19">
        <v>-537.95814382801962</v>
      </c>
      <c r="H386" s="13" t="s">
        <v>84</v>
      </c>
      <c r="I386" s="13" t="s">
        <v>85</v>
      </c>
      <c r="J386" s="21" t="str">
        <f>_xlfn.XLOOKUP(F386,'04_Account_Mapping'!$A$6:$A$14,'04_Account_Mapping'!$C$6:$C$14,"Unmapped",0)</f>
        <v>Selling Expense</v>
      </c>
      <c r="K386" s="21" t="str">
        <f>_xlfn.XLOOKUP(F386,'04_Account_Mapping'!$A$6:$A$14,'04_Account_Mapping'!$D$6:$D$14,"Unmapped",0)</f>
        <v>Expense</v>
      </c>
    </row>
    <row r="387" spans="1:11">
      <c r="A387" s="16">
        <v>45962</v>
      </c>
      <c r="B387" s="13">
        <v>2025</v>
      </c>
      <c r="C387" s="13">
        <v>11</v>
      </c>
      <c r="D387" s="13" t="s">
        <v>73</v>
      </c>
      <c r="E387" s="13" t="s">
        <v>74</v>
      </c>
      <c r="F387" s="13" t="s">
        <v>61</v>
      </c>
      <c r="G387" s="19">
        <v>-102.28781607997558</v>
      </c>
      <c r="H387" s="13" t="s">
        <v>84</v>
      </c>
      <c r="I387" s="13" t="s">
        <v>85</v>
      </c>
      <c r="J387" s="21" t="str">
        <f>_xlfn.XLOOKUP(F387,'04_Account_Mapping'!$A$6:$A$14,'04_Account_Mapping'!$C$6:$C$14,"Unmapped",0)</f>
        <v>G&amp;A</v>
      </c>
      <c r="K387" s="21" t="str">
        <f>_xlfn.XLOOKUP(F387,'04_Account_Mapping'!$A$6:$A$14,'04_Account_Mapping'!$D$6:$D$14,"Unmapped",0)</f>
        <v>Expense</v>
      </c>
    </row>
    <row r="388" spans="1:11">
      <c r="A388" s="16">
        <v>45962</v>
      </c>
      <c r="B388" s="13">
        <v>2025</v>
      </c>
      <c r="C388" s="13">
        <v>11</v>
      </c>
      <c r="D388" s="13" t="s">
        <v>73</v>
      </c>
      <c r="E388" s="13" t="s">
        <v>74</v>
      </c>
      <c r="F388" s="13" t="s">
        <v>62</v>
      </c>
      <c r="G388" s="19">
        <v>56.826564488875327</v>
      </c>
      <c r="H388" s="13" t="s">
        <v>84</v>
      </c>
      <c r="I388" s="13" t="s">
        <v>85</v>
      </c>
      <c r="J388" s="21" t="str">
        <f>_xlfn.XLOOKUP(F388,'04_Account_Mapping'!$A$6:$A$14,'04_Account_Mapping'!$C$6:$C$14,"Unmapped",0)</f>
        <v>Finance Income</v>
      </c>
      <c r="K388" s="21" t="str">
        <f>_xlfn.XLOOKUP(F388,'04_Account_Mapping'!$A$6:$A$14,'04_Account_Mapping'!$D$6:$D$14,"Unmapped",0)</f>
        <v>Income</v>
      </c>
    </row>
    <row r="389" spans="1:11">
      <c r="A389" s="16">
        <v>45962</v>
      </c>
      <c r="B389" s="13">
        <v>2025</v>
      </c>
      <c r="C389" s="13">
        <v>11</v>
      </c>
      <c r="D389" s="13" t="s">
        <v>73</v>
      </c>
      <c r="E389" s="13" t="s">
        <v>74</v>
      </c>
      <c r="F389" s="13" t="s">
        <v>63</v>
      </c>
      <c r="G389" s="19">
        <v>-30.307501060733507</v>
      </c>
      <c r="H389" s="13" t="s">
        <v>84</v>
      </c>
      <c r="I389" s="13" t="s">
        <v>85</v>
      </c>
      <c r="J389" s="21" t="str">
        <f>_xlfn.XLOOKUP(F389,'04_Account_Mapping'!$A$6:$A$14,'04_Account_Mapping'!$C$6:$C$14,"Unmapped",0)</f>
        <v>Finance Expense</v>
      </c>
      <c r="K389" s="21" t="str">
        <f>_xlfn.XLOOKUP(F389,'04_Account_Mapping'!$A$6:$A$14,'04_Account_Mapping'!$D$6:$D$14,"Unmapped",0)</f>
        <v>Expense</v>
      </c>
    </row>
    <row r="390" spans="1:11">
      <c r="A390" s="16">
        <v>45962</v>
      </c>
      <c r="B390" s="13">
        <v>2025</v>
      </c>
      <c r="C390" s="13">
        <v>11</v>
      </c>
      <c r="D390" s="13" t="s">
        <v>73</v>
      </c>
      <c r="E390" s="13" t="s">
        <v>74</v>
      </c>
      <c r="F390" s="13" t="s">
        <v>64</v>
      </c>
      <c r="G390" s="19">
        <v>0</v>
      </c>
      <c r="H390" s="13" t="s">
        <v>84</v>
      </c>
      <c r="I390" s="13" t="s">
        <v>85</v>
      </c>
      <c r="J390" s="21" t="str">
        <f>_xlfn.XLOOKUP(F390,'04_Account_Mapping'!$A$6:$A$14,'04_Account_Mapping'!$C$6:$C$14,"Unmapped",0)</f>
        <v>JV Profit/(Loss)</v>
      </c>
      <c r="K390" s="21" t="str">
        <f>_xlfn.XLOOKUP(F390,'04_Account_Mapping'!$A$6:$A$14,'04_Account_Mapping'!$D$6:$D$14,"Unmapped",0)</f>
        <v>Income</v>
      </c>
    </row>
    <row r="391" spans="1:11">
      <c r="A391" s="16">
        <v>45962</v>
      </c>
      <c r="B391" s="13">
        <v>2025</v>
      </c>
      <c r="C391" s="13">
        <v>11</v>
      </c>
      <c r="D391" s="13" t="s">
        <v>73</v>
      </c>
      <c r="E391" s="13" t="s">
        <v>74</v>
      </c>
      <c r="F391" s="13" t="s">
        <v>65</v>
      </c>
      <c r="G391" s="19">
        <v>-6.0615002121467016</v>
      </c>
      <c r="H391" s="13" t="s">
        <v>84</v>
      </c>
      <c r="I391" s="13" t="s">
        <v>85</v>
      </c>
      <c r="J391" s="21" t="str">
        <f>_xlfn.XLOOKUP(F391,'04_Account_Mapping'!$A$6:$A$14,'04_Account_Mapping'!$C$6:$C$14,"Unmapped",0)</f>
        <v>Other Net</v>
      </c>
      <c r="K391" s="21" t="str">
        <f>_xlfn.XLOOKUP(F391,'04_Account_Mapping'!$A$6:$A$14,'04_Account_Mapping'!$D$6:$D$14,"Unmapped",0)</f>
        <v>Income</v>
      </c>
    </row>
    <row r="392" spans="1:11">
      <c r="A392" s="16">
        <v>45962</v>
      </c>
      <c r="B392" s="13">
        <v>2025</v>
      </c>
      <c r="C392" s="13">
        <v>11</v>
      </c>
      <c r="D392" s="13" t="s">
        <v>73</v>
      </c>
      <c r="E392" s="13" t="s">
        <v>74</v>
      </c>
      <c r="F392" s="13" t="s">
        <v>66</v>
      </c>
      <c r="G392" s="19">
        <v>-30.623204196782904</v>
      </c>
      <c r="H392" s="13" t="s">
        <v>84</v>
      </c>
      <c r="I392" s="13" t="s">
        <v>85</v>
      </c>
      <c r="J392" s="21" t="str">
        <f>_xlfn.XLOOKUP(F392,'04_Account_Mapping'!$A$6:$A$14,'04_Account_Mapping'!$C$6:$C$14,"Unmapped",0)</f>
        <v>Tax Expense</v>
      </c>
      <c r="K392" s="21" t="str">
        <f>_xlfn.XLOOKUP(F392,'04_Account_Mapping'!$A$6:$A$14,'04_Account_Mapping'!$D$6:$D$14,"Unmapped",0)</f>
        <v>Expense</v>
      </c>
    </row>
    <row r="393" spans="1:11">
      <c r="A393" s="16">
        <v>45962</v>
      </c>
      <c r="B393" s="13">
        <v>2025</v>
      </c>
      <c r="C393" s="13">
        <v>11</v>
      </c>
      <c r="D393" s="13" t="s">
        <v>75</v>
      </c>
      <c r="E393" s="13" t="s">
        <v>76</v>
      </c>
      <c r="F393" s="13" t="s">
        <v>55</v>
      </c>
      <c r="G393" s="19">
        <v>611.03832783736914</v>
      </c>
      <c r="H393" s="13" t="s">
        <v>84</v>
      </c>
      <c r="I393" s="13" t="s">
        <v>85</v>
      </c>
      <c r="J393" s="21" t="str">
        <f>_xlfn.XLOOKUP(F393,'04_Account_Mapping'!$A$6:$A$14,'04_Account_Mapping'!$C$6:$C$14,"Unmapped",0)</f>
        <v>Revenue</v>
      </c>
      <c r="K393" s="21" t="str">
        <f>_xlfn.XLOOKUP(F393,'04_Account_Mapping'!$A$6:$A$14,'04_Account_Mapping'!$D$6:$D$14,"Unmapped",0)</f>
        <v>Income</v>
      </c>
    </row>
    <row r="394" spans="1:11">
      <c r="A394" s="16">
        <v>45962</v>
      </c>
      <c r="B394" s="13">
        <v>2025</v>
      </c>
      <c r="C394" s="13">
        <v>11</v>
      </c>
      <c r="D394" s="13" t="s">
        <v>75</v>
      </c>
      <c r="E394" s="13" t="s">
        <v>76</v>
      </c>
      <c r="F394" s="13" t="s">
        <v>58</v>
      </c>
      <c r="G394" s="19">
        <v>-486.37632498641523</v>
      </c>
      <c r="H394" s="13" t="s">
        <v>84</v>
      </c>
      <c r="I394" s="13" t="s">
        <v>85</v>
      </c>
      <c r="J394" s="21" t="str">
        <f>_xlfn.XLOOKUP(F394,'04_Account_Mapping'!$A$6:$A$14,'04_Account_Mapping'!$C$6:$C$14,"Unmapped",0)</f>
        <v>COGS</v>
      </c>
      <c r="K394" s="21" t="str">
        <f>_xlfn.XLOOKUP(F394,'04_Account_Mapping'!$A$6:$A$14,'04_Account_Mapping'!$D$6:$D$14,"Unmapped",0)</f>
        <v>Expense</v>
      </c>
    </row>
    <row r="395" spans="1:11">
      <c r="A395" s="16">
        <v>45962</v>
      </c>
      <c r="B395" s="13">
        <v>2025</v>
      </c>
      <c r="C395" s="13">
        <v>11</v>
      </c>
      <c r="D395" s="13" t="s">
        <v>75</v>
      </c>
      <c r="E395" s="13" t="s">
        <v>76</v>
      </c>
      <c r="F395" s="13" t="s">
        <v>60</v>
      </c>
      <c r="G395" s="19">
        <v>-86.767442552906402</v>
      </c>
      <c r="H395" s="13" t="s">
        <v>84</v>
      </c>
      <c r="I395" s="13" t="s">
        <v>85</v>
      </c>
      <c r="J395" s="21" t="str">
        <f>_xlfn.XLOOKUP(F395,'04_Account_Mapping'!$A$6:$A$14,'04_Account_Mapping'!$C$6:$C$14,"Unmapped",0)</f>
        <v>Selling Expense</v>
      </c>
      <c r="K395" s="21" t="str">
        <f>_xlfn.XLOOKUP(F395,'04_Account_Mapping'!$A$6:$A$14,'04_Account_Mapping'!$D$6:$D$14,"Unmapped",0)</f>
        <v>Expense</v>
      </c>
    </row>
    <row r="396" spans="1:11">
      <c r="A396" s="16">
        <v>45962</v>
      </c>
      <c r="B396" s="13">
        <v>2025</v>
      </c>
      <c r="C396" s="13">
        <v>11</v>
      </c>
      <c r="D396" s="13" t="s">
        <v>75</v>
      </c>
      <c r="E396" s="13" t="s">
        <v>76</v>
      </c>
      <c r="F396" s="13" t="s">
        <v>61</v>
      </c>
      <c r="G396" s="19">
        <v>-16.498034851608967</v>
      </c>
      <c r="H396" s="13" t="s">
        <v>84</v>
      </c>
      <c r="I396" s="13" t="s">
        <v>85</v>
      </c>
      <c r="J396" s="21" t="str">
        <f>_xlfn.XLOOKUP(F396,'04_Account_Mapping'!$A$6:$A$14,'04_Account_Mapping'!$C$6:$C$14,"Unmapped",0)</f>
        <v>G&amp;A</v>
      </c>
      <c r="K396" s="21" t="str">
        <f>_xlfn.XLOOKUP(F396,'04_Account_Mapping'!$A$6:$A$14,'04_Account_Mapping'!$D$6:$D$14,"Unmapped",0)</f>
        <v>Expense</v>
      </c>
    </row>
    <row r="397" spans="1:11">
      <c r="A397" s="16">
        <v>45962</v>
      </c>
      <c r="B397" s="13">
        <v>2025</v>
      </c>
      <c r="C397" s="13">
        <v>11</v>
      </c>
      <c r="D397" s="13" t="s">
        <v>75</v>
      </c>
      <c r="E397" s="13" t="s">
        <v>76</v>
      </c>
      <c r="F397" s="13" t="s">
        <v>62</v>
      </c>
      <c r="G397" s="19">
        <v>9.1655749175605372</v>
      </c>
      <c r="H397" s="13" t="s">
        <v>84</v>
      </c>
      <c r="I397" s="13" t="s">
        <v>85</v>
      </c>
      <c r="J397" s="21" t="str">
        <f>_xlfn.XLOOKUP(F397,'04_Account_Mapping'!$A$6:$A$14,'04_Account_Mapping'!$C$6:$C$14,"Unmapped",0)</f>
        <v>Finance Income</v>
      </c>
      <c r="K397" s="21" t="str">
        <f>_xlfn.XLOOKUP(F397,'04_Account_Mapping'!$A$6:$A$14,'04_Account_Mapping'!$D$6:$D$14,"Unmapped",0)</f>
        <v>Income</v>
      </c>
    </row>
    <row r="398" spans="1:11">
      <c r="A398" s="16">
        <v>45962</v>
      </c>
      <c r="B398" s="13">
        <v>2025</v>
      </c>
      <c r="C398" s="13">
        <v>11</v>
      </c>
      <c r="D398" s="13" t="s">
        <v>75</v>
      </c>
      <c r="E398" s="13" t="s">
        <v>76</v>
      </c>
      <c r="F398" s="13" t="s">
        <v>63</v>
      </c>
      <c r="G398" s="19">
        <v>-4.8883066226989529</v>
      </c>
      <c r="H398" s="13" t="s">
        <v>84</v>
      </c>
      <c r="I398" s="13" t="s">
        <v>85</v>
      </c>
      <c r="J398" s="21" t="str">
        <f>_xlfn.XLOOKUP(F398,'04_Account_Mapping'!$A$6:$A$14,'04_Account_Mapping'!$C$6:$C$14,"Unmapped",0)</f>
        <v>Finance Expense</v>
      </c>
      <c r="K398" s="21" t="str">
        <f>_xlfn.XLOOKUP(F398,'04_Account_Mapping'!$A$6:$A$14,'04_Account_Mapping'!$D$6:$D$14,"Unmapped",0)</f>
        <v>Expense</v>
      </c>
    </row>
    <row r="399" spans="1:11">
      <c r="A399" s="16">
        <v>45962</v>
      </c>
      <c r="B399" s="13">
        <v>2025</v>
      </c>
      <c r="C399" s="13">
        <v>11</v>
      </c>
      <c r="D399" s="13" t="s">
        <v>75</v>
      </c>
      <c r="E399" s="13" t="s">
        <v>76</v>
      </c>
      <c r="F399" s="13" t="s">
        <v>64</v>
      </c>
      <c r="G399" s="19">
        <v>0</v>
      </c>
      <c r="H399" s="13" t="s">
        <v>84</v>
      </c>
      <c r="I399" s="13" t="s">
        <v>85</v>
      </c>
      <c r="J399" s="21" t="str">
        <f>_xlfn.XLOOKUP(F399,'04_Account_Mapping'!$A$6:$A$14,'04_Account_Mapping'!$C$6:$C$14,"Unmapped",0)</f>
        <v>JV Profit/(Loss)</v>
      </c>
      <c r="K399" s="21" t="str">
        <f>_xlfn.XLOOKUP(F399,'04_Account_Mapping'!$A$6:$A$14,'04_Account_Mapping'!$D$6:$D$14,"Unmapped",0)</f>
        <v>Income</v>
      </c>
    </row>
    <row r="400" spans="1:11">
      <c r="A400" s="16">
        <v>45962</v>
      </c>
      <c r="B400" s="13">
        <v>2025</v>
      </c>
      <c r="C400" s="13">
        <v>11</v>
      </c>
      <c r="D400" s="13" t="s">
        <v>75</v>
      </c>
      <c r="E400" s="13" t="s">
        <v>76</v>
      </c>
      <c r="F400" s="13" t="s">
        <v>65</v>
      </c>
      <c r="G400" s="19">
        <v>-0.9776613245397906</v>
      </c>
      <c r="H400" s="13" t="s">
        <v>84</v>
      </c>
      <c r="I400" s="13" t="s">
        <v>85</v>
      </c>
      <c r="J400" s="21" t="str">
        <f>_xlfn.XLOOKUP(F400,'04_Account_Mapping'!$A$6:$A$14,'04_Account_Mapping'!$C$6:$C$14,"Unmapped",0)</f>
        <v>Other Net</v>
      </c>
      <c r="K400" s="21" t="str">
        <f>_xlfn.XLOOKUP(F400,'04_Account_Mapping'!$A$6:$A$14,'04_Account_Mapping'!$D$6:$D$14,"Unmapped",0)</f>
        <v>Income</v>
      </c>
    </row>
    <row r="401" spans="1:11">
      <c r="A401" s="16">
        <v>45962</v>
      </c>
      <c r="B401" s="13">
        <v>2025</v>
      </c>
      <c r="C401" s="13">
        <v>11</v>
      </c>
      <c r="D401" s="13" t="s">
        <v>75</v>
      </c>
      <c r="E401" s="13" t="s">
        <v>76</v>
      </c>
      <c r="F401" s="13" t="s">
        <v>66</v>
      </c>
      <c r="G401" s="19">
        <v>-4.9392264833520816</v>
      </c>
      <c r="H401" s="13" t="s">
        <v>84</v>
      </c>
      <c r="I401" s="13" t="s">
        <v>85</v>
      </c>
      <c r="J401" s="21" t="str">
        <f>_xlfn.XLOOKUP(F401,'04_Account_Mapping'!$A$6:$A$14,'04_Account_Mapping'!$C$6:$C$14,"Unmapped",0)</f>
        <v>Tax Expense</v>
      </c>
      <c r="K401" s="21" t="str">
        <f>_xlfn.XLOOKUP(F401,'04_Account_Mapping'!$A$6:$A$14,'04_Account_Mapping'!$D$6:$D$14,"Unmapped",0)</f>
        <v>Expense</v>
      </c>
    </row>
    <row r="402" spans="1:11">
      <c r="A402" s="16">
        <v>45992</v>
      </c>
      <c r="B402" s="13">
        <v>2025</v>
      </c>
      <c r="C402" s="13">
        <v>12</v>
      </c>
      <c r="D402" s="13" t="s">
        <v>67</v>
      </c>
      <c r="E402" s="13" t="s">
        <v>68</v>
      </c>
      <c r="F402" s="13" t="s">
        <v>55</v>
      </c>
      <c r="G402" s="19">
        <v>2958.2852591539436</v>
      </c>
      <c r="H402" s="13" t="s">
        <v>84</v>
      </c>
      <c r="I402" s="13" t="s">
        <v>85</v>
      </c>
      <c r="J402" s="21" t="str">
        <f>_xlfn.XLOOKUP(F402,'04_Account_Mapping'!$A$6:$A$14,'04_Account_Mapping'!$C$6:$C$14,"Unmapped",0)</f>
        <v>Revenue</v>
      </c>
      <c r="K402" s="21" t="str">
        <f>_xlfn.XLOOKUP(F402,'04_Account_Mapping'!$A$6:$A$14,'04_Account_Mapping'!$D$6:$D$14,"Unmapped",0)</f>
        <v>Income</v>
      </c>
    </row>
    <row r="403" spans="1:11">
      <c r="A403" s="16">
        <v>45992</v>
      </c>
      <c r="B403" s="13">
        <v>2025</v>
      </c>
      <c r="C403" s="13">
        <v>12</v>
      </c>
      <c r="D403" s="13" t="s">
        <v>67</v>
      </c>
      <c r="E403" s="13" t="s">
        <v>68</v>
      </c>
      <c r="F403" s="13" t="s">
        <v>58</v>
      </c>
      <c r="G403" s="19">
        <v>-2354.7457615322201</v>
      </c>
      <c r="H403" s="13" t="s">
        <v>84</v>
      </c>
      <c r="I403" s="13" t="s">
        <v>85</v>
      </c>
      <c r="J403" s="21" t="str">
        <f>_xlfn.XLOOKUP(F403,'04_Account_Mapping'!$A$6:$A$14,'04_Account_Mapping'!$C$6:$C$14,"Unmapped",0)</f>
        <v>COGS</v>
      </c>
      <c r="K403" s="21" t="str">
        <f>_xlfn.XLOOKUP(F403,'04_Account_Mapping'!$A$6:$A$14,'04_Account_Mapping'!$D$6:$D$14,"Unmapped",0)</f>
        <v>Expense</v>
      </c>
    </row>
    <row r="404" spans="1:11">
      <c r="A404" s="16">
        <v>45992</v>
      </c>
      <c r="B404" s="13">
        <v>2025</v>
      </c>
      <c r="C404" s="13">
        <v>12</v>
      </c>
      <c r="D404" s="13" t="s">
        <v>67</v>
      </c>
      <c r="E404" s="13" t="s">
        <v>68</v>
      </c>
      <c r="F404" s="13" t="s">
        <v>60</v>
      </c>
      <c r="G404" s="19">
        <v>-420.07650679985994</v>
      </c>
      <c r="H404" s="13" t="s">
        <v>84</v>
      </c>
      <c r="I404" s="13" t="s">
        <v>85</v>
      </c>
      <c r="J404" s="21" t="str">
        <f>_xlfn.XLOOKUP(F404,'04_Account_Mapping'!$A$6:$A$14,'04_Account_Mapping'!$C$6:$C$14,"Unmapped",0)</f>
        <v>Selling Expense</v>
      </c>
      <c r="K404" s="21" t="str">
        <f>_xlfn.XLOOKUP(F404,'04_Account_Mapping'!$A$6:$A$14,'04_Account_Mapping'!$D$6:$D$14,"Unmapped",0)</f>
        <v>Expense</v>
      </c>
    </row>
    <row r="405" spans="1:11">
      <c r="A405" s="16">
        <v>45992</v>
      </c>
      <c r="B405" s="13">
        <v>2025</v>
      </c>
      <c r="C405" s="13">
        <v>12</v>
      </c>
      <c r="D405" s="13" t="s">
        <v>67</v>
      </c>
      <c r="E405" s="13" t="s">
        <v>68</v>
      </c>
      <c r="F405" s="13" t="s">
        <v>61</v>
      </c>
      <c r="G405" s="19">
        <v>-79.873701997156473</v>
      </c>
      <c r="H405" s="13" t="s">
        <v>84</v>
      </c>
      <c r="I405" s="13" t="s">
        <v>85</v>
      </c>
      <c r="J405" s="21" t="str">
        <f>_xlfn.XLOOKUP(F405,'04_Account_Mapping'!$A$6:$A$14,'04_Account_Mapping'!$C$6:$C$14,"Unmapped",0)</f>
        <v>G&amp;A</v>
      </c>
      <c r="K405" s="21" t="str">
        <f>_xlfn.XLOOKUP(F405,'04_Account_Mapping'!$A$6:$A$14,'04_Account_Mapping'!$D$6:$D$14,"Unmapped",0)</f>
        <v>Expense</v>
      </c>
    </row>
    <row r="406" spans="1:11">
      <c r="A406" s="16">
        <v>45992</v>
      </c>
      <c r="B406" s="13">
        <v>2025</v>
      </c>
      <c r="C406" s="13">
        <v>12</v>
      </c>
      <c r="D406" s="13" t="s">
        <v>67</v>
      </c>
      <c r="E406" s="13" t="s">
        <v>68</v>
      </c>
      <c r="F406" s="13" t="s">
        <v>62</v>
      </c>
      <c r="G406" s="19">
        <v>44.374278887309153</v>
      </c>
      <c r="H406" s="13" t="s">
        <v>84</v>
      </c>
      <c r="I406" s="13" t="s">
        <v>85</v>
      </c>
      <c r="J406" s="21" t="str">
        <f>_xlfn.XLOOKUP(F406,'04_Account_Mapping'!$A$6:$A$14,'04_Account_Mapping'!$C$6:$C$14,"Unmapped",0)</f>
        <v>Finance Income</v>
      </c>
      <c r="K406" s="21" t="str">
        <f>_xlfn.XLOOKUP(F406,'04_Account_Mapping'!$A$6:$A$14,'04_Account_Mapping'!$D$6:$D$14,"Unmapped",0)</f>
        <v>Income</v>
      </c>
    </row>
    <row r="407" spans="1:11">
      <c r="A407" s="16">
        <v>45992</v>
      </c>
      <c r="B407" s="13">
        <v>2025</v>
      </c>
      <c r="C407" s="13">
        <v>12</v>
      </c>
      <c r="D407" s="13" t="s">
        <v>67</v>
      </c>
      <c r="E407" s="13" t="s">
        <v>68</v>
      </c>
      <c r="F407" s="13" t="s">
        <v>63</v>
      </c>
      <c r="G407" s="19">
        <v>-23.66628207323155</v>
      </c>
      <c r="H407" s="13" t="s">
        <v>84</v>
      </c>
      <c r="I407" s="13" t="s">
        <v>85</v>
      </c>
      <c r="J407" s="21" t="str">
        <f>_xlfn.XLOOKUP(F407,'04_Account_Mapping'!$A$6:$A$14,'04_Account_Mapping'!$C$6:$C$14,"Unmapped",0)</f>
        <v>Finance Expense</v>
      </c>
      <c r="K407" s="21" t="str">
        <f>_xlfn.XLOOKUP(F407,'04_Account_Mapping'!$A$6:$A$14,'04_Account_Mapping'!$D$6:$D$14,"Unmapped",0)</f>
        <v>Expense</v>
      </c>
    </row>
    <row r="408" spans="1:11">
      <c r="A408" s="16">
        <v>45992</v>
      </c>
      <c r="B408" s="13">
        <v>2025</v>
      </c>
      <c r="C408" s="13">
        <v>12</v>
      </c>
      <c r="D408" s="13" t="s">
        <v>67</v>
      </c>
      <c r="E408" s="13" t="s">
        <v>68</v>
      </c>
      <c r="F408" s="13" t="s">
        <v>64</v>
      </c>
      <c r="G408" s="19">
        <v>0</v>
      </c>
      <c r="H408" s="13" t="s">
        <v>84</v>
      </c>
      <c r="I408" s="13" t="s">
        <v>85</v>
      </c>
      <c r="J408" s="21" t="str">
        <f>_xlfn.XLOOKUP(F408,'04_Account_Mapping'!$A$6:$A$14,'04_Account_Mapping'!$C$6:$C$14,"Unmapped",0)</f>
        <v>JV Profit/(Loss)</v>
      </c>
      <c r="K408" s="21" t="str">
        <f>_xlfn.XLOOKUP(F408,'04_Account_Mapping'!$A$6:$A$14,'04_Account_Mapping'!$D$6:$D$14,"Unmapped",0)</f>
        <v>Income</v>
      </c>
    </row>
    <row r="409" spans="1:11">
      <c r="A409" s="16">
        <v>45992</v>
      </c>
      <c r="B409" s="13">
        <v>2025</v>
      </c>
      <c r="C409" s="13">
        <v>12</v>
      </c>
      <c r="D409" s="13" t="s">
        <v>67</v>
      </c>
      <c r="E409" s="13" t="s">
        <v>68</v>
      </c>
      <c r="F409" s="13" t="s">
        <v>65</v>
      </c>
      <c r="G409" s="19">
        <v>-4.7332564146463101</v>
      </c>
      <c r="H409" s="13" t="s">
        <v>84</v>
      </c>
      <c r="I409" s="13" t="s">
        <v>85</v>
      </c>
      <c r="J409" s="21" t="str">
        <f>_xlfn.XLOOKUP(F409,'04_Account_Mapping'!$A$6:$A$14,'04_Account_Mapping'!$C$6:$C$14,"Unmapped",0)</f>
        <v>Other Net</v>
      </c>
      <c r="K409" s="21" t="str">
        <f>_xlfn.XLOOKUP(F409,'04_Account_Mapping'!$A$6:$A$14,'04_Account_Mapping'!$D$6:$D$14,"Unmapped",0)</f>
        <v>Income</v>
      </c>
    </row>
    <row r="410" spans="1:11">
      <c r="A410" s="16">
        <v>45992</v>
      </c>
      <c r="B410" s="13">
        <v>2025</v>
      </c>
      <c r="C410" s="13">
        <v>12</v>
      </c>
      <c r="D410" s="13" t="s">
        <v>67</v>
      </c>
      <c r="E410" s="13" t="s">
        <v>68</v>
      </c>
      <c r="F410" s="13" t="s">
        <v>66</v>
      </c>
      <c r="G410" s="19">
        <v>-23.912805844827783</v>
      </c>
      <c r="H410" s="13" t="s">
        <v>84</v>
      </c>
      <c r="I410" s="13" t="s">
        <v>85</v>
      </c>
      <c r="J410" s="21" t="str">
        <f>_xlfn.XLOOKUP(F410,'04_Account_Mapping'!$A$6:$A$14,'04_Account_Mapping'!$C$6:$C$14,"Unmapped",0)</f>
        <v>Tax Expense</v>
      </c>
      <c r="K410" s="21" t="str">
        <f>_xlfn.XLOOKUP(F410,'04_Account_Mapping'!$A$6:$A$14,'04_Account_Mapping'!$D$6:$D$14,"Unmapped",0)</f>
        <v>Expense</v>
      </c>
    </row>
    <row r="411" spans="1:11">
      <c r="A411" s="16">
        <v>45992</v>
      </c>
      <c r="B411" s="13">
        <v>2025</v>
      </c>
      <c r="C411" s="13">
        <v>12</v>
      </c>
      <c r="D411" s="13" t="s">
        <v>72</v>
      </c>
      <c r="E411" s="13" t="s">
        <v>68</v>
      </c>
      <c r="F411" s="13" t="s">
        <v>55</v>
      </c>
      <c r="G411" s="19">
        <v>5647.6354947484378</v>
      </c>
      <c r="H411" s="13" t="s">
        <v>84</v>
      </c>
      <c r="I411" s="13" t="s">
        <v>85</v>
      </c>
      <c r="J411" s="21" t="str">
        <f>_xlfn.XLOOKUP(F411,'04_Account_Mapping'!$A$6:$A$14,'04_Account_Mapping'!$C$6:$C$14,"Unmapped",0)</f>
        <v>Revenue</v>
      </c>
      <c r="K411" s="21" t="str">
        <f>_xlfn.XLOOKUP(F411,'04_Account_Mapping'!$A$6:$A$14,'04_Account_Mapping'!$D$6:$D$14,"Unmapped",0)</f>
        <v>Income</v>
      </c>
    </row>
    <row r="412" spans="1:11">
      <c r="A412" s="16">
        <v>45992</v>
      </c>
      <c r="B412" s="13">
        <v>2025</v>
      </c>
      <c r="C412" s="13">
        <v>12</v>
      </c>
      <c r="D412" s="13" t="s">
        <v>72</v>
      </c>
      <c r="E412" s="13" t="s">
        <v>68</v>
      </c>
      <c r="F412" s="13" t="s">
        <v>58</v>
      </c>
      <c r="G412" s="19">
        <v>-4495.4237265615111</v>
      </c>
      <c r="H412" s="13" t="s">
        <v>84</v>
      </c>
      <c r="I412" s="13" t="s">
        <v>85</v>
      </c>
      <c r="J412" s="21" t="str">
        <f>_xlfn.XLOOKUP(F412,'04_Account_Mapping'!$A$6:$A$14,'04_Account_Mapping'!$C$6:$C$14,"Unmapped",0)</f>
        <v>COGS</v>
      </c>
      <c r="K412" s="21" t="str">
        <f>_xlfn.XLOOKUP(F412,'04_Account_Mapping'!$A$6:$A$14,'04_Account_Mapping'!$D$6:$D$14,"Unmapped",0)</f>
        <v>Expense</v>
      </c>
    </row>
    <row r="413" spans="1:11">
      <c r="A413" s="16">
        <v>45992</v>
      </c>
      <c r="B413" s="13">
        <v>2025</v>
      </c>
      <c r="C413" s="13">
        <v>12</v>
      </c>
      <c r="D413" s="13" t="s">
        <v>72</v>
      </c>
      <c r="E413" s="13" t="s">
        <v>68</v>
      </c>
      <c r="F413" s="13" t="s">
        <v>60</v>
      </c>
      <c r="G413" s="19">
        <v>-801.96424025427814</v>
      </c>
      <c r="H413" s="13" t="s">
        <v>84</v>
      </c>
      <c r="I413" s="13" t="s">
        <v>85</v>
      </c>
      <c r="J413" s="21" t="str">
        <f>_xlfn.XLOOKUP(F413,'04_Account_Mapping'!$A$6:$A$14,'04_Account_Mapping'!$C$6:$C$14,"Unmapped",0)</f>
        <v>Selling Expense</v>
      </c>
      <c r="K413" s="21" t="str">
        <f>_xlfn.XLOOKUP(F413,'04_Account_Mapping'!$A$6:$A$14,'04_Account_Mapping'!$D$6:$D$14,"Unmapped",0)</f>
        <v>Expense</v>
      </c>
    </row>
    <row r="414" spans="1:11">
      <c r="A414" s="16">
        <v>45992</v>
      </c>
      <c r="B414" s="13">
        <v>2025</v>
      </c>
      <c r="C414" s="13">
        <v>12</v>
      </c>
      <c r="D414" s="13" t="s">
        <v>72</v>
      </c>
      <c r="E414" s="13" t="s">
        <v>68</v>
      </c>
      <c r="F414" s="13" t="s">
        <v>61</v>
      </c>
      <c r="G414" s="19">
        <v>-152.48615835820783</v>
      </c>
      <c r="H414" s="13" t="s">
        <v>84</v>
      </c>
      <c r="I414" s="13" t="s">
        <v>85</v>
      </c>
      <c r="J414" s="21" t="str">
        <f>_xlfn.XLOOKUP(F414,'04_Account_Mapping'!$A$6:$A$14,'04_Account_Mapping'!$C$6:$C$14,"Unmapped",0)</f>
        <v>G&amp;A</v>
      </c>
      <c r="K414" s="21" t="str">
        <f>_xlfn.XLOOKUP(F414,'04_Account_Mapping'!$A$6:$A$14,'04_Account_Mapping'!$D$6:$D$14,"Unmapped",0)</f>
        <v>Expense</v>
      </c>
    </row>
    <row r="415" spans="1:11">
      <c r="A415" s="16">
        <v>45992</v>
      </c>
      <c r="B415" s="13">
        <v>2025</v>
      </c>
      <c r="C415" s="13">
        <v>12</v>
      </c>
      <c r="D415" s="13" t="s">
        <v>72</v>
      </c>
      <c r="E415" s="13" t="s">
        <v>68</v>
      </c>
      <c r="F415" s="13" t="s">
        <v>62</v>
      </c>
      <c r="G415" s="19">
        <v>84.714532421226579</v>
      </c>
      <c r="H415" s="13" t="s">
        <v>84</v>
      </c>
      <c r="I415" s="13" t="s">
        <v>85</v>
      </c>
      <c r="J415" s="21" t="str">
        <f>_xlfn.XLOOKUP(F415,'04_Account_Mapping'!$A$6:$A$14,'04_Account_Mapping'!$C$6:$C$14,"Unmapped",0)</f>
        <v>Finance Income</v>
      </c>
      <c r="K415" s="21" t="str">
        <f>_xlfn.XLOOKUP(F415,'04_Account_Mapping'!$A$6:$A$14,'04_Account_Mapping'!$D$6:$D$14,"Unmapped",0)</f>
        <v>Income</v>
      </c>
    </row>
    <row r="416" spans="1:11">
      <c r="A416" s="16">
        <v>45992</v>
      </c>
      <c r="B416" s="13">
        <v>2025</v>
      </c>
      <c r="C416" s="13">
        <v>12</v>
      </c>
      <c r="D416" s="13" t="s">
        <v>72</v>
      </c>
      <c r="E416" s="13" t="s">
        <v>68</v>
      </c>
      <c r="F416" s="13" t="s">
        <v>63</v>
      </c>
      <c r="G416" s="19">
        <v>-45.181083957987504</v>
      </c>
      <c r="H416" s="13" t="s">
        <v>84</v>
      </c>
      <c r="I416" s="13" t="s">
        <v>85</v>
      </c>
      <c r="J416" s="21" t="str">
        <f>_xlfn.XLOOKUP(F416,'04_Account_Mapping'!$A$6:$A$14,'04_Account_Mapping'!$C$6:$C$14,"Unmapped",0)</f>
        <v>Finance Expense</v>
      </c>
      <c r="K416" s="21" t="str">
        <f>_xlfn.XLOOKUP(F416,'04_Account_Mapping'!$A$6:$A$14,'04_Account_Mapping'!$D$6:$D$14,"Unmapped",0)</f>
        <v>Expense</v>
      </c>
    </row>
    <row r="417" spans="1:11">
      <c r="A417" s="16">
        <v>45992</v>
      </c>
      <c r="B417" s="13">
        <v>2025</v>
      </c>
      <c r="C417" s="13">
        <v>12</v>
      </c>
      <c r="D417" s="13" t="s">
        <v>72</v>
      </c>
      <c r="E417" s="13" t="s">
        <v>68</v>
      </c>
      <c r="F417" s="13" t="s">
        <v>64</v>
      </c>
      <c r="G417" s="19">
        <v>0</v>
      </c>
      <c r="H417" s="13" t="s">
        <v>84</v>
      </c>
      <c r="I417" s="13" t="s">
        <v>85</v>
      </c>
      <c r="J417" s="21" t="str">
        <f>_xlfn.XLOOKUP(F417,'04_Account_Mapping'!$A$6:$A$14,'04_Account_Mapping'!$C$6:$C$14,"Unmapped",0)</f>
        <v>JV Profit/(Loss)</v>
      </c>
      <c r="K417" s="21" t="str">
        <f>_xlfn.XLOOKUP(F417,'04_Account_Mapping'!$A$6:$A$14,'04_Account_Mapping'!$D$6:$D$14,"Unmapped",0)</f>
        <v>Income</v>
      </c>
    </row>
    <row r="418" spans="1:11">
      <c r="A418" s="16">
        <v>45992</v>
      </c>
      <c r="B418" s="13">
        <v>2025</v>
      </c>
      <c r="C418" s="13">
        <v>12</v>
      </c>
      <c r="D418" s="13" t="s">
        <v>72</v>
      </c>
      <c r="E418" s="13" t="s">
        <v>68</v>
      </c>
      <c r="F418" s="13" t="s">
        <v>65</v>
      </c>
      <c r="G418" s="19">
        <v>-9.0362167915975018</v>
      </c>
      <c r="H418" s="13" t="s">
        <v>84</v>
      </c>
      <c r="I418" s="13" t="s">
        <v>85</v>
      </c>
      <c r="J418" s="21" t="str">
        <f>_xlfn.XLOOKUP(F418,'04_Account_Mapping'!$A$6:$A$14,'04_Account_Mapping'!$C$6:$C$14,"Unmapped",0)</f>
        <v>Other Net</v>
      </c>
      <c r="K418" s="21" t="str">
        <f>_xlfn.XLOOKUP(F418,'04_Account_Mapping'!$A$6:$A$14,'04_Account_Mapping'!$D$6:$D$14,"Unmapped",0)</f>
        <v>Income</v>
      </c>
    </row>
    <row r="419" spans="1:11">
      <c r="A419" s="16">
        <v>45992</v>
      </c>
      <c r="B419" s="13">
        <v>2025</v>
      </c>
      <c r="C419" s="13">
        <v>12</v>
      </c>
      <c r="D419" s="13" t="s">
        <v>72</v>
      </c>
      <c r="E419" s="13" t="s">
        <v>68</v>
      </c>
      <c r="F419" s="13" t="s">
        <v>66</v>
      </c>
      <c r="G419" s="19">
        <v>-45.65172024921668</v>
      </c>
      <c r="H419" s="13" t="s">
        <v>84</v>
      </c>
      <c r="I419" s="13" t="s">
        <v>85</v>
      </c>
      <c r="J419" s="21" t="str">
        <f>_xlfn.XLOOKUP(F419,'04_Account_Mapping'!$A$6:$A$14,'04_Account_Mapping'!$C$6:$C$14,"Unmapped",0)</f>
        <v>Tax Expense</v>
      </c>
      <c r="K419" s="21" t="str">
        <f>_xlfn.XLOOKUP(F419,'04_Account_Mapping'!$A$6:$A$14,'04_Account_Mapping'!$D$6:$D$14,"Unmapped",0)</f>
        <v>Expense</v>
      </c>
    </row>
    <row r="420" spans="1:11">
      <c r="A420" s="16">
        <v>45992</v>
      </c>
      <c r="B420" s="13">
        <v>2025</v>
      </c>
      <c r="C420" s="13">
        <v>12</v>
      </c>
      <c r="D420" s="13" t="s">
        <v>73</v>
      </c>
      <c r="E420" s="13" t="s">
        <v>74</v>
      </c>
      <c r="F420" s="13" t="s">
        <v>55</v>
      </c>
      <c r="G420" s="19">
        <v>4168.4928651714663</v>
      </c>
      <c r="H420" s="13" t="s">
        <v>84</v>
      </c>
      <c r="I420" s="13" t="s">
        <v>85</v>
      </c>
      <c r="J420" s="21" t="str">
        <f>_xlfn.XLOOKUP(F420,'04_Account_Mapping'!$A$6:$A$14,'04_Account_Mapping'!$C$6:$C$14,"Unmapped",0)</f>
        <v>Revenue</v>
      </c>
      <c r="K420" s="21" t="str">
        <f>_xlfn.XLOOKUP(F420,'04_Account_Mapping'!$A$6:$A$14,'04_Account_Mapping'!$D$6:$D$14,"Unmapped",0)</f>
        <v>Income</v>
      </c>
    </row>
    <row r="421" spans="1:11">
      <c r="A421" s="16">
        <v>45992</v>
      </c>
      <c r="B421" s="13">
        <v>2025</v>
      </c>
      <c r="C421" s="13">
        <v>12</v>
      </c>
      <c r="D421" s="13" t="s">
        <v>73</v>
      </c>
      <c r="E421" s="13" t="s">
        <v>74</v>
      </c>
      <c r="F421" s="13" t="s">
        <v>58</v>
      </c>
      <c r="G421" s="19">
        <v>-3318.0508457954006</v>
      </c>
      <c r="H421" s="13" t="s">
        <v>84</v>
      </c>
      <c r="I421" s="13" t="s">
        <v>85</v>
      </c>
      <c r="J421" s="21" t="str">
        <f>_xlfn.XLOOKUP(F421,'04_Account_Mapping'!$A$6:$A$14,'04_Account_Mapping'!$C$6:$C$14,"Unmapped",0)</f>
        <v>COGS</v>
      </c>
      <c r="K421" s="21" t="str">
        <f>_xlfn.XLOOKUP(F421,'04_Account_Mapping'!$A$6:$A$14,'04_Account_Mapping'!$D$6:$D$14,"Unmapped",0)</f>
        <v>Expense</v>
      </c>
    </row>
    <row r="422" spans="1:11">
      <c r="A422" s="16">
        <v>45992</v>
      </c>
      <c r="B422" s="13">
        <v>2025</v>
      </c>
      <c r="C422" s="13">
        <v>12</v>
      </c>
      <c r="D422" s="13" t="s">
        <v>73</v>
      </c>
      <c r="E422" s="13" t="s">
        <v>74</v>
      </c>
      <c r="F422" s="13" t="s">
        <v>60</v>
      </c>
      <c r="G422" s="19">
        <v>-591.92598685434814</v>
      </c>
      <c r="H422" s="13" t="s">
        <v>84</v>
      </c>
      <c r="I422" s="13" t="s">
        <v>85</v>
      </c>
      <c r="J422" s="21" t="str">
        <f>_xlfn.XLOOKUP(F422,'04_Account_Mapping'!$A$6:$A$14,'04_Account_Mapping'!$C$6:$C$14,"Unmapped",0)</f>
        <v>Selling Expense</v>
      </c>
      <c r="K422" s="21" t="str">
        <f>_xlfn.XLOOKUP(F422,'04_Account_Mapping'!$A$6:$A$14,'04_Account_Mapping'!$D$6:$D$14,"Unmapped",0)</f>
        <v>Expense</v>
      </c>
    </row>
    <row r="423" spans="1:11">
      <c r="A423" s="16">
        <v>45992</v>
      </c>
      <c r="B423" s="13">
        <v>2025</v>
      </c>
      <c r="C423" s="13">
        <v>12</v>
      </c>
      <c r="D423" s="13" t="s">
        <v>73</v>
      </c>
      <c r="E423" s="13" t="s">
        <v>74</v>
      </c>
      <c r="F423" s="13" t="s">
        <v>61</v>
      </c>
      <c r="G423" s="19">
        <v>-112.54930735962958</v>
      </c>
      <c r="H423" s="13" t="s">
        <v>84</v>
      </c>
      <c r="I423" s="13" t="s">
        <v>85</v>
      </c>
      <c r="J423" s="21" t="str">
        <f>_xlfn.XLOOKUP(F423,'04_Account_Mapping'!$A$6:$A$14,'04_Account_Mapping'!$C$6:$C$14,"Unmapped",0)</f>
        <v>G&amp;A</v>
      </c>
      <c r="K423" s="21" t="str">
        <f>_xlfn.XLOOKUP(F423,'04_Account_Mapping'!$A$6:$A$14,'04_Account_Mapping'!$D$6:$D$14,"Unmapped",0)</f>
        <v>Expense</v>
      </c>
    </row>
    <row r="424" spans="1:11">
      <c r="A424" s="16">
        <v>45992</v>
      </c>
      <c r="B424" s="13">
        <v>2025</v>
      </c>
      <c r="C424" s="13">
        <v>12</v>
      </c>
      <c r="D424" s="13" t="s">
        <v>73</v>
      </c>
      <c r="E424" s="13" t="s">
        <v>74</v>
      </c>
      <c r="F424" s="13" t="s">
        <v>62</v>
      </c>
      <c r="G424" s="19">
        <v>62.527392977571992</v>
      </c>
      <c r="H424" s="13" t="s">
        <v>84</v>
      </c>
      <c r="I424" s="13" t="s">
        <v>85</v>
      </c>
      <c r="J424" s="21" t="str">
        <f>_xlfn.XLOOKUP(F424,'04_Account_Mapping'!$A$6:$A$14,'04_Account_Mapping'!$C$6:$C$14,"Unmapped",0)</f>
        <v>Finance Income</v>
      </c>
      <c r="K424" s="21" t="str">
        <f>_xlfn.XLOOKUP(F424,'04_Account_Mapping'!$A$6:$A$14,'04_Account_Mapping'!$D$6:$D$14,"Unmapped",0)</f>
        <v>Income</v>
      </c>
    </row>
    <row r="425" spans="1:11">
      <c r="A425" s="16">
        <v>45992</v>
      </c>
      <c r="B425" s="13">
        <v>2025</v>
      </c>
      <c r="C425" s="13">
        <v>12</v>
      </c>
      <c r="D425" s="13" t="s">
        <v>73</v>
      </c>
      <c r="E425" s="13" t="s">
        <v>74</v>
      </c>
      <c r="F425" s="13" t="s">
        <v>63</v>
      </c>
      <c r="G425" s="19">
        <v>-33.347942921371725</v>
      </c>
      <c r="H425" s="13" t="s">
        <v>84</v>
      </c>
      <c r="I425" s="13" t="s">
        <v>85</v>
      </c>
      <c r="J425" s="21" t="str">
        <f>_xlfn.XLOOKUP(F425,'04_Account_Mapping'!$A$6:$A$14,'04_Account_Mapping'!$C$6:$C$14,"Unmapped",0)</f>
        <v>Finance Expense</v>
      </c>
      <c r="K425" s="21" t="str">
        <f>_xlfn.XLOOKUP(F425,'04_Account_Mapping'!$A$6:$A$14,'04_Account_Mapping'!$D$6:$D$14,"Unmapped",0)</f>
        <v>Expense</v>
      </c>
    </row>
    <row r="426" spans="1:11">
      <c r="A426" s="16">
        <v>45992</v>
      </c>
      <c r="B426" s="13">
        <v>2025</v>
      </c>
      <c r="C426" s="13">
        <v>12</v>
      </c>
      <c r="D426" s="13" t="s">
        <v>73</v>
      </c>
      <c r="E426" s="13" t="s">
        <v>74</v>
      </c>
      <c r="F426" s="13" t="s">
        <v>64</v>
      </c>
      <c r="G426" s="19">
        <v>0</v>
      </c>
      <c r="H426" s="13" t="s">
        <v>84</v>
      </c>
      <c r="I426" s="13" t="s">
        <v>85</v>
      </c>
      <c r="J426" s="21" t="str">
        <f>_xlfn.XLOOKUP(F426,'04_Account_Mapping'!$A$6:$A$14,'04_Account_Mapping'!$C$6:$C$14,"Unmapped",0)</f>
        <v>JV Profit/(Loss)</v>
      </c>
      <c r="K426" s="21" t="str">
        <f>_xlfn.XLOOKUP(F426,'04_Account_Mapping'!$A$6:$A$14,'04_Account_Mapping'!$D$6:$D$14,"Unmapped",0)</f>
        <v>Income</v>
      </c>
    </row>
    <row r="427" spans="1:11">
      <c r="A427" s="16">
        <v>45992</v>
      </c>
      <c r="B427" s="13">
        <v>2025</v>
      </c>
      <c r="C427" s="13">
        <v>12</v>
      </c>
      <c r="D427" s="13" t="s">
        <v>73</v>
      </c>
      <c r="E427" s="13" t="s">
        <v>74</v>
      </c>
      <c r="F427" s="13" t="s">
        <v>65</v>
      </c>
      <c r="G427" s="19">
        <v>-6.6695885842743454</v>
      </c>
      <c r="H427" s="13" t="s">
        <v>84</v>
      </c>
      <c r="I427" s="13" t="s">
        <v>85</v>
      </c>
      <c r="J427" s="21" t="str">
        <f>_xlfn.XLOOKUP(F427,'04_Account_Mapping'!$A$6:$A$14,'04_Account_Mapping'!$C$6:$C$14,"Unmapped",0)</f>
        <v>Other Net</v>
      </c>
      <c r="K427" s="21" t="str">
        <f>_xlfn.XLOOKUP(F427,'04_Account_Mapping'!$A$6:$A$14,'04_Account_Mapping'!$D$6:$D$14,"Unmapped",0)</f>
        <v>Income</v>
      </c>
    </row>
    <row r="428" spans="1:11">
      <c r="A428" s="16">
        <v>45992</v>
      </c>
      <c r="B428" s="13">
        <v>2025</v>
      </c>
      <c r="C428" s="13">
        <v>12</v>
      </c>
      <c r="D428" s="13" t="s">
        <v>73</v>
      </c>
      <c r="E428" s="13" t="s">
        <v>74</v>
      </c>
      <c r="F428" s="13" t="s">
        <v>66</v>
      </c>
      <c r="G428" s="19">
        <v>-33.695317326802787</v>
      </c>
      <c r="H428" s="13" t="s">
        <v>84</v>
      </c>
      <c r="I428" s="13" t="s">
        <v>85</v>
      </c>
      <c r="J428" s="21" t="str">
        <f>_xlfn.XLOOKUP(F428,'04_Account_Mapping'!$A$6:$A$14,'04_Account_Mapping'!$C$6:$C$14,"Unmapped",0)</f>
        <v>Tax Expense</v>
      </c>
      <c r="K428" s="21" t="str">
        <f>_xlfn.XLOOKUP(F428,'04_Account_Mapping'!$A$6:$A$14,'04_Account_Mapping'!$D$6:$D$14,"Unmapped",0)</f>
        <v>Expense</v>
      </c>
    </row>
    <row r="429" spans="1:11">
      <c r="A429" s="16">
        <v>45992</v>
      </c>
      <c r="B429" s="13">
        <v>2025</v>
      </c>
      <c r="C429" s="13">
        <v>12</v>
      </c>
      <c r="D429" s="13" t="s">
        <v>75</v>
      </c>
      <c r="E429" s="13" t="s">
        <v>76</v>
      </c>
      <c r="F429" s="13" t="s">
        <v>55</v>
      </c>
      <c r="G429" s="19">
        <v>672.33755889862368</v>
      </c>
      <c r="H429" s="13" t="s">
        <v>84</v>
      </c>
      <c r="I429" s="13" t="s">
        <v>85</v>
      </c>
      <c r="J429" s="21" t="str">
        <f>_xlfn.XLOOKUP(F429,'04_Account_Mapping'!$A$6:$A$14,'04_Account_Mapping'!$C$6:$C$14,"Unmapped",0)</f>
        <v>Revenue</v>
      </c>
      <c r="K429" s="21" t="str">
        <f>_xlfn.XLOOKUP(F429,'04_Account_Mapping'!$A$6:$A$14,'04_Account_Mapping'!$D$6:$D$14,"Unmapped",0)</f>
        <v>Income</v>
      </c>
    </row>
    <row r="430" spans="1:11">
      <c r="A430" s="16">
        <v>45992</v>
      </c>
      <c r="B430" s="13">
        <v>2025</v>
      </c>
      <c r="C430" s="13">
        <v>12</v>
      </c>
      <c r="D430" s="13" t="s">
        <v>75</v>
      </c>
      <c r="E430" s="13" t="s">
        <v>76</v>
      </c>
      <c r="F430" s="13" t="s">
        <v>58</v>
      </c>
      <c r="G430" s="19">
        <v>-535.16949125732276</v>
      </c>
      <c r="H430" s="13" t="s">
        <v>84</v>
      </c>
      <c r="I430" s="13" t="s">
        <v>85</v>
      </c>
      <c r="J430" s="21" t="str">
        <f>_xlfn.XLOOKUP(F430,'04_Account_Mapping'!$A$6:$A$14,'04_Account_Mapping'!$C$6:$C$14,"Unmapped",0)</f>
        <v>COGS</v>
      </c>
      <c r="K430" s="21" t="str">
        <f>_xlfn.XLOOKUP(F430,'04_Account_Mapping'!$A$6:$A$14,'04_Account_Mapping'!$D$6:$D$14,"Unmapped",0)</f>
        <v>Expense</v>
      </c>
    </row>
    <row r="431" spans="1:11">
      <c r="A431" s="16">
        <v>45992</v>
      </c>
      <c r="B431" s="13">
        <v>2025</v>
      </c>
      <c r="C431" s="13">
        <v>12</v>
      </c>
      <c r="D431" s="13" t="s">
        <v>75</v>
      </c>
      <c r="E431" s="13" t="s">
        <v>76</v>
      </c>
      <c r="F431" s="13" t="s">
        <v>60</v>
      </c>
      <c r="G431" s="19">
        <v>-95.471933363604535</v>
      </c>
      <c r="H431" s="13" t="s">
        <v>84</v>
      </c>
      <c r="I431" s="13" t="s">
        <v>85</v>
      </c>
      <c r="J431" s="21" t="str">
        <f>_xlfn.XLOOKUP(F431,'04_Account_Mapping'!$A$6:$A$14,'04_Account_Mapping'!$C$6:$C$14,"Unmapped",0)</f>
        <v>Selling Expense</v>
      </c>
      <c r="K431" s="21" t="str">
        <f>_xlfn.XLOOKUP(F431,'04_Account_Mapping'!$A$6:$A$14,'04_Account_Mapping'!$D$6:$D$14,"Unmapped",0)</f>
        <v>Expense</v>
      </c>
    </row>
    <row r="432" spans="1:11">
      <c r="A432" s="16">
        <v>45992</v>
      </c>
      <c r="B432" s="13">
        <v>2025</v>
      </c>
      <c r="C432" s="13">
        <v>12</v>
      </c>
      <c r="D432" s="13" t="s">
        <v>75</v>
      </c>
      <c r="E432" s="13" t="s">
        <v>76</v>
      </c>
      <c r="F432" s="13" t="s">
        <v>61</v>
      </c>
      <c r="G432" s="19">
        <v>-18.153114090262839</v>
      </c>
      <c r="H432" s="13" t="s">
        <v>84</v>
      </c>
      <c r="I432" s="13" t="s">
        <v>85</v>
      </c>
      <c r="J432" s="21" t="str">
        <f>_xlfn.XLOOKUP(F432,'04_Account_Mapping'!$A$6:$A$14,'04_Account_Mapping'!$C$6:$C$14,"Unmapped",0)</f>
        <v>G&amp;A</v>
      </c>
      <c r="K432" s="21" t="str">
        <f>_xlfn.XLOOKUP(F432,'04_Account_Mapping'!$A$6:$A$14,'04_Account_Mapping'!$D$6:$D$14,"Unmapped",0)</f>
        <v>Expense</v>
      </c>
    </row>
    <row r="433" spans="1:11">
      <c r="A433" s="16">
        <v>45992</v>
      </c>
      <c r="B433" s="13">
        <v>2025</v>
      </c>
      <c r="C433" s="13">
        <v>12</v>
      </c>
      <c r="D433" s="13" t="s">
        <v>75</v>
      </c>
      <c r="E433" s="13" t="s">
        <v>76</v>
      </c>
      <c r="F433" s="13" t="s">
        <v>62</v>
      </c>
      <c r="G433" s="19">
        <v>10.085063383479355</v>
      </c>
      <c r="H433" s="13" t="s">
        <v>84</v>
      </c>
      <c r="I433" s="13" t="s">
        <v>85</v>
      </c>
      <c r="J433" s="21" t="str">
        <f>_xlfn.XLOOKUP(F433,'04_Account_Mapping'!$A$6:$A$14,'04_Account_Mapping'!$C$6:$C$14,"Unmapped",0)</f>
        <v>Finance Income</v>
      </c>
      <c r="K433" s="21" t="str">
        <f>_xlfn.XLOOKUP(F433,'04_Account_Mapping'!$A$6:$A$14,'04_Account_Mapping'!$D$6:$D$14,"Unmapped",0)</f>
        <v>Income</v>
      </c>
    </row>
    <row r="434" spans="1:11">
      <c r="A434" s="16">
        <v>45992</v>
      </c>
      <c r="B434" s="13">
        <v>2025</v>
      </c>
      <c r="C434" s="13">
        <v>12</v>
      </c>
      <c r="D434" s="13" t="s">
        <v>75</v>
      </c>
      <c r="E434" s="13" t="s">
        <v>76</v>
      </c>
      <c r="F434" s="13" t="s">
        <v>63</v>
      </c>
      <c r="G434" s="19">
        <v>-5.3787004711889894</v>
      </c>
      <c r="H434" s="13" t="s">
        <v>84</v>
      </c>
      <c r="I434" s="13" t="s">
        <v>85</v>
      </c>
      <c r="J434" s="21" t="str">
        <f>_xlfn.XLOOKUP(F434,'04_Account_Mapping'!$A$6:$A$14,'04_Account_Mapping'!$C$6:$C$14,"Unmapped",0)</f>
        <v>Finance Expense</v>
      </c>
      <c r="K434" s="21" t="str">
        <f>_xlfn.XLOOKUP(F434,'04_Account_Mapping'!$A$6:$A$14,'04_Account_Mapping'!$D$6:$D$14,"Unmapped",0)</f>
        <v>Expense</v>
      </c>
    </row>
    <row r="435" spans="1:11">
      <c r="A435" s="16">
        <v>45992</v>
      </c>
      <c r="B435" s="13">
        <v>2025</v>
      </c>
      <c r="C435" s="13">
        <v>12</v>
      </c>
      <c r="D435" s="13" t="s">
        <v>75</v>
      </c>
      <c r="E435" s="13" t="s">
        <v>76</v>
      </c>
      <c r="F435" s="13" t="s">
        <v>64</v>
      </c>
      <c r="G435" s="19">
        <v>0</v>
      </c>
      <c r="H435" s="13" t="s">
        <v>84</v>
      </c>
      <c r="I435" s="13" t="s">
        <v>85</v>
      </c>
      <c r="J435" s="21" t="str">
        <f>_xlfn.XLOOKUP(F435,'04_Account_Mapping'!$A$6:$A$14,'04_Account_Mapping'!$C$6:$C$14,"Unmapped",0)</f>
        <v>JV Profit/(Loss)</v>
      </c>
      <c r="K435" s="21" t="str">
        <f>_xlfn.XLOOKUP(F435,'04_Account_Mapping'!$A$6:$A$14,'04_Account_Mapping'!$D$6:$D$14,"Unmapped",0)</f>
        <v>Income</v>
      </c>
    </row>
    <row r="436" spans="1:11">
      <c r="A436" s="16">
        <v>45992</v>
      </c>
      <c r="B436" s="13">
        <v>2025</v>
      </c>
      <c r="C436" s="13">
        <v>12</v>
      </c>
      <c r="D436" s="13" t="s">
        <v>75</v>
      </c>
      <c r="E436" s="13" t="s">
        <v>76</v>
      </c>
      <c r="F436" s="13" t="s">
        <v>65</v>
      </c>
      <c r="G436" s="19">
        <v>-1.0757400942377977</v>
      </c>
      <c r="H436" s="13" t="s">
        <v>84</v>
      </c>
      <c r="I436" s="13" t="s">
        <v>85</v>
      </c>
      <c r="J436" s="21" t="str">
        <f>_xlfn.XLOOKUP(F436,'04_Account_Mapping'!$A$6:$A$14,'04_Account_Mapping'!$C$6:$C$14,"Unmapped",0)</f>
        <v>Other Net</v>
      </c>
      <c r="K436" s="21" t="str">
        <f>_xlfn.XLOOKUP(F436,'04_Account_Mapping'!$A$6:$A$14,'04_Account_Mapping'!$D$6:$D$14,"Unmapped",0)</f>
        <v>Income</v>
      </c>
    </row>
    <row r="437" spans="1:11">
      <c r="A437" s="16">
        <v>45992</v>
      </c>
      <c r="B437" s="13">
        <v>2025</v>
      </c>
      <c r="C437" s="13">
        <v>12</v>
      </c>
      <c r="D437" s="13" t="s">
        <v>75</v>
      </c>
      <c r="E437" s="13" t="s">
        <v>76</v>
      </c>
      <c r="F437" s="13" t="s">
        <v>66</v>
      </c>
      <c r="G437" s="19">
        <v>-5.4347286010972242</v>
      </c>
      <c r="H437" s="13" t="s">
        <v>84</v>
      </c>
      <c r="I437" s="13" t="s">
        <v>85</v>
      </c>
      <c r="J437" s="21" t="str">
        <f>_xlfn.XLOOKUP(F437,'04_Account_Mapping'!$A$6:$A$14,'04_Account_Mapping'!$C$6:$C$14,"Unmapped",0)</f>
        <v>Tax Expense</v>
      </c>
      <c r="K437" s="21" t="str">
        <f>_xlfn.XLOOKUP(F437,'04_Account_Mapping'!$A$6:$A$14,'04_Account_Mapping'!$D$6:$D$14,"Unmapped",0)</f>
        <v>Expense</v>
      </c>
    </row>
    <row r="438" spans="1:11">
      <c r="A438" s="16">
        <v>46023</v>
      </c>
      <c r="B438" s="13">
        <v>2026</v>
      </c>
      <c r="C438" s="13">
        <v>1</v>
      </c>
      <c r="D438" s="13" t="s">
        <v>67</v>
      </c>
      <c r="E438" s="13" t="s">
        <v>68</v>
      </c>
      <c r="F438" s="13" t="s">
        <v>55</v>
      </c>
      <c r="G438" s="19">
        <v>3471.7181076546749</v>
      </c>
      <c r="H438" s="13" t="s">
        <v>86</v>
      </c>
      <c r="I438" s="13" t="s">
        <v>87</v>
      </c>
      <c r="J438" s="21" t="str">
        <f>_xlfn.XLOOKUP(F438,'04_Account_Mapping'!$A$6:$A$14,'04_Account_Mapping'!$C$6:$C$14,"Unmapped",0)</f>
        <v>Revenue</v>
      </c>
      <c r="K438" s="21" t="str">
        <f>_xlfn.XLOOKUP(F438,'04_Account_Mapping'!$A$6:$A$14,'04_Account_Mapping'!$D$6:$D$14,"Unmapped",0)</f>
        <v>Income</v>
      </c>
    </row>
    <row r="439" spans="1:11">
      <c r="A439" s="16">
        <v>46023</v>
      </c>
      <c r="B439" s="13">
        <v>2026</v>
      </c>
      <c r="C439" s="13">
        <v>1</v>
      </c>
      <c r="D439" s="13" t="s">
        <v>67</v>
      </c>
      <c r="E439" s="13" t="s">
        <v>68</v>
      </c>
      <c r="F439" s="13" t="s">
        <v>58</v>
      </c>
      <c r="G439" s="19">
        <v>-2767.0906941075518</v>
      </c>
      <c r="H439" s="13" t="s">
        <v>86</v>
      </c>
      <c r="I439" s="13" t="s">
        <v>87</v>
      </c>
      <c r="J439" s="21" t="str">
        <f>_xlfn.XLOOKUP(F439,'04_Account_Mapping'!$A$6:$A$14,'04_Account_Mapping'!$C$6:$C$14,"Unmapped",0)</f>
        <v>COGS</v>
      </c>
      <c r="K439" s="21" t="str">
        <f>_xlfn.XLOOKUP(F439,'04_Account_Mapping'!$A$6:$A$14,'04_Account_Mapping'!$D$6:$D$14,"Unmapped",0)</f>
        <v>Expense</v>
      </c>
    </row>
    <row r="440" spans="1:11">
      <c r="A440" s="16">
        <v>46023</v>
      </c>
      <c r="B440" s="13">
        <v>2026</v>
      </c>
      <c r="C440" s="13">
        <v>1</v>
      </c>
      <c r="D440" s="13" t="s">
        <v>67</v>
      </c>
      <c r="E440" s="13" t="s">
        <v>68</v>
      </c>
      <c r="F440" s="13" t="s">
        <v>60</v>
      </c>
      <c r="G440" s="19">
        <v>-423.54960913387032</v>
      </c>
      <c r="H440" s="13" t="s">
        <v>86</v>
      </c>
      <c r="I440" s="13" t="s">
        <v>87</v>
      </c>
      <c r="J440" s="21" t="str">
        <f>_xlfn.XLOOKUP(F440,'04_Account_Mapping'!$A$6:$A$14,'04_Account_Mapping'!$C$6:$C$14,"Unmapped",0)</f>
        <v>Selling Expense</v>
      </c>
      <c r="K440" s="21" t="str">
        <f>_xlfn.XLOOKUP(F440,'04_Account_Mapping'!$A$6:$A$14,'04_Account_Mapping'!$D$6:$D$14,"Unmapped",0)</f>
        <v>Expense</v>
      </c>
    </row>
    <row r="441" spans="1:11">
      <c r="A441" s="16">
        <v>46023</v>
      </c>
      <c r="B441" s="13">
        <v>2026</v>
      </c>
      <c r="C441" s="13">
        <v>1</v>
      </c>
      <c r="D441" s="13" t="s">
        <v>67</v>
      </c>
      <c r="E441" s="13" t="s">
        <v>68</v>
      </c>
      <c r="F441" s="13" t="s">
        <v>61</v>
      </c>
      <c r="G441" s="19">
        <v>-100.67982512198557</v>
      </c>
      <c r="H441" s="13" t="s">
        <v>86</v>
      </c>
      <c r="I441" s="13" t="s">
        <v>87</v>
      </c>
      <c r="J441" s="21" t="str">
        <f>_xlfn.XLOOKUP(F441,'04_Account_Mapping'!$A$6:$A$14,'04_Account_Mapping'!$C$6:$C$14,"Unmapped",0)</f>
        <v>G&amp;A</v>
      </c>
      <c r="K441" s="21" t="str">
        <f>_xlfn.XLOOKUP(F441,'04_Account_Mapping'!$A$6:$A$14,'04_Account_Mapping'!$D$6:$D$14,"Unmapped",0)</f>
        <v>Expense</v>
      </c>
    </row>
    <row r="442" spans="1:11">
      <c r="A442" s="16">
        <v>46023</v>
      </c>
      <c r="B442" s="13">
        <v>2026</v>
      </c>
      <c r="C442" s="13">
        <v>1</v>
      </c>
      <c r="D442" s="13" t="s">
        <v>67</v>
      </c>
      <c r="E442" s="13" t="s">
        <v>68</v>
      </c>
      <c r="F442" s="13" t="s">
        <v>62</v>
      </c>
      <c r="G442" s="19">
        <v>69.434362153093502</v>
      </c>
      <c r="H442" s="13" t="s">
        <v>86</v>
      </c>
      <c r="I442" s="13" t="s">
        <v>87</v>
      </c>
      <c r="J442" s="21" t="str">
        <f>_xlfn.XLOOKUP(F442,'04_Account_Mapping'!$A$6:$A$14,'04_Account_Mapping'!$C$6:$C$14,"Unmapped",0)</f>
        <v>Finance Income</v>
      </c>
      <c r="K442" s="21" t="str">
        <f>_xlfn.XLOOKUP(F442,'04_Account_Mapping'!$A$6:$A$14,'04_Account_Mapping'!$D$6:$D$14,"Unmapped",0)</f>
        <v>Income</v>
      </c>
    </row>
    <row r="443" spans="1:11">
      <c r="A443" s="16">
        <v>46023</v>
      </c>
      <c r="B443" s="13">
        <v>2026</v>
      </c>
      <c r="C443" s="13">
        <v>1</v>
      </c>
      <c r="D443" s="13" t="s">
        <v>67</v>
      </c>
      <c r="E443" s="13" t="s">
        <v>68</v>
      </c>
      <c r="F443" s="13" t="s">
        <v>63</v>
      </c>
      <c r="G443" s="19">
        <v>-34.717181076546751</v>
      </c>
      <c r="H443" s="13" t="s">
        <v>86</v>
      </c>
      <c r="I443" s="13" t="s">
        <v>87</v>
      </c>
      <c r="J443" s="21" t="str">
        <f>_xlfn.XLOOKUP(F443,'04_Account_Mapping'!$A$6:$A$14,'04_Account_Mapping'!$C$6:$C$14,"Unmapped",0)</f>
        <v>Finance Expense</v>
      </c>
      <c r="K443" s="21" t="str">
        <f>_xlfn.XLOOKUP(F443,'04_Account_Mapping'!$A$6:$A$14,'04_Account_Mapping'!$D$6:$D$14,"Unmapped",0)</f>
        <v>Expense</v>
      </c>
    </row>
    <row r="444" spans="1:11">
      <c r="A444" s="16">
        <v>46023</v>
      </c>
      <c r="B444" s="13">
        <v>2026</v>
      </c>
      <c r="C444" s="13">
        <v>1</v>
      </c>
      <c r="D444" s="13" t="s">
        <v>67</v>
      </c>
      <c r="E444" s="13" t="s">
        <v>68</v>
      </c>
      <c r="F444" s="13" t="s">
        <v>64</v>
      </c>
      <c r="G444" s="19">
        <v>0.69434362153093498</v>
      </c>
      <c r="H444" s="13" t="s">
        <v>86</v>
      </c>
      <c r="I444" s="13" t="s">
        <v>87</v>
      </c>
      <c r="J444" s="21" t="str">
        <f>_xlfn.XLOOKUP(F444,'04_Account_Mapping'!$A$6:$A$14,'04_Account_Mapping'!$C$6:$C$14,"Unmapped",0)</f>
        <v>JV Profit/(Loss)</v>
      </c>
      <c r="K444" s="21" t="str">
        <f>_xlfn.XLOOKUP(F444,'04_Account_Mapping'!$A$6:$A$14,'04_Account_Mapping'!$D$6:$D$14,"Unmapped",0)</f>
        <v>Income</v>
      </c>
    </row>
    <row r="445" spans="1:11">
      <c r="A445" s="16">
        <v>46023</v>
      </c>
      <c r="B445" s="13">
        <v>2026</v>
      </c>
      <c r="C445" s="13">
        <v>1</v>
      </c>
      <c r="D445" s="13" t="s">
        <v>67</v>
      </c>
      <c r="E445" s="13" t="s">
        <v>68</v>
      </c>
      <c r="F445" s="13" t="s">
        <v>65</v>
      </c>
      <c r="G445" s="19">
        <v>0</v>
      </c>
      <c r="H445" s="13" t="s">
        <v>86</v>
      </c>
      <c r="I445" s="13" t="s">
        <v>87</v>
      </c>
      <c r="J445" s="21" t="str">
        <f>_xlfn.XLOOKUP(F445,'04_Account_Mapping'!$A$6:$A$14,'04_Account_Mapping'!$C$6:$C$14,"Unmapped",0)</f>
        <v>Other Net</v>
      </c>
      <c r="K445" s="21" t="str">
        <f>_xlfn.XLOOKUP(F445,'04_Account_Mapping'!$A$6:$A$14,'04_Account_Mapping'!$D$6:$D$14,"Unmapped",0)</f>
        <v>Income</v>
      </c>
    </row>
    <row r="446" spans="1:11">
      <c r="A446" s="16">
        <v>46023</v>
      </c>
      <c r="B446" s="13">
        <v>2026</v>
      </c>
      <c r="C446" s="13">
        <v>1</v>
      </c>
      <c r="D446" s="13" t="s">
        <v>67</v>
      </c>
      <c r="E446" s="13" t="s">
        <v>68</v>
      </c>
      <c r="F446" s="13" t="s">
        <v>66</v>
      </c>
      <c r="G446" s="19">
        <v>-43.161900797868931</v>
      </c>
      <c r="H446" s="13" t="s">
        <v>86</v>
      </c>
      <c r="I446" s="13" t="s">
        <v>87</v>
      </c>
      <c r="J446" s="21" t="str">
        <f>_xlfn.XLOOKUP(F446,'04_Account_Mapping'!$A$6:$A$14,'04_Account_Mapping'!$C$6:$C$14,"Unmapped",0)</f>
        <v>Tax Expense</v>
      </c>
      <c r="K446" s="21" t="str">
        <f>_xlfn.XLOOKUP(F446,'04_Account_Mapping'!$A$6:$A$14,'04_Account_Mapping'!$D$6:$D$14,"Unmapped",0)</f>
        <v>Expense</v>
      </c>
    </row>
    <row r="447" spans="1:11">
      <c r="A447" s="16">
        <v>46023</v>
      </c>
      <c r="B447" s="13">
        <v>2026</v>
      </c>
      <c r="C447" s="13">
        <v>1</v>
      </c>
      <c r="D447" s="13" t="s">
        <v>72</v>
      </c>
      <c r="E447" s="13" t="s">
        <v>68</v>
      </c>
      <c r="F447" s="13" t="s">
        <v>55</v>
      </c>
      <c r="G447" s="19">
        <v>6362.3955278357644</v>
      </c>
      <c r="H447" s="13" t="s">
        <v>86</v>
      </c>
      <c r="I447" s="13" t="s">
        <v>87</v>
      </c>
      <c r="J447" s="21" t="str">
        <f>_xlfn.XLOOKUP(F447,'04_Account_Mapping'!$A$6:$A$14,'04_Account_Mapping'!$C$6:$C$14,"Unmapped",0)</f>
        <v>Revenue</v>
      </c>
      <c r="K447" s="21" t="str">
        <f>_xlfn.XLOOKUP(F447,'04_Account_Mapping'!$A$6:$A$14,'04_Account_Mapping'!$D$6:$D$14,"Unmapped",0)</f>
        <v>Income</v>
      </c>
    </row>
    <row r="448" spans="1:11">
      <c r="A448" s="16">
        <v>46023</v>
      </c>
      <c r="B448" s="13">
        <v>2026</v>
      </c>
      <c r="C448" s="13">
        <v>1</v>
      </c>
      <c r="D448" s="13" t="s">
        <v>72</v>
      </c>
      <c r="E448" s="13" t="s">
        <v>68</v>
      </c>
      <c r="F448" s="13" t="s">
        <v>58</v>
      </c>
      <c r="G448" s="19">
        <v>-5071.0699749753467</v>
      </c>
      <c r="H448" s="13" t="s">
        <v>86</v>
      </c>
      <c r="I448" s="13" t="s">
        <v>87</v>
      </c>
      <c r="J448" s="21" t="str">
        <f>_xlfn.XLOOKUP(F448,'04_Account_Mapping'!$A$6:$A$14,'04_Account_Mapping'!$C$6:$C$14,"Unmapped",0)</f>
        <v>COGS</v>
      </c>
      <c r="K448" s="21" t="str">
        <f>_xlfn.XLOOKUP(F448,'04_Account_Mapping'!$A$6:$A$14,'04_Account_Mapping'!$D$6:$D$14,"Unmapped",0)</f>
        <v>Expense</v>
      </c>
    </row>
    <row r="449" spans="1:11">
      <c r="A449" s="16">
        <v>46023</v>
      </c>
      <c r="B449" s="13">
        <v>2026</v>
      </c>
      <c r="C449" s="13">
        <v>1</v>
      </c>
      <c r="D449" s="13" t="s">
        <v>72</v>
      </c>
      <c r="E449" s="13" t="s">
        <v>68</v>
      </c>
      <c r="F449" s="13" t="s">
        <v>60</v>
      </c>
      <c r="G449" s="19">
        <v>-776.21225439596321</v>
      </c>
      <c r="H449" s="13" t="s">
        <v>86</v>
      </c>
      <c r="I449" s="13" t="s">
        <v>87</v>
      </c>
      <c r="J449" s="21" t="str">
        <f>_xlfn.XLOOKUP(F449,'04_Account_Mapping'!$A$6:$A$14,'04_Account_Mapping'!$C$6:$C$14,"Unmapped",0)</f>
        <v>Selling Expense</v>
      </c>
      <c r="K449" s="21" t="str">
        <f>_xlfn.XLOOKUP(F449,'04_Account_Mapping'!$A$6:$A$14,'04_Account_Mapping'!$D$6:$D$14,"Unmapped",0)</f>
        <v>Expense</v>
      </c>
    </row>
    <row r="450" spans="1:11">
      <c r="A450" s="16">
        <v>46023</v>
      </c>
      <c r="B450" s="13">
        <v>2026</v>
      </c>
      <c r="C450" s="13">
        <v>1</v>
      </c>
      <c r="D450" s="13" t="s">
        <v>72</v>
      </c>
      <c r="E450" s="13" t="s">
        <v>68</v>
      </c>
      <c r="F450" s="13" t="s">
        <v>61</v>
      </c>
      <c r="G450" s="19">
        <v>-184.50947030723717</v>
      </c>
      <c r="H450" s="13" t="s">
        <v>86</v>
      </c>
      <c r="I450" s="13" t="s">
        <v>87</v>
      </c>
      <c r="J450" s="21" t="str">
        <f>_xlfn.XLOOKUP(F450,'04_Account_Mapping'!$A$6:$A$14,'04_Account_Mapping'!$C$6:$C$14,"Unmapped",0)</f>
        <v>G&amp;A</v>
      </c>
      <c r="K450" s="21" t="str">
        <f>_xlfn.XLOOKUP(F450,'04_Account_Mapping'!$A$6:$A$14,'04_Account_Mapping'!$D$6:$D$14,"Unmapped",0)</f>
        <v>Expense</v>
      </c>
    </row>
    <row r="451" spans="1:11">
      <c r="A451" s="16">
        <v>46023</v>
      </c>
      <c r="B451" s="13">
        <v>2026</v>
      </c>
      <c r="C451" s="13">
        <v>1</v>
      </c>
      <c r="D451" s="13" t="s">
        <v>72</v>
      </c>
      <c r="E451" s="13" t="s">
        <v>68</v>
      </c>
      <c r="F451" s="13" t="s">
        <v>62</v>
      </c>
      <c r="G451" s="19">
        <v>127.24791055671528</v>
      </c>
      <c r="H451" s="13" t="s">
        <v>86</v>
      </c>
      <c r="I451" s="13" t="s">
        <v>87</v>
      </c>
      <c r="J451" s="21" t="str">
        <f>_xlfn.XLOOKUP(F451,'04_Account_Mapping'!$A$6:$A$14,'04_Account_Mapping'!$C$6:$C$14,"Unmapped",0)</f>
        <v>Finance Income</v>
      </c>
      <c r="K451" s="21" t="str">
        <f>_xlfn.XLOOKUP(F451,'04_Account_Mapping'!$A$6:$A$14,'04_Account_Mapping'!$D$6:$D$14,"Unmapped",0)</f>
        <v>Income</v>
      </c>
    </row>
    <row r="452" spans="1:11">
      <c r="A452" s="16">
        <v>46023</v>
      </c>
      <c r="B452" s="13">
        <v>2026</v>
      </c>
      <c r="C452" s="13">
        <v>1</v>
      </c>
      <c r="D452" s="13" t="s">
        <v>72</v>
      </c>
      <c r="E452" s="13" t="s">
        <v>68</v>
      </c>
      <c r="F452" s="13" t="s">
        <v>63</v>
      </c>
      <c r="G452" s="19">
        <v>-63.623955278357641</v>
      </c>
      <c r="H452" s="13" t="s">
        <v>86</v>
      </c>
      <c r="I452" s="13" t="s">
        <v>87</v>
      </c>
      <c r="J452" s="21" t="str">
        <f>_xlfn.XLOOKUP(F452,'04_Account_Mapping'!$A$6:$A$14,'04_Account_Mapping'!$C$6:$C$14,"Unmapped",0)</f>
        <v>Finance Expense</v>
      </c>
      <c r="K452" s="21" t="str">
        <f>_xlfn.XLOOKUP(F452,'04_Account_Mapping'!$A$6:$A$14,'04_Account_Mapping'!$D$6:$D$14,"Unmapped",0)</f>
        <v>Expense</v>
      </c>
    </row>
    <row r="453" spans="1:11">
      <c r="A453" s="16">
        <v>46023</v>
      </c>
      <c r="B453" s="13">
        <v>2026</v>
      </c>
      <c r="C453" s="13">
        <v>1</v>
      </c>
      <c r="D453" s="13" t="s">
        <v>72</v>
      </c>
      <c r="E453" s="13" t="s">
        <v>68</v>
      </c>
      <c r="F453" s="13" t="s">
        <v>64</v>
      </c>
      <c r="G453" s="19">
        <v>1.2724791055671529</v>
      </c>
      <c r="H453" s="13" t="s">
        <v>86</v>
      </c>
      <c r="I453" s="13" t="s">
        <v>87</v>
      </c>
      <c r="J453" s="21" t="str">
        <f>_xlfn.XLOOKUP(F453,'04_Account_Mapping'!$A$6:$A$14,'04_Account_Mapping'!$C$6:$C$14,"Unmapped",0)</f>
        <v>JV Profit/(Loss)</v>
      </c>
      <c r="K453" s="21" t="str">
        <f>_xlfn.XLOOKUP(F453,'04_Account_Mapping'!$A$6:$A$14,'04_Account_Mapping'!$D$6:$D$14,"Unmapped",0)</f>
        <v>Income</v>
      </c>
    </row>
    <row r="454" spans="1:11">
      <c r="A454" s="16">
        <v>46023</v>
      </c>
      <c r="B454" s="13">
        <v>2026</v>
      </c>
      <c r="C454" s="13">
        <v>1</v>
      </c>
      <c r="D454" s="13" t="s">
        <v>72</v>
      </c>
      <c r="E454" s="13" t="s">
        <v>68</v>
      </c>
      <c r="F454" s="13" t="s">
        <v>65</v>
      </c>
      <c r="G454" s="19">
        <v>0</v>
      </c>
      <c r="H454" s="13" t="s">
        <v>86</v>
      </c>
      <c r="I454" s="13" t="s">
        <v>87</v>
      </c>
      <c r="J454" s="21" t="str">
        <f>_xlfn.XLOOKUP(F454,'04_Account_Mapping'!$A$6:$A$14,'04_Account_Mapping'!$C$6:$C$14,"Unmapped",0)</f>
        <v>Other Net</v>
      </c>
      <c r="K454" s="21" t="str">
        <f>_xlfn.XLOOKUP(F454,'04_Account_Mapping'!$A$6:$A$14,'04_Account_Mapping'!$D$6:$D$14,"Unmapped",0)</f>
        <v>Income</v>
      </c>
    </row>
    <row r="455" spans="1:11">
      <c r="A455" s="16">
        <v>46023</v>
      </c>
      <c r="B455" s="13">
        <v>2026</v>
      </c>
      <c r="C455" s="13">
        <v>1</v>
      </c>
      <c r="D455" s="13" t="s">
        <v>72</v>
      </c>
      <c r="E455" s="13" t="s">
        <v>68</v>
      </c>
      <c r="F455" s="13" t="s">
        <v>66</v>
      </c>
      <c r="G455" s="19">
        <v>-79.10005250822843</v>
      </c>
      <c r="H455" s="13" t="s">
        <v>86</v>
      </c>
      <c r="I455" s="13" t="s">
        <v>87</v>
      </c>
      <c r="J455" s="21" t="str">
        <f>_xlfn.XLOOKUP(F455,'04_Account_Mapping'!$A$6:$A$14,'04_Account_Mapping'!$C$6:$C$14,"Unmapped",0)</f>
        <v>Tax Expense</v>
      </c>
      <c r="K455" s="21" t="str">
        <f>_xlfn.XLOOKUP(F455,'04_Account_Mapping'!$A$6:$A$14,'04_Account_Mapping'!$D$6:$D$14,"Unmapped",0)</f>
        <v>Expense</v>
      </c>
    </row>
    <row r="456" spans="1:11">
      <c r="A456" s="16">
        <v>46023</v>
      </c>
      <c r="B456" s="13">
        <v>2026</v>
      </c>
      <c r="C456" s="13">
        <v>1</v>
      </c>
      <c r="D456" s="13" t="s">
        <v>73</v>
      </c>
      <c r="E456" s="13" t="s">
        <v>74</v>
      </c>
      <c r="F456" s="13" t="s">
        <v>55</v>
      </c>
      <c r="G456" s="19">
        <v>4357.8051560518934</v>
      </c>
      <c r="H456" s="13" t="s">
        <v>86</v>
      </c>
      <c r="I456" s="13" t="s">
        <v>87</v>
      </c>
      <c r="J456" s="21" t="str">
        <f>_xlfn.XLOOKUP(F456,'04_Account_Mapping'!$A$6:$A$14,'04_Account_Mapping'!$C$6:$C$14,"Unmapped",0)</f>
        <v>Revenue</v>
      </c>
      <c r="K456" s="21" t="str">
        <f>_xlfn.XLOOKUP(F456,'04_Account_Mapping'!$A$6:$A$14,'04_Account_Mapping'!$D$6:$D$14,"Unmapped",0)</f>
        <v>Income</v>
      </c>
    </row>
    <row r="457" spans="1:11">
      <c r="A457" s="16">
        <v>46023</v>
      </c>
      <c r="B457" s="13">
        <v>2026</v>
      </c>
      <c r="C457" s="13">
        <v>1</v>
      </c>
      <c r="D457" s="13" t="s">
        <v>73</v>
      </c>
      <c r="E457" s="13" t="s">
        <v>74</v>
      </c>
      <c r="F457" s="13" t="s">
        <v>58</v>
      </c>
      <c r="G457" s="19">
        <v>-3473.3355992981824</v>
      </c>
      <c r="H457" s="13" t="s">
        <v>86</v>
      </c>
      <c r="I457" s="13" t="s">
        <v>87</v>
      </c>
      <c r="J457" s="21" t="str">
        <f>_xlfn.XLOOKUP(F457,'04_Account_Mapping'!$A$6:$A$14,'04_Account_Mapping'!$C$6:$C$14,"Unmapped",0)</f>
        <v>COGS</v>
      </c>
      <c r="K457" s="21" t="str">
        <f>_xlfn.XLOOKUP(F457,'04_Account_Mapping'!$A$6:$A$14,'04_Account_Mapping'!$D$6:$D$14,"Unmapped",0)</f>
        <v>Expense</v>
      </c>
    </row>
    <row r="458" spans="1:11">
      <c r="A458" s="16">
        <v>46023</v>
      </c>
      <c r="B458" s="13">
        <v>2026</v>
      </c>
      <c r="C458" s="13">
        <v>1</v>
      </c>
      <c r="D458" s="13" t="s">
        <v>73</v>
      </c>
      <c r="E458" s="13" t="s">
        <v>74</v>
      </c>
      <c r="F458" s="13" t="s">
        <v>60</v>
      </c>
      <c r="G458" s="19">
        <v>-531.65222903833103</v>
      </c>
      <c r="H458" s="13" t="s">
        <v>86</v>
      </c>
      <c r="I458" s="13" t="s">
        <v>87</v>
      </c>
      <c r="J458" s="21" t="str">
        <f>_xlfn.XLOOKUP(F458,'04_Account_Mapping'!$A$6:$A$14,'04_Account_Mapping'!$C$6:$C$14,"Unmapped",0)</f>
        <v>Selling Expense</v>
      </c>
      <c r="K458" s="21" t="str">
        <f>_xlfn.XLOOKUP(F458,'04_Account_Mapping'!$A$6:$A$14,'04_Account_Mapping'!$D$6:$D$14,"Unmapped",0)</f>
        <v>Expense</v>
      </c>
    </row>
    <row r="459" spans="1:11">
      <c r="A459" s="16">
        <v>46023</v>
      </c>
      <c r="B459" s="13">
        <v>2026</v>
      </c>
      <c r="C459" s="13">
        <v>1</v>
      </c>
      <c r="D459" s="13" t="s">
        <v>73</v>
      </c>
      <c r="E459" s="13" t="s">
        <v>74</v>
      </c>
      <c r="F459" s="13" t="s">
        <v>61</v>
      </c>
      <c r="G459" s="19">
        <v>-126.37634952550491</v>
      </c>
      <c r="H459" s="13" t="s">
        <v>86</v>
      </c>
      <c r="I459" s="13" t="s">
        <v>87</v>
      </c>
      <c r="J459" s="21" t="str">
        <f>_xlfn.XLOOKUP(F459,'04_Account_Mapping'!$A$6:$A$14,'04_Account_Mapping'!$C$6:$C$14,"Unmapped",0)</f>
        <v>G&amp;A</v>
      </c>
      <c r="K459" s="21" t="str">
        <f>_xlfn.XLOOKUP(F459,'04_Account_Mapping'!$A$6:$A$14,'04_Account_Mapping'!$D$6:$D$14,"Unmapped",0)</f>
        <v>Expense</v>
      </c>
    </row>
    <row r="460" spans="1:11">
      <c r="A460" s="16">
        <v>46023</v>
      </c>
      <c r="B460" s="13">
        <v>2026</v>
      </c>
      <c r="C460" s="13">
        <v>1</v>
      </c>
      <c r="D460" s="13" t="s">
        <v>73</v>
      </c>
      <c r="E460" s="13" t="s">
        <v>74</v>
      </c>
      <c r="F460" s="13" t="s">
        <v>62</v>
      </c>
      <c r="G460" s="19">
        <v>87.156103121037873</v>
      </c>
      <c r="H460" s="13" t="s">
        <v>86</v>
      </c>
      <c r="I460" s="13" t="s">
        <v>87</v>
      </c>
      <c r="J460" s="21" t="str">
        <f>_xlfn.XLOOKUP(F460,'04_Account_Mapping'!$A$6:$A$14,'04_Account_Mapping'!$C$6:$C$14,"Unmapped",0)</f>
        <v>Finance Income</v>
      </c>
      <c r="K460" s="21" t="str">
        <f>_xlfn.XLOOKUP(F460,'04_Account_Mapping'!$A$6:$A$14,'04_Account_Mapping'!$D$6:$D$14,"Unmapped",0)</f>
        <v>Income</v>
      </c>
    </row>
    <row r="461" spans="1:11">
      <c r="A461" s="16">
        <v>46023</v>
      </c>
      <c r="B461" s="13">
        <v>2026</v>
      </c>
      <c r="C461" s="13">
        <v>1</v>
      </c>
      <c r="D461" s="13" t="s">
        <v>73</v>
      </c>
      <c r="E461" s="13" t="s">
        <v>74</v>
      </c>
      <c r="F461" s="13" t="s">
        <v>63</v>
      </c>
      <c r="G461" s="19">
        <v>-43.578051560518936</v>
      </c>
      <c r="H461" s="13" t="s">
        <v>86</v>
      </c>
      <c r="I461" s="13" t="s">
        <v>87</v>
      </c>
      <c r="J461" s="21" t="str">
        <f>_xlfn.XLOOKUP(F461,'04_Account_Mapping'!$A$6:$A$14,'04_Account_Mapping'!$C$6:$C$14,"Unmapped",0)</f>
        <v>Finance Expense</v>
      </c>
      <c r="K461" s="21" t="str">
        <f>_xlfn.XLOOKUP(F461,'04_Account_Mapping'!$A$6:$A$14,'04_Account_Mapping'!$D$6:$D$14,"Unmapped",0)</f>
        <v>Expense</v>
      </c>
    </row>
    <row r="462" spans="1:11">
      <c r="A462" s="16">
        <v>46023</v>
      </c>
      <c r="B462" s="13">
        <v>2026</v>
      </c>
      <c r="C462" s="13">
        <v>1</v>
      </c>
      <c r="D462" s="13" t="s">
        <v>73</v>
      </c>
      <c r="E462" s="13" t="s">
        <v>74</v>
      </c>
      <c r="F462" s="13" t="s">
        <v>64</v>
      </c>
      <c r="G462" s="19">
        <v>0.87156103121037865</v>
      </c>
      <c r="H462" s="13" t="s">
        <v>86</v>
      </c>
      <c r="I462" s="13" t="s">
        <v>87</v>
      </c>
      <c r="J462" s="21" t="str">
        <f>_xlfn.XLOOKUP(F462,'04_Account_Mapping'!$A$6:$A$14,'04_Account_Mapping'!$C$6:$C$14,"Unmapped",0)</f>
        <v>JV Profit/(Loss)</v>
      </c>
      <c r="K462" s="21" t="str">
        <f>_xlfn.XLOOKUP(F462,'04_Account_Mapping'!$A$6:$A$14,'04_Account_Mapping'!$D$6:$D$14,"Unmapped",0)</f>
        <v>Income</v>
      </c>
    </row>
    <row r="463" spans="1:11">
      <c r="A463" s="16">
        <v>46023</v>
      </c>
      <c r="B463" s="13">
        <v>2026</v>
      </c>
      <c r="C463" s="13">
        <v>1</v>
      </c>
      <c r="D463" s="13" t="s">
        <v>73</v>
      </c>
      <c r="E463" s="13" t="s">
        <v>74</v>
      </c>
      <c r="F463" s="13" t="s">
        <v>65</v>
      </c>
      <c r="G463" s="19">
        <v>0</v>
      </c>
      <c r="H463" s="13" t="s">
        <v>86</v>
      </c>
      <c r="I463" s="13" t="s">
        <v>87</v>
      </c>
      <c r="J463" s="21" t="str">
        <f>_xlfn.XLOOKUP(F463,'04_Account_Mapping'!$A$6:$A$14,'04_Account_Mapping'!$C$6:$C$14,"Unmapped",0)</f>
        <v>Other Net</v>
      </c>
      <c r="K463" s="21" t="str">
        <f>_xlfn.XLOOKUP(F463,'04_Account_Mapping'!$A$6:$A$14,'04_Account_Mapping'!$D$6:$D$14,"Unmapped",0)</f>
        <v>Income</v>
      </c>
    </row>
    <row r="464" spans="1:11">
      <c r="A464" s="16">
        <v>46023</v>
      </c>
      <c r="B464" s="13">
        <v>2026</v>
      </c>
      <c r="C464" s="13">
        <v>1</v>
      </c>
      <c r="D464" s="13" t="s">
        <v>73</v>
      </c>
      <c r="E464" s="13" t="s">
        <v>74</v>
      </c>
      <c r="F464" s="13" t="s">
        <v>66</v>
      </c>
      <c r="G464" s="19">
        <v>-54.178118156320835</v>
      </c>
      <c r="H464" s="13" t="s">
        <v>86</v>
      </c>
      <c r="I464" s="13" t="s">
        <v>87</v>
      </c>
      <c r="J464" s="21" t="str">
        <f>_xlfn.XLOOKUP(F464,'04_Account_Mapping'!$A$6:$A$14,'04_Account_Mapping'!$C$6:$C$14,"Unmapped",0)</f>
        <v>Tax Expense</v>
      </c>
      <c r="K464" s="21" t="str">
        <f>_xlfn.XLOOKUP(F464,'04_Account_Mapping'!$A$6:$A$14,'04_Account_Mapping'!$D$6:$D$14,"Unmapped",0)</f>
        <v>Expense</v>
      </c>
    </row>
    <row r="465" spans="1:11">
      <c r="A465" s="16">
        <v>46023</v>
      </c>
      <c r="B465" s="13">
        <v>2026</v>
      </c>
      <c r="C465" s="13">
        <v>1</v>
      </c>
      <c r="D465" s="13" t="s">
        <v>75</v>
      </c>
      <c r="E465" s="13" t="s">
        <v>76</v>
      </c>
      <c r="F465" s="13" t="s">
        <v>55</v>
      </c>
      <c r="G465" s="19">
        <v>334.09839529731181</v>
      </c>
      <c r="H465" s="13" t="s">
        <v>86</v>
      </c>
      <c r="I465" s="13" t="s">
        <v>87</v>
      </c>
      <c r="J465" s="21" t="str">
        <f>_xlfn.XLOOKUP(F465,'04_Account_Mapping'!$A$6:$A$14,'04_Account_Mapping'!$C$6:$C$14,"Unmapped",0)</f>
        <v>Revenue</v>
      </c>
      <c r="K465" s="21" t="str">
        <f>_xlfn.XLOOKUP(F465,'04_Account_Mapping'!$A$6:$A$14,'04_Account_Mapping'!$D$6:$D$14,"Unmapped",0)</f>
        <v>Income</v>
      </c>
    </row>
    <row r="466" spans="1:11">
      <c r="A466" s="16">
        <v>46023</v>
      </c>
      <c r="B466" s="13">
        <v>2026</v>
      </c>
      <c r="C466" s="13">
        <v>1</v>
      </c>
      <c r="D466" s="13" t="s">
        <v>75</v>
      </c>
      <c r="E466" s="13" t="s">
        <v>76</v>
      </c>
      <c r="F466" s="13" t="s">
        <v>58</v>
      </c>
      <c r="G466" s="19">
        <v>-266.28906261286068</v>
      </c>
      <c r="H466" s="13" t="s">
        <v>86</v>
      </c>
      <c r="I466" s="13" t="s">
        <v>87</v>
      </c>
      <c r="J466" s="21" t="str">
        <f>_xlfn.XLOOKUP(F466,'04_Account_Mapping'!$A$6:$A$14,'04_Account_Mapping'!$C$6:$C$14,"Unmapped",0)</f>
        <v>COGS</v>
      </c>
      <c r="K466" s="21" t="str">
        <f>_xlfn.XLOOKUP(F466,'04_Account_Mapping'!$A$6:$A$14,'04_Account_Mapping'!$D$6:$D$14,"Unmapped",0)</f>
        <v>Expense</v>
      </c>
    </row>
    <row r="467" spans="1:11">
      <c r="A467" s="16">
        <v>46023</v>
      </c>
      <c r="B467" s="13">
        <v>2026</v>
      </c>
      <c r="C467" s="13">
        <v>1</v>
      </c>
      <c r="D467" s="13" t="s">
        <v>75</v>
      </c>
      <c r="E467" s="13" t="s">
        <v>76</v>
      </c>
      <c r="F467" s="13" t="s">
        <v>60</v>
      </c>
      <c r="G467" s="19">
        <v>-40.760004226272045</v>
      </c>
      <c r="H467" s="13" t="s">
        <v>86</v>
      </c>
      <c r="I467" s="13" t="s">
        <v>87</v>
      </c>
      <c r="J467" s="21" t="str">
        <f>_xlfn.XLOOKUP(F467,'04_Account_Mapping'!$A$6:$A$14,'04_Account_Mapping'!$C$6:$C$14,"Unmapped",0)</f>
        <v>Selling Expense</v>
      </c>
      <c r="K467" s="21" t="str">
        <f>_xlfn.XLOOKUP(F467,'04_Account_Mapping'!$A$6:$A$14,'04_Account_Mapping'!$D$6:$D$14,"Unmapped",0)</f>
        <v>Expense</v>
      </c>
    </row>
    <row r="468" spans="1:11">
      <c r="A468" s="16">
        <v>46023</v>
      </c>
      <c r="B468" s="13">
        <v>2026</v>
      </c>
      <c r="C468" s="13">
        <v>1</v>
      </c>
      <c r="D468" s="13" t="s">
        <v>75</v>
      </c>
      <c r="E468" s="13" t="s">
        <v>76</v>
      </c>
      <c r="F468" s="13" t="s">
        <v>61</v>
      </c>
      <c r="G468" s="19">
        <v>-9.688853463622042</v>
      </c>
      <c r="H468" s="13" t="s">
        <v>86</v>
      </c>
      <c r="I468" s="13" t="s">
        <v>87</v>
      </c>
      <c r="J468" s="21" t="str">
        <f>_xlfn.XLOOKUP(F468,'04_Account_Mapping'!$A$6:$A$14,'04_Account_Mapping'!$C$6:$C$14,"Unmapped",0)</f>
        <v>G&amp;A</v>
      </c>
      <c r="K468" s="21" t="str">
        <f>_xlfn.XLOOKUP(F468,'04_Account_Mapping'!$A$6:$A$14,'04_Account_Mapping'!$D$6:$D$14,"Unmapped",0)</f>
        <v>Expense</v>
      </c>
    </row>
    <row r="469" spans="1:11">
      <c r="A469" s="16">
        <v>46023</v>
      </c>
      <c r="B469" s="13">
        <v>2026</v>
      </c>
      <c r="C469" s="13">
        <v>1</v>
      </c>
      <c r="D469" s="13" t="s">
        <v>75</v>
      </c>
      <c r="E469" s="13" t="s">
        <v>76</v>
      </c>
      <c r="F469" s="13" t="s">
        <v>62</v>
      </c>
      <c r="G469" s="19">
        <v>6.6819679059462365</v>
      </c>
      <c r="H469" s="13" t="s">
        <v>86</v>
      </c>
      <c r="I469" s="13" t="s">
        <v>87</v>
      </c>
      <c r="J469" s="21" t="str">
        <f>_xlfn.XLOOKUP(F469,'04_Account_Mapping'!$A$6:$A$14,'04_Account_Mapping'!$C$6:$C$14,"Unmapped",0)</f>
        <v>Finance Income</v>
      </c>
      <c r="K469" s="21" t="str">
        <f>_xlfn.XLOOKUP(F469,'04_Account_Mapping'!$A$6:$A$14,'04_Account_Mapping'!$D$6:$D$14,"Unmapped",0)</f>
        <v>Income</v>
      </c>
    </row>
    <row r="470" spans="1:11">
      <c r="A470" s="16">
        <v>46023</v>
      </c>
      <c r="B470" s="13">
        <v>2026</v>
      </c>
      <c r="C470" s="13">
        <v>1</v>
      </c>
      <c r="D470" s="13" t="s">
        <v>75</v>
      </c>
      <c r="E470" s="13" t="s">
        <v>76</v>
      </c>
      <c r="F470" s="13" t="s">
        <v>63</v>
      </c>
      <c r="G470" s="19">
        <v>-3.3409839529731182</v>
      </c>
      <c r="H470" s="13" t="s">
        <v>86</v>
      </c>
      <c r="I470" s="13" t="s">
        <v>87</v>
      </c>
      <c r="J470" s="21" t="str">
        <f>_xlfn.XLOOKUP(F470,'04_Account_Mapping'!$A$6:$A$14,'04_Account_Mapping'!$C$6:$C$14,"Unmapped",0)</f>
        <v>Finance Expense</v>
      </c>
      <c r="K470" s="21" t="str">
        <f>_xlfn.XLOOKUP(F470,'04_Account_Mapping'!$A$6:$A$14,'04_Account_Mapping'!$D$6:$D$14,"Unmapped",0)</f>
        <v>Expense</v>
      </c>
    </row>
    <row r="471" spans="1:11">
      <c r="A471" s="16">
        <v>46023</v>
      </c>
      <c r="B471" s="13">
        <v>2026</v>
      </c>
      <c r="C471" s="13">
        <v>1</v>
      </c>
      <c r="D471" s="13" t="s">
        <v>75</v>
      </c>
      <c r="E471" s="13" t="s">
        <v>76</v>
      </c>
      <c r="F471" s="13" t="s">
        <v>64</v>
      </c>
      <c r="G471" s="19">
        <v>6.6819679059462359E-2</v>
      </c>
      <c r="H471" s="13" t="s">
        <v>86</v>
      </c>
      <c r="I471" s="13" t="s">
        <v>87</v>
      </c>
      <c r="J471" s="21" t="str">
        <f>_xlfn.XLOOKUP(F471,'04_Account_Mapping'!$A$6:$A$14,'04_Account_Mapping'!$C$6:$C$14,"Unmapped",0)</f>
        <v>JV Profit/(Loss)</v>
      </c>
      <c r="K471" s="21" t="str">
        <f>_xlfn.XLOOKUP(F471,'04_Account_Mapping'!$A$6:$A$14,'04_Account_Mapping'!$D$6:$D$14,"Unmapped",0)</f>
        <v>Income</v>
      </c>
    </row>
    <row r="472" spans="1:11">
      <c r="A472" s="16">
        <v>46023</v>
      </c>
      <c r="B472" s="13">
        <v>2026</v>
      </c>
      <c r="C472" s="13">
        <v>1</v>
      </c>
      <c r="D472" s="13" t="s">
        <v>75</v>
      </c>
      <c r="E472" s="13" t="s">
        <v>76</v>
      </c>
      <c r="F472" s="13" t="s">
        <v>65</v>
      </c>
      <c r="G472" s="19">
        <v>0</v>
      </c>
      <c r="H472" s="13" t="s">
        <v>86</v>
      </c>
      <c r="I472" s="13" t="s">
        <v>87</v>
      </c>
      <c r="J472" s="21" t="str">
        <f>_xlfn.XLOOKUP(F472,'04_Account_Mapping'!$A$6:$A$14,'04_Account_Mapping'!$C$6:$C$14,"Unmapped",0)</f>
        <v>Other Net</v>
      </c>
      <c r="K472" s="21" t="str">
        <f>_xlfn.XLOOKUP(F472,'04_Account_Mapping'!$A$6:$A$14,'04_Account_Mapping'!$D$6:$D$14,"Unmapped",0)</f>
        <v>Income</v>
      </c>
    </row>
    <row r="473" spans="1:11">
      <c r="A473" s="16">
        <v>46023</v>
      </c>
      <c r="B473" s="13">
        <v>2026</v>
      </c>
      <c r="C473" s="13">
        <v>1</v>
      </c>
      <c r="D473" s="13" t="s">
        <v>75</v>
      </c>
      <c r="E473" s="13" t="s">
        <v>76</v>
      </c>
      <c r="F473" s="13" t="s">
        <v>66</v>
      </c>
      <c r="G473" s="19">
        <v>-4.1536557253179307</v>
      </c>
      <c r="H473" s="13" t="s">
        <v>86</v>
      </c>
      <c r="I473" s="13" t="s">
        <v>87</v>
      </c>
      <c r="J473" s="21" t="str">
        <f>_xlfn.XLOOKUP(F473,'04_Account_Mapping'!$A$6:$A$14,'04_Account_Mapping'!$C$6:$C$14,"Unmapped",0)</f>
        <v>Tax Expense</v>
      </c>
      <c r="K473" s="21" t="str">
        <f>_xlfn.XLOOKUP(F473,'04_Account_Mapping'!$A$6:$A$14,'04_Account_Mapping'!$D$6:$D$14,"Unmapped",0)</f>
        <v>Expense</v>
      </c>
    </row>
    <row r="474" spans="1:11">
      <c r="A474" s="16">
        <v>46054</v>
      </c>
      <c r="B474" s="13">
        <v>2026</v>
      </c>
      <c r="C474" s="13">
        <v>2</v>
      </c>
      <c r="D474" s="13" t="s">
        <v>67</v>
      </c>
      <c r="E474" s="13" t="s">
        <v>68</v>
      </c>
      <c r="F474" s="13" t="s">
        <v>55</v>
      </c>
      <c r="G474" s="19">
        <v>3471.7181076546749</v>
      </c>
      <c r="H474" s="13" t="s">
        <v>86</v>
      </c>
      <c r="I474" s="13" t="s">
        <v>87</v>
      </c>
      <c r="J474" s="21" t="str">
        <f>_xlfn.XLOOKUP(F474,'04_Account_Mapping'!$A$6:$A$14,'04_Account_Mapping'!$C$6:$C$14,"Unmapped",0)</f>
        <v>Revenue</v>
      </c>
      <c r="K474" s="21" t="str">
        <f>_xlfn.XLOOKUP(F474,'04_Account_Mapping'!$A$6:$A$14,'04_Account_Mapping'!$D$6:$D$14,"Unmapped",0)</f>
        <v>Income</v>
      </c>
    </row>
    <row r="475" spans="1:11">
      <c r="A475" s="16">
        <v>46054</v>
      </c>
      <c r="B475" s="13">
        <v>2026</v>
      </c>
      <c r="C475" s="13">
        <v>2</v>
      </c>
      <c r="D475" s="13" t="s">
        <v>67</v>
      </c>
      <c r="E475" s="13" t="s">
        <v>68</v>
      </c>
      <c r="F475" s="13" t="s">
        <v>58</v>
      </c>
      <c r="G475" s="19">
        <v>-2767.0906941075518</v>
      </c>
      <c r="H475" s="13" t="s">
        <v>86</v>
      </c>
      <c r="I475" s="13" t="s">
        <v>87</v>
      </c>
      <c r="J475" s="21" t="str">
        <f>_xlfn.XLOOKUP(F475,'04_Account_Mapping'!$A$6:$A$14,'04_Account_Mapping'!$C$6:$C$14,"Unmapped",0)</f>
        <v>COGS</v>
      </c>
      <c r="K475" s="21" t="str">
        <f>_xlfn.XLOOKUP(F475,'04_Account_Mapping'!$A$6:$A$14,'04_Account_Mapping'!$D$6:$D$14,"Unmapped",0)</f>
        <v>Expense</v>
      </c>
    </row>
    <row r="476" spans="1:11">
      <c r="A476" s="16">
        <v>46054</v>
      </c>
      <c r="B476" s="13">
        <v>2026</v>
      </c>
      <c r="C476" s="13">
        <v>2</v>
      </c>
      <c r="D476" s="13" t="s">
        <v>67</v>
      </c>
      <c r="E476" s="13" t="s">
        <v>68</v>
      </c>
      <c r="F476" s="13" t="s">
        <v>60</v>
      </c>
      <c r="G476" s="19">
        <v>-423.54960913387032</v>
      </c>
      <c r="H476" s="13" t="s">
        <v>86</v>
      </c>
      <c r="I476" s="13" t="s">
        <v>87</v>
      </c>
      <c r="J476" s="21" t="str">
        <f>_xlfn.XLOOKUP(F476,'04_Account_Mapping'!$A$6:$A$14,'04_Account_Mapping'!$C$6:$C$14,"Unmapped",0)</f>
        <v>Selling Expense</v>
      </c>
      <c r="K476" s="21" t="str">
        <f>_xlfn.XLOOKUP(F476,'04_Account_Mapping'!$A$6:$A$14,'04_Account_Mapping'!$D$6:$D$14,"Unmapped",0)</f>
        <v>Expense</v>
      </c>
    </row>
    <row r="477" spans="1:11">
      <c r="A477" s="16">
        <v>46054</v>
      </c>
      <c r="B477" s="13">
        <v>2026</v>
      </c>
      <c r="C477" s="13">
        <v>2</v>
      </c>
      <c r="D477" s="13" t="s">
        <v>67</v>
      </c>
      <c r="E477" s="13" t="s">
        <v>68</v>
      </c>
      <c r="F477" s="13" t="s">
        <v>61</v>
      </c>
      <c r="G477" s="19">
        <v>-100.67982512198557</v>
      </c>
      <c r="H477" s="13" t="s">
        <v>86</v>
      </c>
      <c r="I477" s="13" t="s">
        <v>87</v>
      </c>
      <c r="J477" s="21" t="str">
        <f>_xlfn.XLOOKUP(F477,'04_Account_Mapping'!$A$6:$A$14,'04_Account_Mapping'!$C$6:$C$14,"Unmapped",0)</f>
        <v>G&amp;A</v>
      </c>
      <c r="K477" s="21" t="str">
        <f>_xlfn.XLOOKUP(F477,'04_Account_Mapping'!$A$6:$A$14,'04_Account_Mapping'!$D$6:$D$14,"Unmapped",0)</f>
        <v>Expense</v>
      </c>
    </row>
    <row r="478" spans="1:11">
      <c r="A478" s="16">
        <v>46054</v>
      </c>
      <c r="B478" s="13">
        <v>2026</v>
      </c>
      <c r="C478" s="13">
        <v>2</v>
      </c>
      <c r="D478" s="13" t="s">
        <v>67</v>
      </c>
      <c r="E478" s="13" t="s">
        <v>68</v>
      </c>
      <c r="F478" s="13" t="s">
        <v>62</v>
      </c>
      <c r="G478" s="19">
        <v>69.434362153093502</v>
      </c>
      <c r="H478" s="13" t="s">
        <v>86</v>
      </c>
      <c r="I478" s="13" t="s">
        <v>87</v>
      </c>
      <c r="J478" s="21" t="str">
        <f>_xlfn.XLOOKUP(F478,'04_Account_Mapping'!$A$6:$A$14,'04_Account_Mapping'!$C$6:$C$14,"Unmapped",0)</f>
        <v>Finance Income</v>
      </c>
      <c r="K478" s="21" t="str">
        <f>_xlfn.XLOOKUP(F478,'04_Account_Mapping'!$A$6:$A$14,'04_Account_Mapping'!$D$6:$D$14,"Unmapped",0)</f>
        <v>Income</v>
      </c>
    </row>
    <row r="479" spans="1:11">
      <c r="A479" s="16">
        <v>46054</v>
      </c>
      <c r="B479" s="13">
        <v>2026</v>
      </c>
      <c r="C479" s="13">
        <v>2</v>
      </c>
      <c r="D479" s="13" t="s">
        <v>67</v>
      </c>
      <c r="E479" s="13" t="s">
        <v>68</v>
      </c>
      <c r="F479" s="13" t="s">
        <v>63</v>
      </c>
      <c r="G479" s="19">
        <v>-34.717181076546751</v>
      </c>
      <c r="H479" s="13" t="s">
        <v>86</v>
      </c>
      <c r="I479" s="13" t="s">
        <v>87</v>
      </c>
      <c r="J479" s="21" t="str">
        <f>_xlfn.XLOOKUP(F479,'04_Account_Mapping'!$A$6:$A$14,'04_Account_Mapping'!$C$6:$C$14,"Unmapped",0)</f>
        <v>Finance Expense</v>
      </c>
      <c r="K479" s="21" t="str">
        <f>_xlfn.XLOOKUP(F479,'04_Account_Mapping'!$A$6:$A$14,'04_Account_Mapping'!$D$6:$D$14,"Unmapped",0)</f>
        <v>Expense</v>
      </c>
    </row>
    <row r="480" spans="1:11">
      <c r="A480" s="16">
        <v>46054</v>
      </c>
      <c r="B480" s="13">
        <v>2026</v>
      </c>
      <c r="C480" s="13">
        <v>2</v>
      </c>
      <c r="D480" s="13" t="s">
        <v>67</v>
      </c>
      <c r="E480" s="13" t="s">
        <v>68</v>
      </c>
      <c r="F480" s="13" t="s">
        <v>64</v>
      </c>
      <c r="G480" s="19">
        <v>0.69434362153093498</v>
      </c>
      <c r="H480" s="13" t="s">
        <v>86</v>
      </c>
      <c r="I480" s="13" t="s">
        <v>87</v>
      </c>
      <c r="J480" s="21" t="str">
        <f>_xlfn.XLOOKUP(F480,'04_Account_Mapping'!$A$6:$A$14,'04_Account_Mapping'!$C$6:$C$14,"Unmapped",0)</f>
        <v>JV Profit/(Loss)</v>
      </c>
      <c r="K480" s="21" t="str">
        <f>_xlfn.XLOOKUP(F480,'04_Account_Mapping'!$A$6:$A$14,'04_Account_Mapping'!$D$6:$D$14,"Unmapped",0)</f>
        <v>Income</v>
      </c>
    </row>
    <row r="481" spans="1:11">
      <c r="A481" s="16">
        <v>46054</v>
      </c>
      <c r="B481" s="13">
        <v>2026</v>
      </c>
      <c r="C481" s="13">
        <v>2</v>
      </c>
      <c r="D481" s="13" t="s">
        <v>67</v>
      </c>
      <c r="E481" s="13" t="s">
        <v>68</v>
      </c>
      <c r="F481" s="13" t="s">
        <v>65</v>
      </c>
      <c r="G481" s="19">
        <v>0</v>
      </c>
      <c r="H481" s="13" t="s">
        <v>86</v>
      </c>
      <c r="I481" s="13" t="s">
        <v>87</v>
      </c>
      <c r="J481" s="21" t="str">
        <f>_xlfn.XLOOKUP(F481,'04_Account_Mapping'!$A$6:$A$14,'04_Account_Mapping'!$C$6:$C$14,"Unmapped",0)</f>
        <v>Other Net</v>
      </c>
      <c r="K481" s="21" t="str">
        <f>_xlfn.XLOOKUP(F481,'04_Account_Mapping'!$A$6:$A$14,'04_Account_Mapping'!$D$6:$D$14,"Unmapped",0)</f>
        <v>Income</v>
      </c>
    </row>
    <row r="482" spans="1:11">
      <c r="A482" s="16">
        <v>46054</v>
      </c>
      <c r="B482" s="13">
        <v>2026</v>
      </c>
      <c r="C482" s="13">
        <v>2</v>
      </c>
      <c r="D482" s="13" t="s">
        <v>67</v>
      </c>
      <c r="E482" s="13" t="s">
        <v>68</v>
      </c>
      <c r="F482" s="13" t="s">
        <v>66</v>
      </c>
      <c r="G482" s="19">
        <v>-43.161900797868931</v>
      </c>
      <c r="H482" s="13" t="s">
        <v>86</v>
      </c>
      <c r="I482" s="13" t="s">
        <v>87</v>
      </c>
      <c r="J482" s="21" t="str">
        <f>_xlfn.XLOOKUP(F482,'04_Account_Mapping'!$A$6:$A$14,'04_Account_Mapping'!$C$6:$C$14,"Unmapped",0)</f>
        <v>Tax Expense</v>
      </c>
      <c r="K482" s="21" t="str">
        <f>_xlfn.XLOOKUP(F482,'04_Account_Mapping'!$A$6:$A$14,'04_Account_Mapping'!$D$6:$D$14,"Unmapped",0)</f>
        <v>Expense</v>
      </c>
    </row>
    <row r="483" spans="1:11">
      <c r="A483" s="16">
        <v>46054</v>
      </c>
      <c r="B483" s="13">
        <v>2026</v>
      </c>
      <c r="C483" s="13">
        <v>2</v>
      </c>
      <c r="D483" s="13" t="s">
        <v>72</v>
      </c>
      <c r="E483" s="13" t="s">
        <v>68</v>
      </c>
      <c r="F483" s="13" t="s">
        <v>55</v>
      </c>
      <c r="G483" s="19">
        <v>6362.3955278357644</v>
      </c>
      <c r="H483" s="13" t="s">
        <v>86</v>
      </c>
      <c r="I483" s="13" t="s">
        <v>87</v>
      </c>
      <c r="J483" s="21" t="str">
        <f>_xlfn.XLOOKUP(F483,'04_Account_Mapping'!$A$6:$A$14,'04_Account_Mapping'!$C$6:$C$14,"Unmapped",0)</f>
        <v>Revenue</v>
      </c>
      <c r="K483" s="21" t="str">
        <f>_xlfn.XLOOKUP(F483,'04_Account_Mapping'!$A$6:$A$14,'04_Account_Mapping'!$D$6:$D$14,"Unmapped",0)</f>
        <v>Income</v>
      </c>
    </row>
    <row r="484" spans="1:11">
      <c r="A484" s="16">
        <v>46054</v>
      </c>
      <c r="B484" s="13">
        <v>2026</v>
      </c>
      <c r="C484" s="13">
        <v>2</v>
      </c>
      <c r="D484" s="13" t="s">
        <v>72</v>
      </c>
      <c r="E484" s="13" t="s">
        <v>68</v>
      </c>
      <c r="F484" s="13" t="s">
        <v>58</v>
      </c>
      <c r="G484" s="19">
        <v>-5071.0699749753467</v>
      </c>
      <c r="H484" s="13" t="s">
        <v>86</v>
      </c>
      <c r="I484" s="13" t="s">
        <v>87</v>
      </c>
      <c r="J484" s="21" t="str">
        <f>_xlfn.XLOOKUP(F484,'04_Account_Mapping'!$A$6:$A$14,'04_Account_Mapping'!$C$6:$C$14,"Unmapped",0)</f>
        <v>COGS</v>
      </c>
      <c r="K484" s="21" t="str">
        <f>_xlfn.XLOOKUP(F484,'04_Account_Mapping'!$A$6:$A$14,'04_Account_Mapping'!$D$6:$D$14,"Unmapped",0)</f>
        <v>Expense</v>
      </c>
    </row>
    <row r="485" spans="1:11">
      <c r="A485" s="16">
        <v>46054</v>
      </c>
      <c r="B485" s="13">
        <v>2026</v>
      </c>
      <c r="C485" s="13">
        <v>2</v>
      </c>
      <c r="D485" s="13" t="s">
        <v>72</v>
      </c>
      <c r="E485" s="13" t="s">
        <v>68</v>
      </c>
      <c r="F485" s="13" t="s">
        <v>60</v>
      </c>
      <c r="G485" s="19">
        <v>-776.21225439596321</v>
      </c>
      <c r="H485" s="13" t="s">
        <v>86</v>
      </c>
      <c r="I485" s="13" t="s">
        <v>87</v>
      </c>
      <c r="J485" s="21" t="str">
        <f>_xlfn.XLOOKUP(F485,'04_Account_Mapping'!$A$6:$A$14,'04_Account_Mapping'!$C$6:$C$14,"Unmapped",0)</f>
        <v>Selling Expense</v>
      </c>
      <c r="K485" s="21" t="str">
        <f>_xlfn.XLOOKUP(F485,'04_Account_Mapping'!$A$6:$A$14,'04_Account_Mapping'!$D$6:$D$14,"Unmapped",0)</f>
        <v>Expense</v>
      </c>
    </row>
    <row r="486" spans="1:11">
      <c r="A486" s="16">
        <v>46054</v>
      </c>
      <c r="B486" s="13">
        <v>2026</v>
      </c>
      <c r="C486" s="13">
        <v>2</v>
      </c>
      <c r="D486" s="13" t="s">
        <v>72</v>
      </c>
      <c r="E486" s="13" t="s">
        <v>68</v>
      </c>
      <c r="F486" s="13" t="s">
        <v>61</v>
      </c>
      <c r="G486" s="19">
        <v>-184.50947030723717</v>
      </c>
      <c r="H486" s="13" t="s">
        <v>86</v>
      </c>
      <c r="I486" s="13" t="s">
        <v>87</v>
      </c>
      <c r="J486" s="21" t="str">
        <f>_xlfn.XLOOKUP(F486,'04_Account_Mapping'!$A$6:$A$14,'04_Account_Mapping'!$C$6:$C$14,"Unmapped",0)</f>
        <v>G&amp;A</v>
      </c>
      <c r="K486" s="21" t="str">
        <f>_xlfn.XLOOKUP(F486,'04_Account_Mapping'!$A$6:$A$14,'04_Account_Mapping'!$D$6:$D$14,"Unmapped",0)</f>
        <v>Expense</v>
      </c>
    </row>
    <row r="487" spans="1:11">
      <c r="A487" s="16">
        <v>46054</v>
      </c>
      <c r="B487" s="13">
        <v>2026</v>
      </c>
      <c r="C487" s="13">
        <v>2</v>
      </c>
      <c r="D487" s="13" t="s">
        <v>72</v>
      </c>
      <c r="E487" s="13" t="s">
        <v>68</v>
      </c>
      <c r="F487" s="13" t="s">
        <v>62</v>
      </c>
      <c r="G487" s="19">
        <v>127.24791055671528</v>
      </c>
      <c r="H487" s="13" t="s">
        <v>86</v>
      </c>
      <c r="I487" s="13" t="s">
        <v>87</v>
      </c>
      <c r="J487" s="21" t="str">
        <f>_xlfn.XLOOKUP(F487,'04_Account_Mapping'!$A$6:$A$14,'04_Account_Mapping'!$C$6:$C$14,"Unmapped",0)</f>
        <v>Finance Income</v>
      </c>
      <c r="K487" s="21" t="str">
        <f>_xlfn.XLOOKUP(F487,'04_Account_Mapping'!$A$6:$A$14,'04_Account_Mapping'!$D$6:$D$14,"Unmapped",0)</f>
        <v>Income</v>
      </c>
    </row>
    <row r="488" spans="1:11">
      <c r="A488" s="16">
        <v>46054</v>
      </c>
      <c r="B488" s="13">
        <v>2026</v>
      </c>
      <c r="C488" s="13">
        <v>2</v>
      </c>
      <c r="D488" s="13" t="s">
        <v>72</v>
      </c>
      <c r="E488" s="13" t="s">
        <v>68</v>
      </c>
      <c r="F488" s="13" t="s">
        <v>63</v>
      </c>
      <c r="G488" s="19">
        <v>-63.623955278357641</v>
      </c>
      <c r="H488" s="13" t="s">
        <v>86</v>
      </c>
      <c r="I488" s="13" t="s">
        <v>87</v>
      </c>
      <c r="J488" s="21" t="str">
        <f>_xlfn.XLOOKUP(F488,'04_Account_Mapping'!$A$6:$A$14,'04_Account_Mapping'!$C$6:$C$14,"Unmapped",0)</f>
        <v>Finance Expense</v>
      </c>
      <c r="K488" s="21" t="str">
        <f>_xlfn.XLOOKUP(F488,'04_Account_Mapping'!$A$6:$A$14,'04_Account_Mapping'!$D$6:$D$14,"Unmapped",0)</f>
        <v>Expense</v>
      </c>
    </row>
    <row r="489" spans="1:11">
      <c r="A489" s="16">
        <v>46054</v>
      </c>
      <c r="B489" s="13">
        <v>2026</v>
      </c>
      <c r="C489" s="13">
        <v>2</v>
      </c>
      <c r="D489" s="13" t="s">
        <v>72</v>
      </c>
      <c r="E489" s="13" t="s">
        <v>68</v>
      </c>
      <c r="F489" s="13" t="s">
        <v>64</v>
      </c>
      <c r="G489" s="19">
        <v>1.2724791055671529</v>
      </c>
      <c r="H489" s="13" t="s">
        <v>86</v>
      </c>
      <c r="I489" s="13" t="s">
        <v>87</v>
      </c>
      <c r="J489" s="21" t="str">
        <f>_xlfn.XLOOKUP(F489,'04_Account_Mapping'!$A$6:$A$14,'04_Account_Mapping'!$C$6:$C$14,"Unmapped",0)</f>
        <v>JV Profit/(Loss)</v>
      </c>
      <c r="K489" s="21" t="str">
        <f>_xlfn.XLOOKUP(F489,'04_Account_Mapping'!$A$6:$A$14,'04_Account_Mapping'!$D$6:$D$14,"Unmapped",0)</f>
        <v>Income</v>
      </c>
    </row>
    <row r="490" spans="1:11">
      <c r="A490" s="16">
        <v>46054</v>
      </c>
      <c r="B490" s="13">
        <v>2026</v>
      </c>
      <c r="C490" s="13">
        <v>2</v>
      </c>
      <c r="D490" s="13" t="s">
        <v>72</v>
      </c>
      <c r="E490" s="13" t="s">
        <v>68</v>
      </c>
      <c r="F490" s="13" t="s">
        <v>65</v>
      </c>
      <c r="G490" s="19">
        <v>0</v>
      </c>
      <c r="H490" s="13" t="s">
        <v>86</v>
      </c>
      <c r="I490" s="13" t="s">
        <v>87</v>
      </c>
      <c r="J490" s="21" t="str">
        <f>_xlfn.XLOOKUP(F490,'04_Account_Mapping'!$A$6:$A$14,'04_Account_Mapping'!$C$6:$C$14,"Unmapped",0)</f>
        <v>Other Net</v>
      </c>
      <c r="K490" s="21" t="str">
        <f>_xlfn.XLOOKUP(F490,'04_Account_Mapping'!$A$6:$A$14,'04_Account_Mapping'!$D$6:$D$14,"Unmapped",0)</f>
        <v>Income</v>
      </c>
    </row>
    <row r="491" spans="1:11">
      <c r="A491" s="16">
        <v>46054</v>
      </c>
      <c r="B491" s="13">
        <v>2026</v>
      </c>
      <c r="C491" s="13">
        <v>2</v>
      </c>
      <c r="D491" s="13" t="s">
        <v>72</v>
      </c>
      <c r="E491" s="13" t="s">
        <v>68</v>
      </c>
      <c r="F491" s="13" t="s">
        <v>66</v>
      </c>
      <c r="G491" s="19">
        <v>-79.10005250822843</v>
      </c>
      <c r="H491" s="13" t="s">
        <v>86</v>
      </c>
      <c r="I491" s="13" t="s">
        <v>87</v>
      </c>
      <c r="J491" s="21" t="str">
        <f>_xlfn.XLOOKUP(F491,'04_Account_Mapping'!$A$6:$A$14,'04_Account_Mapping'!$C$6:$C$14,"Unmapped",0)</f>
        <v>Tax Expense</v>
      </c>
      <c r="K491" s="21" t="str">
        <f>_xlfn.XLOOKUP(F491,'04_Account_Mapping'!$A$6:$A$14,'04_Account_Mapping'!$D$6:$D$14,"Unmapped",0)</f>
        <v>Expense</v>
      </c>
    </row>
    <row r="492" spans="1:11">
      <c r="A492" s="16">
        <v>46054</v>
      </c>
      <c r="B492" s="13">
        <v>2026</v>
      </c>
      <c r="C492" s="13">
        <v>2</v>
      </c>
      <c r="D492" s="13" t="s">
        <v>73</v>
      </c>
      <c r="E492" s="13" t="s">
        <v>74</v>
      </c>
      <c r="F492" s="13" t="s">
        <v>55</v>
      </c>
      <c r="G492" s="19">
        <v>4357.8051560518934</v>
      </c>
      <c r="H492" s="13" t="s">
        <v>86</v>
      </c>
      <c r="I492" s="13" t="s">
        <v>87</v>
      </c>
      <c r="J492" s="21" t="str">
        <f>_xlfn.XLOOKUP(F492,'04_Account_Mapping'!$A$6:$A$14,'04_Account_Mapping'!$C$6:$C$14,"Unmapped",0)</f>
        <v>Revenue</v>
      </c>
      <c r="K492" s="21" t="str">
        <f>_xlfn.XLOOKUP(F492,'04_Account_Mapping'!$A$6:$A$14,'04_Account_Mapping'!$D$6:$D$14,"Unmapped",0)</f>
        <v>Income</v>
      </c>
    </row>
    <row r="493" spans="1:11">
      <c r="A493" s="16">
        <v>46054</v>
      </c>
      <c r="B493" s="13">
        <v>2026</v>
      </c>
      <c r="C493" s="13">
        <v>2</v>
      </c>
      <c r="D493" s="13" t="s">
        <v>73</v>
      </c>
      <c r="E493" s="13" t="s">
        <v>74</v>
      </c>
      <c r="F493" s="13" t="s">
        <v>58</v>
      </c>
      <c r="G493" s="19">
        <v>-3473.3355992981824</v>
      </c>
      <c r="H493" s="13" t="s">
        <v>86</v>
      </c>
      <c r="I493" s="13" t="s">
        <v>87</v>
      </c>
      <c r="J493" s="21" t="str">
        <f>_xlfn.XLOOKUP(F493,'04_Account_Mapping'!$A$6:$A$14,'04_Account_Mapping'!$C$6:$C$14,"Unmapped",0)</f>
        <v>COGS</v>
      </c>
      <c r="K493" s="21" t="str">
        <f>_xlfn.XLOOKUP(F493,'04_Account_Mapping'!$A$6:$A$14,'04_Account_Mapping'!$D$6:$D$14,"Unmapped",0)</f>
        <v>Expense</v>
      </c>
    </row>
    <row r="494" spans="1:11">
      <c r="A494" s="16">
        <v>46054</v>
      </c>
      <c r="B494" s="13">
        <v>2026</v>
      </c>
      <c r="C494" s="13">
        <v>2</v>
      </c>
      <c r="D494" s="13" t="s">
        <v>73</v>
      </c>
      <c r="E494" s="13" t="s">
        <v>74</v>
      </c>
      <c r="F494" s="13" t="s">
        <v>60</v>
      </c>
      <c r="G494" s="19">
        <v>-531.65222903833103</v>
      </c>
      <c r="H494" s="13" t="s">
        <v>86</v>
      </c>
      <c r="I494" s="13" t="s">
        <v>87</v>
      </c>
      <c r="J494" s="21" t="str">
        <f>_xlfn.XLOOKUP(F494,'04_Account_Mapping'!$A$6:$A$14,'04_Account_Mapping'!$C$6:$C$14,"Unmapped",0)</f>
        <v>Selling Expense</v>
      </c>
      <c r="K494" s="21" t="str">
        <f>_xlfn.XLOOKUP(F494,'04_Account_Mapping'!$A$6:$A$14,'04_Account_Mapping'!$D$6:$D$14,"Unmapped",0)</f>
        <v>Expense</v>
      </c>
    </row>
    <row r="495" spans="1:11">
      <c r="A495" s="16">
        <v>46054</v>
      </c>
      <c r="B495" s="13">
        <v>2026</v>
      </c>
      <c r="C495" s="13">
        <v>2</v>
      </c>
      <c r="D495" s="13" t="s">
        <v>73</v>
      </c>
      <c r="E495" s="13" t="s">
        <v>74</v>
      </c>
      <c r="F495" s="13" t="s">
        <v>61</v>
      </c>
      <c r="G495" s="19">
        <v>-126.37634952550491</v>
      </c>
      <c r="H495" s="13" t="s">
        <v>86</v>
      </c>
      <c r="I495" s="13" t="s">
        <v>87</v>
      </c>
      <c r="J495" s="21" t="str">
        <f>_xlfn.XLOOKUP(F495,'04_Account_Mapping'!$A$6:$A$14,'04_Account_Mapping'!$C$6:$C$14,"Unmapped",0)</f>
        <v>G&amp;A</v>
      </c>
      <c r="K495" s="21" t="str">
        <f>_xlfn.XLOOKUP(F495,'04_Account_Mapping'!$A$6:$A$14,'04_Account_Mapping'!$D$6:$D$14,"Unmapped",0)</f>
        <v>Expense</v>
      </c>
    </row>
    <row r="496" spans="1:11">
      <c r="A496" s="16">
        <v>46054</v>
      </c>
      <c r="B496" s="13">
        <v>2026</v>
      </c>
      <c r="C496" s="13">
        <v>2</v>
      </c>
      <c r="D496" s="13" t="s">
        <v>73</v>
      </c>
      <c r="E496" s="13" t="s">
        <v>74</v>
      </c>
      <c r="F496" s="13" t="s">
        <v>62</v>
      </c>
      <c r="G496" s="19">
        <v>87.156103121037873</v>
      </c>
      <c r="H496" s="13" t="s">
        <v>86</v>
      </c>
      <c r="I496" s="13" t="s">
        <v>87</v>
      </c>
      <c r="J496" s="21" t="str">
        <f>_xlfn.XLOOKUP(F496,'04_Account_Mapping'!$A$6:$A$14,'04_Account_Mapping'!$C$6:$C$14,"Unmapped",0)</f>
        <v>Finance Income</v>
      </c>
      <c r="K496" s="21" t="str">
        <f>_xlfn.XLOOKUP(F496,'04_Account_Mapping'!$A$6:$A$14,'04_Account_Mapping'!$D$6:$D$14,"Unmapped",0)</f>
        <v>Income</v>
      </c>
    </row>
    <row r="497" spans="1:11">
      <c r="A497" s="16">
        <v>46054</v>
      </c>
      <c r="B497" s="13">
        <v>2026</v>
      </c>
      <c r="C497" s="13">
        <v>2</v>
      </c>
      <c r="D497" s="13" t="s">
        <v>73</v>
      </c>
      <c r="E497" s="13" t="s">
        <v>74</v>
      </c>
      <c r="F497" s="13" t="s">
        <v>63</v>
      </c>
      <c r="G497" s="19">
        <v>-43.578051560518936</v>
      </c>
      <c r="H497" s="13" t="s">
        <v>86</v>
      </c>
      <c r="I497" s="13" t="s">
        <v>87</v>
      </c>
      <c r="J497" s="21" t="str">
        <f>_xlfn.XLOOKUP(F497,'04_Account_Mapping'!$A$6:$A$14,'04_Account_Mapping'!$C$6:$C$14,"Unmapped",0)</f>
        <v>Finance Expense</v>
      </c>
      <c r="K497" s="21" t="str">
        <f>_xlfn.XLOOKUP(F497,'04_Account_Mapping'!$A$6:$A$14,'04_Account_Mapping'!$D$6:$D$14,"Unmapped",0)</f>
        <v>Expense</v>
      </c>
    </row>
    <row r="498" spans="1:11">
      <c r="A498" s="16">
        <v>46054</v>
      </c>
      <c r="B498" s="13">
        <v>2026</v>
      </c>
      <c r="C498" s="13">
        <v>2</v>
      </c>
      <c r="D498" s="13" t="s">
        <v>73</v>
      </c>
      <c r="E498" s="13" t="s">
        <v>74</v>
      </c>
      <c r="F498" s="13" t="s">
        <v>64</v>
      </c>
      <c r="G498" s="19">
        <v>0.87156103121037865</v>
      </c>
      <c r="H498" s="13" t="s">
        <v>86</v>
      </c>
      <c r="I498" s="13" t="s">
        <v>87</v>
      </c>
      <c r="J498" s="21" t="str">
        <f>_xlfn.XLOOKUP(F498,'04_Account_Mapping'!$A$6:$A$14,'04_Account_Mapping'!$C$6:$C$14,"Unmapped",0)</f>
        <v>JV Profit/(Loss)</v>
      </c>
      <c r="K498" s="21" t="str">
        <f>_xlfn.XLOOKUP(F498,'04_Account_Mapping'!$A$6:$A$14,'04_Account_Mapping'!$D$6:$D$14,"Unmapped",0)</f>
        <v>Income</v>
      </c>
    </row>
    <row r="499" spans="1:11">
      <c r="A499" s="16">
        <v>46054</v>
      </c>
      <c r="B499" s="13">
        <v>2026</v>
      </c>
      <c r="C499" s="13">
        <v>2</v>
      </c>
      <c r="D499" s="13" t="s">
        <v>73</v>
      </c>
      <c r="E499" s="13" t="s">
        <v>74</v>
      </c>
      <c r="F499" s="13" t="s">
        <v>65</v>
      </c>
      <c r="G499" s="19">
        <v>0</v>
      </c>
      <c r="H499" s="13" t="s">
        <v>86</v>
      </c>
      <c r="I499" s="13" t="s">
        <v>87</v>
      </c>
      <c r="J499" s="21" t="str">
        <f>_xlfn.XLOOKUP(F499,'04_Account_Mapping'!$A$6:$A$14,'04_Account_Mapping'!$C$6:$C$14,"Unmapped",0)</f>
        <v>Other Net</v>
      </c>
      <c r="K499" s="21" t="str">
        <f>_xlfn.XLOOKUP(F499,'04_Account_Mapping'!$A$6:$A$14,'04_Account_Mapping'!$D$6:$D$14,"Unmapped",0)</f>
        <v>Income</v>
      </c>
    </row>
    <row r="500" spans="1:11">
      <c r="A500" s="16">
        <v>46054</v>
      </c>
      <c r="B500" s="13">
        <v>2026</v>
      </c>
      <c r="C500" s="13">
        <v>2</v>
      </c>
      <c r="D500" s="13" t="s">
        <v>73</v>
      </c>
      <c r="E500" s="13" t="s">
        <v>74</v>
      </c>
      <c r="F500" s="13" t="s">
        <v>66</v>
      </c>
      <c r="G500" s="19">
        <v>-54.178118156320835</v>
      </c>
      <c r="H500" s="13" t="s">
        <v>86</v>
      </c>
      <c r="I500" s="13" t="s">
        <v>87</v>
      </c>
      <c r="J500" s="21" t="str">
        <f>_xlfn.XLOOKUP(F500,'04_Account_Mapping'!$A$6:$A$14,'04_Account_Mapping'!$C$6:$C$14,"Unmapped",0)</f>
        <v>Tax Expense</v>
      </c>
      <c r="K500" s="21" t="str">
        <f>_xlfn.XLOOKUP(F500,'04_Account_Mapping'!$A$6:$A$14,'04_Account_Mapping'!$D$6:$D$14,"Unmapped",0)</f>
        <v>Expense</v>
      </c>
    </row>
    <row r="501" spans="1:11">
      <c r="A501" s="16">
        <v>46054</v>
      </c>
      <c r="B501" s="13">
        <v>2026</v>
      </c>
      <c r="C501" s="13">
        <v>2</v>
      </c>
      <c r="D501" s="13" t="s">
        <v>75</v>
      </c>
      <c r="E501" s="13" t="s">
        <v>76</v>
      </c>
      <c r="F501" s="13" t="s">
        <v>55</v>
      </c>
      <c r="G501" s="19">
        <v>334.09839529731181</v>
      </c>
      <c r="H501" s="13" t="s">
        <v>86</v>
      </c>
      <c r="I501" s="13" t="s">
        <v>87</v>
      </c>
      <c r="J501" s="21" t="str">
        <f>_xlfn.XLOOKUP(F501,'04_Account_Mapping'!$A$6:$A$14,'04_Account_Mapping'!$C$6:$C$14,"Unmapped",0)</f>
        <v>Revenue</v>
      </c>
      <c r="K501" s="21" t="str">
        <f>_xlfn.XLOOKUP(F501,'04_Account_Mapping'!$A$6:$A$14,'04_Account_Mapping'!$D$6:$D$14,"Unmapped",0)</f>
        <v>Income</v>
      </c>
    </row>
    <row r="502" spans="1:11">
      <c r="A502" s="16">
        <v>46054</v>
      </c>
      <c r="B502" s="13">
        <v>2026</v>
      </c>
      <c r="C502" s="13">
        <v>2</v>
      </c>
      <c r="D502" s="13" t="s">
        <v>75</v>
      </c>
      <c r="E502" s="13" t="s">
        <v>76</v>
      </c>
      <c r="F502" s="13" t="s">
        <v>58</v>
      </c>
      <c r="G502" s="19">
        <v>-266.28906261286068</v>
      </c>
      <c r="H502" s="13" t="s">
        <v>86</v>
      </c>
      <c r="I502" s="13" t="s">
        <v>87</v>
      </c>
      <c r="J502" s="21" t="str">
        <f>_xlfn.XLOOKUP(F502,'04_Account_Mapping'!$A$6:$A$14,'04_Account_Mapping'!$C$6:$C$14,"Unmapped",0)</f>
        <v>COGS</v>
      </c>
      <c r="K502" s="21" t="str">
        <f>_xlfn.XLOOKUP(F502,'04_Account_Mapping'!$A$6:$A$14,'04_Account_Mapping'!$D$6:$D$14,"Unmapped",0)</f>
        <v>Expense</v>
      </c>
    </row>
    <row r="503" spans="1:11">
      <c r="A503" s="16">
        <v>46054</v>
      </c>
      <c r="B503" s="13">
        <v>2026</v>
      </c>
      <c r="C503" s="13">
        <v>2</v>
      </c>
      <c r="D503" s="13" t="s">
        <v>75</v>
      </c>
      <c r="E503" s="13" t="s">
        <v>76</v>
      </c>
      <c r="F503" s="13" t="s">
        <v>60</v>
      </c>
      <c r="G503" s="19">
        <v>-40.760004226272045</v>
      </c>
      <c r="H503" s="13" t="s">
        <v>86</v>
      </c>
      <c r="I503" s="13" t="s">
        <v>87</v>
      </c>
      <c r="J503" s="21" t="str">
        <f>_xlfn.XLOOKUP(F503,'04_Account_Mapping'!$A$6:$A$14,'04_Account_Mapping'!$C$6:$C$14,"Unmapped",0)</f>
        <v>Selling Expense</v>
      </c>
      <c r="K503" s="21" t="str">
        <f>_xlfn.XLOOKUP(F503,'04_Account_Mapping'!$A$6:$A$14,'04_Account_Mapping'!$D$6:$D$14,"Unmapped",0)</f>
        <v>Expense</v>
      </c>
    </row>
    <row r="504" spans="1:11">
      <c r="A504" s="16">
        <v>46054</v>
      </c>
      <c r="B504" s="13">
        <v>2026</v>
      </c>
      <c r="C504" s="13">
        <v>2</v>
      </c>
      <c r="D504" s="13" t="s">
        <v>75</v>
      </c>
      <c r="E504" s="13" t="s">
        <v>76</v>
      </c>
      <c r="F504" s="13" t="s">
        <v>61</v>
      </c>
      <c r="G504" s="19">
        <v>-9.688853463622042</v>
      </c>
      <c r="H504" s="13" t="s">
        <v>86</v>
      </c>
      <c r="I504" s="13" t="s">
        <v>87</v>
      </c>
      <c r="J504" s="21" t="str">
        <f>_xlfn.XLOOKUP(F504,'04_Account_Mapping'!$A$6:$A$14,'04_Account_Mapping'!$C$6:$C$14,"Unmapped",0)</f>
        <v>G&amp;A</v>
      </c>
      <c r="K504" s="21" t="str">
        <f>_xlfn.XLOOKUP(F504,'04_Account_Mapping'!$A$6:$A$14,'04_Account_Mapping'!$D$6:$D$14,"Unmapped",0)</f>
        <v>Expense</v>
      </c>
    </row>
    <row r="505" spans="1:11">
      <c r="A505" s="16">
        <v>46054</v>
      </c>
      <c r="B505" s="13">
        <v>2026</v>
      </c>
      <c r="C505" s="13">
        <v>2</v>
      </c>
      <c r="D505" s="13" t="s">
        <v>75</v>
      </c>
      <c r="E505" s="13" t="s">
        <v>76</v>
      </c>
      <c r="F505" s="13" t="s">
        <v>62</v>
      </c>
      <c r="G505" s="19">
        <v>6.6819679059462365</v>
      </c>
      <c r="H505" s="13" t="s">
        <v>86</v>
      </c>
      <c r="I505" s="13" t="s">
        <v>87</v>
      </c>
      <c r="J505" s="21" t="str">
        <f>_xlfn.XLOOKUP(F505,'04_Account_Mapping'!$A$6:$A$14,'04_Account_Mapping'!$C$6:$C$14,"Unmapped",0)</f>
        <v>Finance Income</v>
      </c>
      <c r="K505" s="21" t="str">
        <f>_xlfn.XLOOKUP(F505,'04_Account_Mapping'!$A$6:$A$14,'04_Account_Mapping'!$D$6:$D$14,"Unmapped",0)</f>
        <v>Income</v>
      </c>
    </row>
    <row r="506" spans="1:11">
      <c r="A506" s="16">
        <v>46054</v>
      </c>
      <c r="B506" s="13">
        <v>2026</v>
      </c>
      <c r="C506" s="13">
        <v>2</v>
      </c>
      <c r="D506" s="13" t="s">
        <v>75</v>
      </c>
      <c r="E506" s="13" t="s">
        <v>76</v>
      </c>
      <c r="F506" s="13" t="s">
        <v>63</v>
      </c>
      <c r="G506" s="19">
        <v>-3.3409839529731182</v>
      </c>
      <c r="H506" s="13" t="s">
        <v>86</v>
      </c>
      <c r="I506" s="13" t="s">
        <v>87</v>
      </c>
      <c r="J506" s="21" t="str">
        <f>_xlfn.XLOOKUP(F506,'04_Account_Mapping'!$A$6:$A$14,'04_Account_Mapping'!$C$6:$C$14,"Unmapped",0)</f>
        <v>Finance Expense</v>
      </c>
      <c r="K506" s="21" t="str">
        <f>_xlfn.XLOOKUP(F506,'04_Account_Mapping'!$A$6:$A$14,'04_Account_Mapping'!$D$6:$D$14,"Unmapped",0)</f>
        <v>Expense</v>
      </c>
    </row>
    <row r="507" spans="1:11">
      <c r="A507" s="16">
        <v>46054</v>
      </c>
      <c r="B507" s="13">
        <v>2026</v>
      </c>
      <c r="C507" s="13">
        <v>2</v>
      </c>
      <c r="D507" s="13" t="s">
        <v>75</v>
      </c>
      <c r="E507" s="13" t="s">
        <v>76</v>
      </c>
      <c r="F507" s="13" t="s">
        <v>64</v>
      </c>
      <c r="G507" s="19">
        <v>6.6819679059462359E-2</v>
      </c>
      <c r="H507" s="13" t="s">
        <v>86</v>
      </c>
      <c r="I507" s="13" t="s">
        <v>87</v>
      </c>
      <c r="J507" s="21" t="str">
        <f>_xlfn.XLOOKUP(F507,'04_Account_Mapping'!$A$6:$A$14,'04_Account_Mapping'!$C$6:$C$14,"Unmapped",0)</f>
        <v>JV Profit/(Loss)</v>
      </c>
      <c r="K507" s="21" t="str">
        <f>_xlfn.XLOOKUP(F507,'04_Account_Mapping'!$A$6:$A$14,'04_Account_Mapping'!$D$6:$D$14,"Unmapped",0)</f>
        <v>Income</v>
      </c>
    </row>
    <row r="508" spans="1:11">
      <c r="A508" s="16">
        <v>46054</v>
      </c>
      <c r="B508" s="13">
        <v>2026</v>
      </c>
      <c r="C508" s="13">
        <v>2</v>
      </c>
      <c r="D508" s="13" t="s">
        <v>75</v>
      </c>
      <c r="E508" s="13" t="s">
        <v>76</v>
      </c>
      <c r="F508" s="13" t="s">
        <v>65</v>
      </c>
      <c r="G508" s="19">
        <v>0</v>
      </c>
      <c r="H508" s="13" t="s">
        <v>86</v>
      </c>
      <c r="I508" s="13" t="s">
        <v>87</v>
      </c>
      <c r="J508" s="21" t="str">
        <f>_xlfn.XLOOKUP(F508,'04_Account_Mapping'!$A$6:$A$14,'04_Account_Mapping'!$C$6:$C$14,"Unmapped",0)</f>
        <v>Other Net</v>
      </c>
      <c r="K508" s="21" t="str">
        <f>_xlfn.XLOOKUP(F508,'04_Account_Mapping'!$A$6:$A$14,'04_Account_Mapping'!$D$6:$D$14,"Unmapped",0)</f>
        <v>Income</v>
      </c>
    </row>
    <row r="509" spans="1:11">
      <c r="A509" s="16">
        <v>46054</v>
      </c>
      <c r="B509" s="13">
        <v>2026</v>
      </c>
      <c r="C509" s="13">
        <v>2</v>
      </c>
      <c r="D509" s="13" t="s">
        <v>75</v>
      </c>
      <c r="E509" s="13" t="s">
        <v>76</v>
      </c>
      <c r="F509" s="13" t="s">
        <v>66</v>
      </c>
      <c r="G509" s="19">
        <v>-4.1536557253179307</v>
      </c>
      <c r="H509" s="13" t="s">
        <v>86</v>
      </c>
      <c r="I509" s="13" t="s">
        <v>87</v>
      </c>
      <c r="J509" s="21" t="str">
        <f>_xlfn.XLOOKUP(F509,'04_Account_Mapping'!$A$6:$A$14,'04_Account_Mapping'!$C$6:$C$14,"Unmapped",0)</f>
        <v>Tax Expense</v>
      </c>
      <c r="K509" s="21" t="str">
        <f>_xlfn.XLOOKUP(F509,'04_Account_Mapping'!$A$6:$A$14,'04_Account_Mapping'!$D$6:$D$14,"Unmapped",0)</f>
        <v>Expense</v>
      </c>
    </row>
    <row r="510" spans="1:11">
      <c r="A510" s="16">
        <v>46082</v>
      </c>
      <c r="B510" s="13">
        <v>2026</v>
      </c>
      <c r="C510" s="13">
        <v>3</v>
      </c>
      <c r="D510" s="13" t="s">
        <v>67</v>
      </c>
      <c r="E510" s="13" t="s">
        <v>68</v>
      </c>
      <c r="F510" s="13" t="s">
        <v>55</v>
      </c>
      <c r="G510" s="19">
        <v>3274.9440018954188</v>
      </c>
      <c r="H510" s="13" t="s">
        <v>86</v>
      </c>
      <c r="I510" s="13" t="s">
        <v>87</v>
      </c>
      <c r="J510" s="21" t="str">
        <f>_xlfn.XLOOKUP(F510,'04_Account_Mapping'!$A$6:$A$14,'04_Account_Mapping'!$C$6:$C$14,"Unmapped",0)</f>
        <v>Revenue</v>
      </c>
      <c r="K510" s="21" t="str">
        <f>_xlfn.XLOOKUP(F510,'04_Account_Mapping'!$A$6:$A$14,'04_Account_Mapping'!$D$6:$D$14,"Unmapped",0)</f>
        <v>Income</v>
      </c>
    </row>
    <row r="511" spans="1:11">
      <c r="A511" s="16">
        <v>46082</v>
      </c>
      <c r="B511" s="13">
        <v>2026</v>
      </c>
      <c r="C511" s="13">
        <v>3</v>
      </c>
      <c r="D511" s="13" t="s">
        <v>67</v>
      </c>
      <c r="E511" s="13" t="s">
        <v>68</v>
      </c>
      <c r="F511" s="13" t="s">
        <v>58</v>
      </c>
      <c r="G511" s="19">
        <v>-2610.2542863107205</v>
      </c>
      <c r="H511" s="13" t="s">
        <v>86</v>
      </c>
      <c r="I511" s="13" t="s">
        <v>87</v>
      </c>
      <c r="J511" s="21" t="str">
        <f>_xlfn.XLOOKUP(F511,'04_Account_Mapping'!$A$6:$A$14,'04_Account_Mapping'!$C$6:$C$14,"Unmapped",0)</f>
        <v>COGS</v>
      </c>
      <c r="K511" s="21" t="str">
        <f>_xlfn.XLOOKUP(F511,'04_Account_Mapping'!$A$6:$A$14,'04_Account_Mapping'!$D$6:$D$14,"Unmapped",0)</f>
        <v>Expense</v>
      </c>
    </row>
    <row r="512" spans="1:11">
      <c r="A512" s="16">
        <v>46082</v>
      </c>
      <c r="B512" s="13">
        <v>2026</v>
      </c>
      <c r="C512" s="13">
        <v>3</v>
      </c>
      <c r="D512" s="13" t="s">
        <v>67</v>
      </c>
      <c r="E512" s="13" t="s">
        <v>68</v>
      </c>
      <c r="F512" s="13" t="s">
        <v>60</v>
      </c>
      <c r="G512" s="19">
        <v>-399.54316823124105</v>
      </c>
      <c r="H512" s="13" t="s">
        <v>86</v>
      </c>
      <c r="I512" s="13" t="s">
        <v>87</v>
      </c>
      <c r="J512" s="21" t="str">
        <f>_xlfn.XLOOKUP(F512,'04_Account_Mapping'!$A$6:$A$14,'04_Account_Mapping'!$C$6:$C$14,"Unmapped",0)</f>
        <v>Selling Expense</v>
      </c>
      <c r="K512" s="21" t="str">
        <f>_xlfn.XLOOKUP(F512,'04_Account_Mapping'!$A$6:$A$14,'04_Account_Mapping'!$D$6:$D$14,"Unmapped",0)</f>
        <v>Expense</v>
      </c>
    </row>
    <row r="513" spans="1:11">
      <c r="A513" s="16">
        <v>46082</v>
      </c>
      <c r="B513" s="13">
        <v>2026</v>
      </c>
      <c r="C513" s="13">
        <v>3</v>
      </c>
      <c r="D513" s="13" t="s">
        <v>67</v>
      </c>
      <c r="E513" s="13" t="s">
        <v>68</v>
      </c>
      <c r="F513" s="13" t="s">
        <v>61</v>
      </c>
      <c r="G513" s="19">
        <v>-94.973376054967133</v>
      </c>
      <c r="H513" s="13" t="s">
        <v>86</v>
      </c>
      <c r="I513" s="13" t="s">
        <v>87</v>
      </c>
      <c r="J513" s="21" t="str">
        <f>_xlfn.XLOOKUP(F513,'04_Account_Mapping'!$A$6:$A$14,'04_Account_Mapping'!$C$6:$C$14,"Unmapped",0)</f>
        <v>G&amp;A</v>
      </c>
      <c r="K513" s="21" t="str">
        <f>_xlfn.XLOOKUP(F513,'04_Account_Mapping'!$A$6:$A$14,'04_Account_Mapping'!$D$6:$D$14,"Unmapped",0)</f>
        <v>Expense</v>
      </c>
    </row>
    <row r="514" spans="1:11">
      <c r="A514" s="16">
        <v>46082</v>
      </c>
      <c r="B514" s="13">
        <v>2026</v>
      </c>
      <c r="C514" s="13">
        <v>3</v>
      </c>
      <c r="D514" s="13" t="s">
        <v>67</v>
      </c>
      <c r="E514" s="13" t="s">
        <v>68</v>
      </c>
      <c r="F514" s="13" t="s">
        <v>62</v>
      </c>
      <c r="G514" s="19">
        <v>65.498880037908378</v>
      </c>
      <c r="H514" s="13" t="s">
        <v>86</v>
      </c>
      <c r="I514" s="13" t="s">
        <v>87</v>
      </c>
      <c r="J514" s="21" t="str">
        <f>_xlfn.XLOOKUP(F514,'04_Account_Mapping'!$A$6:$A$14,'04_Account_Mapping'!$C$6:$C$14,"Unmapped",0)</f>
        <v>Finance Income</v>
      </c>
      <c r="K514" s="21" t="str">
        <f>_xlfn.XLOOKUP(F514,'04_Account_Mapping'!$A$6:$A$14,'04_Account_Mapping'!$D$6:$D$14,"Unmapped",0)</f>
        <v>Income</v>
      </c>
    </row>
    <row r="515" spans="1:11">
      <c r="A515" s="16">
        <v>46082</v>
      </c>
      <c r="B515" s="13">
        <v>2026</v>
      </c>
      <c r="C515" s="13">
        <v>3</v>
      </c>
      <c r="D515" s="13" t="s">
        <v>67</v>
      </c>
      <c r="E515" s="13" t="s">
        <v>68</v>
      </c>
      <c r="F515" s="13" t="s">
        <v>63</v>
      </c>
      <c r="G515" s="19">
        <v>-32.749440018954189</v>
      </c>
      <c r="H515" s="13" t="s">
        <v>86</v>
      </c>
      <c r="I515" s="13" t="s">
        <v>87</v>
      </c>
      <c r="J515" s="21" t="str">
        <f>_xlfn.XLOOKUP(F515,'04_Account_Mapping'!$A$6:$A$14,'04_Account_Mapping'!$C$6:$C$14,"Unmapped",0)</f>
        <v>Finance Expense</v>
      </c>
      <c r="K515" s="21" t="str">
        <f>_xlfn.XLOOKUP(F515,'04_Account_Mapping'!$A$6:$A$14,'04_Account_Mapping'!$D$6:$D$14,"Unmapped",0)</f>
        <v>Expense</v>
      </c>
    </row>
    <row r="516" spans="1:11">
      <c r="A516" s="16">
        <v>46082</v>
      </c>
      <c r="B516" s="13">
        <v>2026</v>
      </c>
      <c r="C516" s="13">
        <v>3</v>
      </c>
      <c r="D516" s="13" t="s">
        <v>67</v>
      </c>
      <c r="E516" s="13" t="s">
        <v>68</v>
      </c>
      <c r="F516" s="13" t="s">
        <v>64</v>
      </c>
      <c r="G516" s="19">
        <v>0.65498880037908369</v>
      </c>
      <c r="H516" s="13" t="s">
        <v>86</v>
      </c>
      <c r="I516" s="13" t="s">
        <v>87</v>
      </c>
      <c r="J516" s="21" t="str">
        <f>_xlfn.XLOOKUP(F516,'04_Account_Mapping'!$A$6:$A$14,'04_Account_Mapping'!$C$6:$C$14,"Unmapped",0)</f>
        <v>JV Profit/(Loss)</v>
      </c>
      <c r="K516" s="21" t="str">
        <f>_xlfn.XLOOKUP(F516,'04_Account_Mapping'!$A$6:$A$14,'04_Account_Mapping'!$D$6:$D$14,"Unmapped",0)</f>
        <v>Income</v>
      </c>
    </row>
    <row r="517" spans="1:11">
      <c r="A517" s="16">
        <v>46082</v>
      </c>
      <c r="B517" s="13">
        <v>2026</v>
      </c>
      <c r="C517" s="13">
        <v>3</v>
      </c>
      <c r="D517" s="13" t="s">
        <v>67</v>
      </c>
      <c r="E517" s="13" t="s">
        <v>68</v>
      </c>
      <c r="F517" s="13" t="s">
        <v>65</v>
      </c>
      <c r="G517" s="19">
        <v>0</v>
      </c>
      <c r="H517" s="13" t="s">
        <v>86</v>
      </c>
      <c r="I517" s="13" t="s">
        <v>87</v>
      </c>
      <c r="J517" s="21" t="str">
        <f>_xlfn.XLOOKUP(F517,'04_Account_Mapping'!$A$6:$A$14,'04_Account_Mapping'!$C$6:$C$14,"Unmapped",0)</f>
        <v>Other Net</v>
      </c>
      <c r="K517" s="21" t="str">
        <f>_xlfn.XLOOKUP(F517,'04_Account_Mapping'!$A$6:$A$14,'04_Account_Mapping'!$D$6:$D$14,"Unmapped",0)</f>
        <v>Income</v>
      </c>
    </row>
    <row r="518" spans="1:11">
      <c r="A518" s="16">
        <v>46082</v>
      </c>
      <c r="B518" s="13">
        <v>2026</v>
      </c>
      <c r="C518" s="13">
        <v>3</v>
      </c>
      <c r="D518" s="13" t="s">
        <v>67</v>
      </c>
      <c r="E518" s="13" t="s">
        <v>68</v>
      </c>
      <c r="F518" s="13" t="s">
        <v>66</v>
      </c>
      <c r="G518" s="19">
        <v>-40.715520023564665</v>
      </c>
      <c r="H518" s="13" t="s">
        <v>86</v>
      </c>
      <c r="I518" s="13" t="s">
        <v>87</v>
      </c>
      <c r="J518" s="21" t="str">
        <f>_xlfn.XLOOKUP(F518,'04_Account_Mapping'!$A$6:$A$14,'04_Account_Mapping'!$C$6:$C$14,"Unmapped",0)</f>
        <v>Tax Expense</v>
      </c>
      <c r="K518" s="21" t="str">
        <f>_xlfn.XLOOKUP(F518,'04_Account_Mapping'!$A$6:$A$14,'04_Account_Mapping'!$D$6:$D$14,"Unmapped",0)</f>
        <v>Expense</v>
      </c>
    </row>
    <row r="519" spans="1:11">
      <c r="A519" s="16">
        <v>46082</v>
      </c>
      <c r="B519" s="13">
        <v>2026</v>
      </c>
      <c r="C519" s="13">
        <v>3</v>
      </c>
      <c r="D519" s="13" t="s">
        <v>72</v>
      </c>
      <c r="E519" s="13" t="s">
        <v>68</v>
      </c>
      <c r="F519" s="13" t="s">
        <v>55</v>
      </c>
      <c r="G519" s="19">
        <v>6001.7802210468344</v>
      </c>
      <c r="H519" s="13" t="s">
        <v>86</v>
      </c>
      <c r="I519" s="13" t="s">
        <v>87</v>
      </c>
      <c r="J519" s="21" t="str">
        <f>_xlfn.XLOOKUP(F519,'04_Account_Mapping'!$A$6:$A$14,'04_Account_Mapping'!$C$6:$C$14,"Unmapped",0)</f>
        <v>Revenue</v>
      </c>
      <c r="K519" s="21" t="str">
        <f>_xlfn.XLOOKUP(F519,'04_Account_Mapping'!$A$6:$A$14,'04_Account_Mapping'!$D$6:$D$14,"Unmapped",0)</f>
        <v>Income</v>
      </c>
    </row>
    <row r="520" spans="1:11">
      <c r="A520" s="16">
        <v>46082</v>
      </c>
      <c r="B520" s="13">
        <v>2026</v>
      </c>
      <c r="C520" s="13">
        <v>3</v>
      </c>
      <c r="D520" s="13" t="s">
        <v>72</v>
      </c>
      <c r="E520" s="13" t="s">
        <v>68</v>
      </c>
      <c r="F520" s="13" t="s">
        <v>58</v>
      </c>
      <c r="G520" s="19">
        <v>-4783.6459305610688</v>
      </c>
      <c r="H520" s="13" t="s">
        <v>86</v>
      </c>
      <c r="I520" s="13" t="s">
        <v>87</v>
      </c>
      <c r="J520" s="21" t="str">
        <f>_xlfn.XLOOKUP(F520,'04_Account_Mapping'!$A$6:$A$14,'04_Account_Mapping'!$C$6:$C$14,"Unmapped",0)</f>
        <v>COGS</v>
      </c>
      <c r="K520" s="21" t="str">
        <f>_xlfn.XLOOKUP(F520,'04_Account_Mapping'!$A$6:$A$14,'04_Account_Mapping'!$D$6:$D$14,"Unmapped",0)</f>
        <v>Expense</v>
      </c>
    </row>
    <row r="521" spans="1:11">
      <c r="A521" s="16">
        <v>46082</v>
      </c>
      <c r="B521" s="13">
        <v>2026</v>
      </c>
      <c r="C521" s="13">
        <v>3</v>
      </c>
      <c r="D521" s="13" t="s">
        <v>72</v>
      </c>
      <c r="E521" s="13" t="s">
        <v>68</v>
      </c>
      <c r="F521" s="13" t="s">
        <v>60</v>
      </c>
      <c r="G521" s="19">
        <v>-732.21718696771381</v>
      </c>
      <c r="H521" s="13" t="s">
        <v>86</v>
      </c>
      <c r="I521" s="13" t="s">
        <v>87</v>
      </c>
      <c r="J521" s="21" t="str">
        <f>_xlfn.XLOOKUP(F521,'04_Account_Mapping'!$A$6:$A$14,'04_Account_Mapping'!$C$6:$C$14,"Unmapped",0)</f>
        <v>Selling Expense</v>
      </c>
      <c r="K521" s="21" t="str">
        <f>_xlfn.XLOOKUP(F521,'04_Account_Mapping'!$A$6:$A$14,'04_Account_Mapping'!$D$6:$D$14,"Unmapped",0)</f>
        <v>Expense</v>
      </c>
    </row>
    <row r="522" spans="1:11">
      <c r="A522" s="16">
        <v>46082</v>
      </c>
      <c r="B522" s="13">
        <v>2026</v>
      </c>
      <c r="C522" s="13">
        <v>3</v>
      </c>
      <c r="D522" s="13" t="s">
        <v>72</v>
      </c>
      <c r="E522" s="13" t="s">
        <v>68</v>
      </c>
      <c r="F522" s="13" t="s">
        <v>61</v>
      </c>
      <c r="G522" s="19">
        <v>-174.05162641035818</v>
      </c>
      <c r="H522" s="13" t="s">
        <v>86</v>
      </c>
      <c r="I522" s="13" t="s">
        <v>87</v>
      </c>
      <c r="J522" s="21" t="str">
        <f>_xlfn.XLOOKUP(F522,'04_Account_Mapping'!$A$6:$A$14,'04_Account_Mapping'!$C$6:$C$14,"Unmapped",0)</f>
        <v>G&amp;A</v>
      </c>
      <c r="K522" s="21" t="str">
        <f>_xlfn.XLOOKUP(F522,'04_Account_Mapping'!$A$6:$A$14,'04_Account_Mapping'!$D$6:$D$14,"Unmapped",0)</f>
        <v>Expense</v>
      </c>
    </row>
    <row r="523" spans="1:11">
      <c r="A523" s="16">
        <v>46082</v>
      </c>
      <c r="B523" s="13">
        <v>2026</v>
      </c>
      <c r="C523" s="13">
        <v>3</v>
      </c>
      <c r="D523" s="13" t="s">
        <v>72</v>
      </c>
      <c r="E523" s="13" t="s">
        <v>68</v>
      </c>
      <c r="F523" s="13" t="s">
        <v>62</v>
      </c>
      <c r="G523" s="19">
        <v>120.03560442093668</v>
      </c>
      <c r="H523" s="13" t="s">
        <v>86</v>
      </c>
      <c r="I523" s="13" t="s">
        <v>87</v>
      </c>
      <c r="J523" s="21" t="str">
        <f>_xlfn.XLOOKUP(F523,'04_Account_Mapping'!$A$6:$A$14,'04_Account_Mapping'!$C$6:$C$14,"Unmapped",0)</f>
        <v>Finance Income</v>
      </c>
      <c r="K523" s="21" t="str">
        <f>_xlfn.XLOOKUP(F523,'04_Account_Mapping'!$A$6:$A$14,'04_Account_Mapping'!$D$6:$D$14,"Unmapped",0)</f>
        <v>Income</v>
      </c>
    </row>
    <row r="524" spans="1:11">
      <c r="A524" s="16">
        <v>46082</v>
      </c>
      <c r="B524" s="13">
        <v>2026</v>
      </c>
      <c r="C524" s="13">
        <v>3</v>
      </c>
      <c r="D524" s="13" t="s">
        <v>72</v>
      </c>
      <c r="E524" s="13" t="s">
        <v>68</v>
      </c>
      <c r="F524" s="13" t="s">
        <v>63</v>
      </c>
      <c r="G524" s="19">
        <v>-60.017802210468339</v>
      </c>
      <c r="H524" s="13" t="s">
        <v>86</v>
      </c>
      <c r="I524" s="13" t="s">
        <v>87</v>
      </c>
      <c r="J524" s="21" t="str">
        <f>_xlfn.XLOOKUP(F524,'04_Account_Mapping'!$A$6:$A$14,'04_Account_Mapping'!$C$6:$C$14,"Unmapped",0)</f>
        <v>Finance Expense</v>
      </c>
      <c r="K524" s="21" t="str">
        <f>_xlfn.XLOOKUP(F524,'04_Account_Mapping'!$A$6:$A$14,'04_Account_Mapping'!$D$6:$D$14,"Unmapped",0)</f>
        <v>Expense</v>
      </c>
    </row>
    <row r="525" spans="1:11">
      <c r="A525" s="16">
        <v>46082</v>
      </c>
      <c r="B525" s="13">
        <v>2026</v>
      </c>
      <c r="C525" s="13">
        <v>3</v>
      </c>
      <c r="D525" s="13" t="s">
        <v>72</v>
      </c>
      <c r="E525" s="13" t="s">
        <v>68</v>
      </c>
      <c r="F525" s="13" t="s">
        <v>64</v>
      </c>
      <c r="G525" s="19">
        <v>1.2003560442093668</v>
      </c>
      <c r="H525" s="13" t="s">
        <v>86</v>
      </c>
      <c r="I525" s="13" t="s">
        <v>87</v>
      </c>
      <c r="J525" s="21" t="str">
        <f>_xlfn.XLOOKUP(F525,'04_Account_Mapping'!$A$6:$A$14,'04_Account_Mapping'!$C$6:$C$14,"Unmapped",0)</f>
        <v>JV Profit/(Loss)</v>
      </c>
      <c r="K525" s="21" t="str">
        <f>_xlfn.XLOOKUP(F525,'04_Account_Mapping'!$A$6:$A$14,'04_Account_Mapping'!$D$6:$D$14,"Unmapped",0)</f>
        <v>Income</v>
      </c>
    </row>
    <row r="526" spans="1:11">
      <c r="A526" s="16">
        <v>46082</v>
      </c>
      <c r="B526" s="13">
        <v>2026</v>
      </c>
      <c r="C526" s="13">
        <v>3</v>
      </c>
      <c r="D526" s="13" t="s">
        <v>72</v>
      </c>
      <c r="E526" s="13" t="s">
        <v>68</v>
      </c>
      <c r="F526" s="13" t="s">
        <v>65</v>
      </c>
      <c r="G526" s="19">
        <v>0</v>
      </c>
      <c r="H526" s="13" t="s">
        <v>86</v>
      </c>
      <c r="I526" s="13" t="s">
        <v>87</v>
      </c>
      <c r="J526" s="21" t="str">
        <f>_xlfn.XLOOKUP(F526,'04_Account_Mapping'!$A$6:$A$14,'04_Account_Mapping'!$C$6:$C$14,"Unmapped",0)</f>
        <v>Other Net</v>
      </c>
      <c r="K526" s="21" t="str">
        <f>_xlfn.XLOOKUP(F526,'04_Account_Mapping'!$A$6:$A$14,'04_Account_Mapping'!$D$6:$D$14,"Unmapped",0)</f>
        <v>Income</v>
      </c>
    </row>
    <row r="527" spans="1:11">
      <c r="A527" s="16">
        <v>46082</v>
      </c>
      <c r="B527" s="13">
        <v>2026</v>
      </c>
      <c r="C527" s="13">
        <v>3</v>
      </c>
      <c r="D527" s="13" t="s">
        <v>72</v>
      </c>
      <c r="E527" s="13" t="s">
        <v>68</v>
      </c>
      <c r="F527" s="13" t="s">
        <v>66</v>
      </c>
      <c r="G527" s="19">
        <v>-74.616727072474148</v>
      </c>
      <c r="H527" s="13" t="s">
        <v>86</v>
      </c>
      <c r="I527" s="13" t="s">
        <v>87</v>
      </c>
      <c r="J527" s="21" t="str">
        <f>_xlfn.XLOOKUP(F527,'04_Account_Mapping'!$A$6:$A$14,'04_Account_Mapping'!$C$6:$C$14,"Unmapped",0)</f>
        <v>Tax Expense</v>
      </c>
      <c r="K527" s="21" t="str">
        <f>_xlfn.XLOOKUP(F527,'04_Account_Mapping'!$A$6:$A$14,'04_Account_Mapping'!$D$6:$D$14,"Unmapped",0)</f>
        <v>Expense</v>
      </c>
    </row>
    <row r="528" spans="1:11">
      <c r="A528" s="16">
        <v>46082</v>
      </c>
      <c r="B528" s="13">
        <v>2026</v>
      </c>
      <c r="C528" s="13">
        <v>3</v>
      </c>
      <c r="D528" s="13" t="s">
        <v>73</v>
      </c>
      <c r="E528" s="13" t="s">
        <v>74</v>
      </c>
      <c r="F528" s="13" t="s">
        <v>55</v>
      </c>
      <c r="G528" s="19">
        <v>4110.8083705800236</v>
      </c>
      <c r="H528" s="13" t="s">
        <v>86</v>
      </c>
      <c r="I528" s="13" t="s">
        <v>87</v>
      </c>
      <c r="J528" s="21" t="str">
        <f>_xlfn.XLOOKUP(F528,'04_Account_Mapping'!$A$6:$A$14,'04_Account_Mapping'!$C$6:$C$14,"Unmapped",0)</f>
        <v>Revenue</v>
      </c>
      <c r="K528" s="21" t="str">
        <f>_xlfn.XLOOKUP(F528,'04_Account_Mapping'!$A$6:$A$14,'04_Account_Mapping'!$D$6:$D$14,"Unmapped",0)</f>
        <v>Income</v>
      </c>
    </row>
    <row r="529" spans="1:11">
      <c r="A529" s="16">
        <v>46082</v>
      </c>
      <c r="B529" s="13">
        <v>2026</v>
      </c>
      <c r="C529" s="13">
        <v>3</v>
      </c>
      <c r="D529" s="13" t="s">
        <v>73</v>
      </c>
      <c r="E529" s="13" t="s">
        <v>74</v>
      </c>
      <c r="F529" s="13" t="s">
        <v>58</v>
      </c>
      <c r="G529" s="19">
        <v>-3276.4698154527873</v>
      </c>
      <c r="H529" s="13" t="s">
        <v>86</v>
      </c>
      <c r="I529" s="13" t="s">
        <v>87</v>
      </c>
      <c r="J529" s="21" t="str">
        <f>_xlfn.XLOOKUP(F529,'04_Account_Mapping'!$A$6:$A$14,'04_Account_Mapping'!$C$6:$C$14,"Unmapped",0)</f>
        <v>COGS</v>
      </c>
      <c r="K529" s="21" t="str">
        <f>_xlfn.XLOOKUP(F529,'04_Account_Mapping'!$A$6:$A$14,'04_Account_Mapping'!$D$6:$D$14,"Unmapped",0)</f>
        <v>Expense</v>
      </c>
    </row>
    <row r="530" spans="1:11">
      <c r="A530" s="16">
        <v>46082</v>
      </c>
      <c r="B530" s="13">
        <v>2026</v>
      </c>
      <c r="C530" s="13">
        <v>3</v>
      </c>
      <c r="D530" s="13" t="s">
        <v>73</v>
      </c>
      <c r="E530" s="13" t="s">
        <v>74</v>
      </c>
      <c r="F530" s="13" t="s">
        <v>60</v>
      </c>
      <c r="G530" s="19">
        <v>-501.51862121076294</v>
      </c>
      <c r="H530" s="13" t="s">
        <v>86</v>
      </c>
      <c r="I530" s="13" t="s">
        <v>87</v>
      </c>
      <c r="J530" s="21" t="str">
        <f>_xlfn.XLOOKUP(F530,'04_Account_Mapping'!$A$6:$A$14,'04_Account_Mapping'!$C$6:$C$14,"Unmapped",0)</f>
        <v>Selling Expense</v>
      </c>
      <c r="K530" s="21" t="str">
        <f>_xlfn.XLOOKUP(F530,'04_Account_Mapping'!$A$6:$A$14,'04_Account_Mapping'!$D$6:$D$14,"Unmapped",0)</f>
        <v>Expense</v>
      </c>
    </row>
    <row r="531" spans="1:11">
      <c r="A531" s="16">
        <v>46082</v>
      </c>
      <c r="B531" s="13">
        <v>2026</v>
      </c>
      <c r="C531" s="13">
        <v>3</v>
      </c>
      <c r="D531" s="13" t="s">
        <v>73</v>
      </c>
      <c r="E531" s="13" t="s">
        <v>74</v>
      </c>
      <c r="F531" s="13" t="s">
        <v>61</v>
      </c>
      <c r="G531" s="19">
        <v>-119.21344274682069</v>
      </c>
      <c r="H531" s="13" t="s">
        <v>86</v>
      </c>
      <c r="I531" s="13" t="s">
        <v>87</v>
      </c>
      <c r="J531" s="21" t="str">
        <f>_xlfn.XLOOKUP(F531,'04_Account_Mapping'!$A$6:$A$14,'04_Account_Mapping'!$C$6:$C$14,"Unmapped",0)</f>
        <v>G&amp;A</v>
      </c>
      <c r="K531" s="21" t="str">
        <f>_xlfn.XLOOKUP(F531,'04_Account_Mapping'!$A$6:$A$14,'04_Account_Mapping'!$D$6:$D$14,"Unmapped",0)</f>
        <v>Expense</v>
      </c>
    </row>
    <row r="532" spans="1:11">
      <c r="A532" s="16">
        <v>46082</v>
      </c>
      <c r="B532" s="13">
        <v>2026</v>
      </c>
      <c r="C532" s="13">
        <v>3</v>
      </c>
      <c r="D532" s="13" t="s">
        <v>73</v>
      </c>
      <c r="E532" s="13" t="s">
        <v>74</v>
      </c>
      <c r="F532" s="13" t="s">
        <v>62</v>
      </c>
      <c r="G532" s="19">
        <v>82.21616741160048</v>
      </c>
      <c r="H532" s="13" t="s">
        <v>86</v>
      </c>
      <c r="I532" s="13" t="s">
        <v>87</v>
      </c>
      <c r="J532" s="21" t="str">
        <f>_xlfn.XLOOKUP(F532,'04_Account_Mapping'!$A$6:$A$14,'04_Account_Mapping'!$C$6:$C$14,"Unmapped",0)</f>
        <v>Finance Income</v>
      </c>
      <c r="K532" s="21" t="str">
        <f>_xlfn.XLOOKUP(F532,'04_Account_Mapping'!$A$6:$A$14,'04_Account_Mapping'!$D$6:$D$14,"Unmapped",0)</f>
        <v>Income</v>
      </c>
    </row>
    <row r="533" spans="1:11">
      <c r="A533" s="16">
        <v>46082</v>
      </c>
      <c r="B533" s="13">
        <v>2026</v>
      </c>
      <c r="C533" s="13">
        <v>3</v>
      </c>
      <c r="D533" s="13" t="s">
        <v>73</v>
      </c>
      <c r="E533" s="13" t="s">
        <v>74</v>
      </c>
      <c r="F533" s="13" t="s">
        <v>63</v>
      </c>
      <c r="G533" s="19">
        <v>-41.10808370580024</v>
      </c>
      <c r="H533" s="13" t="s">
        <v>86</v>
      </c>
      <c r="I533" s="13" t="s">
        <v>87</v>
      </c>
      <c r="J533" s="21" t="str">
        <f>_xlfn.XLOOKUP(F533,'04_Account_Mapping'!$A$6:$A$14,'04_Account_Mapping'!$C$6:$C$14,"Unmapped",0)</f>
        <v>Finance Expense</v>
      </c>
      <c r="K533" s="21" t="str">
        <f>_xlfn.XLOOKUP(F533,'04_Account_Mapping'!$A$6:$A$14,'04_Account_Mapping'!$D$6:$D$14,"Unmapped",0)</f>
        <v>Expense</v>
      </c>
    </row>
    <row r="534" spans="1:11">
      <c r="A534" s="16">
        <v>46082</v>
      </c>
      <c r="B534" s="13">
        <v>2026</v>
      </c>
      <c r="C534" s="13">
        <v>3</v>
      </c>
      <c r="D534" s="13" t="s">
        <v>73</v>
      </c>
      <c r="E534" s="13" t="s">
        <v>74</v>
      </c>
      <c r="F534" s="13" t="s">
        <v>64</v>
      </c>
      <c r="G534" s="19">
        <v>0.82216167411600483</v>
      </c>
      <c r="H534" s="13" t="s">
        <v>86</v>
      </c>
      <c r="I534" s="13" t="s">
        <v>87</v>
      </c>
      <c r="J534" s="21" t="str">
        <f>_xlfn.XLOOKUP(F534,'04_Account_Mapping'!$A$6:$A$14,'04_Account_Mapping'!$C$6:$C$14,"Unmapped",0)</f>
        <v>JV Profit/(Loss)</v>
      </c>
      <c r="K534" s="21" t="str">
        <f>_xlfn.XLOOKUP(F534,'04_Account_Mapping'!$A$6:$A$14,'04_Account_Mapping'!$D$6:$D$14,"Unmapped",0)</f>
        <v>Income</v>
      </c>
    </row>
    <row r="535" spans="1:11">
      <c r="A535" s="16">
        <v>46082</v>
      </c>
      <c r="B535" s="13">
        <v>2026</v>
      </c>
      <c r="C535" s="13">
        <v>3</v>
      </c>
      <c r="D535" s="13" t="s">
        <v>73</v>
      </c>
      <c r="E535" s="13" t="s">
        <v>74</v>
      </c>
      <c r="F535" s="13" t="s">
        <v>65</v>
      </c>
      <c r="G535" s="19">
        <v>0</v>
      </c>
      <c r="H535" s="13" t="s">
        <v>86</v>
      </c>
      <c r="I535" s="13" t="s">
        <v>87</v>
      </c>
      <c r="J535" s="21" t="str">
        <f>_xlfn.XLOOKUP(F535,'04_Account_Mapping'!$A$6:$A$14,'04_Account_Mapping'!$C$6:$C$14,"Unmapped",0)</f>
        <v>Other Net</v>
      </c>
      <c r="K535" s="21" t="str">
        <f>_xlfn.XLOOKUP(F535,'04_Account_Mapping'!$A$6:$A$14,'04_Account_Mapping'!$D$6:$D$14,"Unmapped",0)</f>
        <v>Income</v>
      </c>
    </row>
    <row r="536" spans="1:11">
      <c r="A536" s="16">
        <v>46082</v>
      </c>
      <c r="B536" s="13">
        <v>2026</v>
      </c>
      <c r="C536" s="13">
        <v>3</v>
      </c>
      <c r="D536" s="13" t="s">
        <v>73</v>
      </c>
      <c r="E536" s="13" t="s">
        <v>74</v>
      </c>
      <c r="F536" s="13" t="s">
        <v>66</v>
      </c>
      <c r="G536" s="19">
        <v>-51.107347309913813</v>
      </c>
      <c r="H536" s="13" t="s">
        <v>86</v>
      </c>
      <c r="I536" s="13" t="s">
        <v>87</v>
      </c>
      <c r="J536" s="21" t="str">
        <f>_xlfn.XLOOKUP(F536,'04_Account_Mapping'!$A$6:$A$14,'04_Account_Mapping'!$C$6:$C$14,"Unmapped",0)</f>
        <v>Tax Expense</v>
      </c>
      <c r="K536" s="21" t="str">
        <f>_xlfn.XLOOKUP(F536,'04_Account_Mapping'!$A$6:$A$14,'04_Account_Mapping'!$D$6:$D$14,"Unmapped",0)</f>
        <v>Expense</v>
      </c>
    </row>
    <row r="537" spans="1:11">
      <c r="A537" s="16">
        <v>46082</v>
      </c>
      <c r="B537" s="13">
        <v>2026</v>
      </c>
      <c r="C537" s="13">
        <v>3</v>
      </c>
      <c r="D537" s="13" t="s">
        <v>75</v>
      </c>
      <c r="E537" s="13" t="s">
        <v>76</v>
      </c>
      <c r="F537" s="13" t="s">
        <v>55</v>
      </c>
      <c r="G537" s="19">
        <v>315.1619750778018</v>
      </c>
      <c r="H537" s="13" t="s">
        <v>86</v>
      </c>
      <c r="I537" s="13" t="s">
        <v>87</v>
      </c>
      <c r="J537" s="21" t="str">
        <f>_xlfn.XLOOKUP(F537,'04_Account_Mapping'!$A$6:$A$14,'04_Account_Mapping'!$C$6:$C$14,"Unmapped",0)</f>
        <v>Revenue</v>
      </c>
      <c r="K537" s="21" t="str">
        <f>_xlfn.XLOOKUP(F537,'04_Account_Mapping'!$A$6:$A$14,'04_Account_Mapping'!$D$6:$D$14,"Unmapped",0)</f>
        <v>Income</v>
      </c>
    </row>
    <row r="538" spans="1:11">
      <c r="A538" s="16">
        <v>46082</v>
      </c>
      <c r="B538" s="13">
        <v>2026</v>
      </c>
      <c r="C538" s="13">
        <v>3</v>
      </c>
      <c r="D538" s="13" t="s">
        <v>75</v>
      </c>
      <c r="E538" s="13" t="s">
        <v>76</v>
      </c>
      <c r="F538" s="13" t="s">
        <v>58</v>
      </c>
      <c r="G538" s="19">
        <v>-251.19601918471369</v>
      </c>
      <c r="H538" s="13" t="s">
        <v>86</v>
      </c>
      <c r="I538" s="13" t="s">
        <v>87</v>
      </c>
      <c r="J538" s="21" t="str">
        <f>_xlfn.XLOOKUP(F538,'04_Account_Mapping'!$A$6:$A$14,'04_Account_Mapping'!$C$6:$C$14,"Unmapped",0)</f>
        <v>COGS</v>
      </c>
      <c r="K538" s="21" t="str">
        <f>_xlfn.XLOOKUP(F538,'04_Account_Mapping'!$A$6:$A$14,'04_Account_Mapping'!$D$6:$D$14,"Unmapped",0)</f>
        <v>Expense</v>
      </c>
    </row>
    <row r="539" spans="1:11">
      <c r="A539" s="16">
        <v>46082</v>
      </c>
      <c r="B539" s="13">
        <v>2026</v>
      </c>
      <c r="C539" s="13">
        <v>3</v>
      </c>
      <c r="D539" s="13" t="s">
        <v>75</v>
      </c>
      <c r="E539" s="13" t="s">
        <v>76</v>
      </c>
      <c r="F539" s="13" t="s">
        <v>60</v>
      </c>
      <c r="G539" s="19">
        <v>-38.449760959491826</v>
      </c>
      <c r="H539" s="13" t="s">
        <v>86</v>
      </c>
      <c r="I539" s="13" t="s">
        <v>87</v>
      </c>
      <c r="J539" s="21" t="str">
        <f>_xlfn.XLOOKUP(F539,'04_Account_Mapping'!$A$6:$A$14,'04_Account_Mapping'!$C$6:$C$14,"Unmapped",0)</f>
        <v>Selling Expense</v>
      </c>
      <c r="K539" s="21" t="str">
        <f>_xlfn.XLOOKUP(F539,'04_Account_Mapping'!$A$6:$A$14,'04_Account_Mapping'!$D$6:$D$14,"Unmapped",0)</f>
        <v>Expense</v>
      </c>
    </row>
    <row r="540" spans="1:11">
      <c r="A540" s="16">
        <v>46082</v>
      </c>
      <c r="B540" s="13">
        <v>2026</v>
      </c>
      <c r="C540" s="13">
        <v>3</v>
      </c>
      <c r="D540" s="13" t="s">
        <v>75</v>
      </c>
      <c r="E540" s="13" t="s">
        <v>76</v>
      </c>
      <c r="F540" s="13" t="s">
        <v>61</v>
      </c>
      <c r="G540" s="19">
        <v>-9.1396972772562535</v>
      </c>
      <c r="H540" s="13" t="s">
        <v>86</v>
      </c>
      <c r="I540" s="13" t="s">
        <v>87</v>
      </c>
      <c r="J540" s="21" t="str">
        <f>_xlfn.XLOOKUP(F540,'04_Account_Mapping'!$A$6:$A$14,'04_Account_Mapping'!$C$6:$C$14,"Unmapped",0)</f>
        <v>G&amp;A</v>
      </c>
      <c r="K540" s="21" t="str">
        <f>_xlfn.XLOOKUP(F540,'04_Account_Mapping'!$A$6:$A$14,'04_Account_Mapping'!$D$6:$D$14,"Unmapped",0)</f>
        <v>Expense</v>
      </c>
    </row>
    <row r="541" spans="1:11">
      <c r="A541" s="16">
        <v>46082</v>
      </c>
      <c r="B541" s="13">
        <v>2026</v>
      </c>
      <c r="C541" s="13">
        <v>3</v>
      </c>
      <c r="D541" s="13" t="s">
        <v>75</v>
      </c>
      <c r="E541" s="13" t="s">
        <v>76</v>
      </c>
      <c r="F541" s="13" t="s">
        <v>62</v>
      </c>
      <c r="G541" s="19">
        <v>6.3032395015560363</v>
      </c>
      <c r="H541" s="13" t="s">
        <v>86</v>
      </c>
      <c r="I541" s="13" t="s">
        <v>87</v>
      </c>
      <c r="J541" s="21" t="str">
        <f>_xlfn.XLOOKUP(F541,'04_Account_Mapping'!$A$6:$A$14,'04_Account_Mapping'!$C$6:$C$14,"Unmapped",0)</f>
        <v>Finance Income</v>
      </c>
      <c r="K541" s="21" t="str">
        <f>_xlfn.XLOOKUP(F541,'04_Account_Mapping'!$A$6:$A$14,'04_Account_Mapping'!$D$6:$D$14,"Unmapped",0)</f>
        <v>Income</v>
      </c>
    </row>
    <row r="542" spans="1:11">
      <c r="A542" s="16">
        <v>46082</v>
      </c>
      <c r="B542" s="13">
        <v>2026</v>
      </c>
      <c r="C542" s="13">
        <v>3</v>
      </c>
      <c r="D542" s="13" t="s">
        <v>75</v>
      </c>
      <c r="E542" s="13" t="s">
        <v>76</v>
      </c>
      <c r="F542" s="13" t="s">
        <v>63</v>
      </c>
      <c r="G542" s="19">
        <v>-3.1516197507780181</v>
      </c>
      <c r="H542" s="13" t="s">
        <v>86</v>
      </c>
      <c r="I542" s="13" t="s">
        <v>87</v>
      </c>
      <c r="J542" s="21" t="str">
        <f>_xlfn.XLOOKUP(F542,'04_Account_Mapping'!$A$6:$A$14,'04_Account_Mapping'!$C$6:$C$14,"Unmapped",0)</f>
        <v>Finance Expense</v>
      </c>
      <c r="K542" s="21" t="str">
        <f>_xlfn.XLOOKUP(F542,'04_Account_Mapping'!$A$6:$A$14,'04_Account_Mapping'!$D$6:$D$14,"Unmapped",0)</f>
        <v>Expense</v>
      </c>
    </row>
    <row r="543" spans="1:11">
      <c r="A543" s="16">
        <v>46082</v>
      </c>
      <c r="B543" s="13">
        <v>2026</v>
      </c>
      <c r="C543" s="13">
        <v>3</v>
      </c>
      <c r="D543" s="13" t="s">
        <v>75</v>
      </c>
      <c r="E543" s="13" t="s">
        <v>76</v>
      </c>
      <c r="F543" s="13" t="s">
        <v>64</v>
      </c>
      <c r="G543" s="19">
        <v>6.3032395015560364E-2</v>
      </c>
      <c r="H543" s="13" t="s">
        <v>86</v>
      </c>
      <c r="I543" s="13" t="s">
        <v>87</v>
      </c>
      <c r="J543" s="21" t="str">
        <f>_xlfn.XLOOKUP(F543,'04_Account_Mapping'!$A$6:$A$14,'04_Account_Mapping'!$C$6:$C$14,"Unmapped",0)</f>
        <v>JV Profit/(Loss)</v>
      </c>
      <c r="K543" s="21" t="str">
        <f>_xlfn.XLOOKUP(F543,'04_Account_Mapping'!$A$6:$A$14,'04_Account_Mapping'!$D$6:$D$14,"Unmapped",0)</f>
        <v>Income</v>
      </c>
    </row>
    <row r="544" spans="1:11">
      <c r="A544" s="16">
        <v>46082</v>
      </c>
      <c r="B544" s="13">
        <v>2026</v>
      </c>
      <c r="C544" s="13">
        <v>3</v>
      </c>
      <c r="D544" s="13" t="s">
        <v>75</v>
      </c>
      <c r="E544" s="13" t="s">
        <v>76</v>
      </c>
      <c r="F544" s="13" t="s">
        <v>65</v>
      </c>
      <c r="G544" s="19">
        <v>0</v>
      </c>
      <c r="H544" s="13" t="s">
        <v>86</v>
      </c>
      <c r="I544" s="13" t="s">
        <v>87</v>
      </c>
      <c r="J544" s="21" t="str">
        <f>_xlfn.XLOOKUP(F544,'04_Account_Mapping'!$A$6:$A$14,'04_Account_Mapping'!$C$6:$C$14,"Unmapped",0)</f>
        <v>Other Net</v>
      </c>
      <c r="K544" s="21" t="str">
        <f>_xlfn.XLOOKUP(F544,'04_Account_Mapping'!$A$6:$A$14,'04_Account_Mapping'!$D$6:$D$14,"Unmapped",0)</f>
        <v>Income</v>
      </c>
    </row>
    <row r="545" spans="1:11">
      <c r="A545" s="16">
        <v>46082</v>
      </c>
      <c r="B545" s="13">
        <v>2026</v>
      </c>
      <c r="C545" s="13">
        <v>3</v>
      </c>
      <c r="D545" s="13" t="s">
        <v>75</v>
      </c>
      <c r="E545" s="13" t="s">
        <v>76</v>
      </c>
      <c r="F545" s="13" t="s">
        <v>66</v>
      </c>
      <c r="G545" s="19">
        <v>-3.9182299604267254</v>
      </c>
      <c r="H545" s="13" t="s">
        <v>86</v>
      </c>
      <c r="I545" s="13" t="s">
        <v>87</v>
      </c>
      <c r="J545" s="21" t="str">
        <f>_xlfn.XLOOKUP(F545,'04_Account_Mapping'!$A$6:$A$14,'04_Account_Mapping'!$C$6:$C$14,"Unmapped",0)</f>
        <v>Tax Expense</v>
      </c>
      <c r="K545" s="21" t="str">
        <f>_xlfn.XLOOKUP(F545,'04_Account_Mapping'!$A$6:$A$14,'04_Account_Mapping'!$D$6:$D$14,"Unmapped",0)</f>
        <v>Expense</v>
      </c>
    </row>
    <row r="546" spans="1:11">
      <c r="A546" s="16">
        <v>46113</v>
      </c>
      <c r="B546" s="13">
        <v>2026</v>
      </c>
      <c r="C546" s="13">
        <v>4</v>
      </c>
      <c r="D546" s="13" t="s">
        <v>67</v>
      </c>
      <c r="E546" s="13" t="s">
        <v>68</v>
      </c>
      <c r="F546" s="13" t="s">
        <v>55</v>
      </c>
      <c r="G546" s="19">
        <v>3551.5602627972798</v>
      </c>
      <c r="H546" s="13" t="s">
        <v>86</v>
      </c>
      <c r="I546" s="13" t="s">
        <v>87</v>
      </c>
      <c r="J546" s="21" t="str">
        <f>_xlfn.XLOOKUP(F546,'04_Account_Mapping'!$A$6:$A$14,'04_Account_Mapping'!$C$6:$C$14,"Unmapped",0)</f>
        <v>Revenue</v>
      </c>
      <c r="K546" s="21" t="str">
        <f>_xlfn.XLOOKUP(F546,'04_Account_Mapping'!$A$6:$A$14,'04_Account_Mapping'!$D$6:$D$14,"Unmapped",0)</f>
        <v>Income</v>
      </c>
    </row>
    <row r="547" spans="1:11">
      <c r="A547" s="16">
        <v>46113</v>
      </c>
      <c r="B547" s="13">
        <v>2026</v>
      </c>
      <c r="C547" s="13">
        <v>4</v>
      </c>
      <c r="D547" s="13" t="s">
        <v>67</v>
      </c>
      <c r="E547" s="13" t="s">
        <v>68</v>
      </c>
      <c r="F547" s="13" t="s">
        <v>58</v>
      </c>
      <c r="G547" s="19">
        <v>-2830.727912810727</v>
      </c>
      <c r="H547" s="13" t="s">
        <v>86</v>
      </c>
      <c r="I547" s="13" t="s">
        <v>87</v>
      </c>
      <c r="J547" s="21" t="str">
        <f>_xlfn.XLOOKUP(F547,'04_Account_Mapping'!$A$6:$A$14,'04_Account_Mapping'!$C$6:$C$14,"Unmapped",0)</f>
        <v>COGS</v>
      </c>
      <c r="K547" s="21" t="str">
        <f>_xlfn.XLOOKUP(F547,'04_Account_Mapping'!$A$6:$A$14,'04_Account_Mapping'!$D$6:$D$14,"Unmapped",0)</f>
        <v>Expense</v>
      </c>
    </row>
    <row r="548" spans="1:11">
      <c r="A548" s="16">
        <v>46113</v>
      </c>
      <c r="B548" s="13">
        <v>2026</v>
      </c>
      <c r="C548" s="13">
        <v>4</v>
      </c>
      <c r="D548" s="13" t="s">
        <v>67</v>
      </c>
      <c r="E548" s="13" t="s">
        <v>68</v>
      </c>
      <c r="F548" s="13" t="s">
        <v>60</v>
      </c>
      <c r="G548" s="19">
        <v>-433.29035206126815</v>
      </c>
      <c r="H548" s="13" t="s">
        <v>86</v>
      </c>
      <c r="I548" s="13" t="s">
        <v>87</v>
      </c>
      <c r="J548" s="21" t="str">
        <f>_xlfn.XLOOKUP(F548,'04_Account_Mapping'!$A$6:$A$14,'04_Account_Mapping'!$C$6:$C$14,"Unmapped",0)</f>
        <v>Selling Expense</v>
      </c>
      <c r="K548" s="21" t="str">
        <f>_xlfn.XLOOKUP(F548,'04_Account_Mapping'!$A$6:$A$14,'04_Account_Mapping'!$D$6:$D$14,"Unmapped",0)</f>
        <v>Expense</v>
      </c>
    </row>
    <row r="549" spans="1:11">
      <c r="A549" s="16">
        <v>46113</v>
      </c>
      <c r="B549" s="13">
        <v>2026</v>
      </c>
      <c r="C549" s="13">
        <v>4</v>
      </c>
      <c r="D549" s="13" t="s">
        <v>67</v>
      </c>
      <c r="E549" s="13" t="s">
        <v>68</v>
      </c>
      <c r="F549" s="13" t="s">
        <v>61</v>
      </c>
      <c r="G549" s="19">
        <v>-102.99524762112112</v>
      </c>
      <c r="H549" s="13" t="s">
        <v>86</v>
      </c>
      <c r="I549" s="13" t="s">
        <v>87</v>
      </c>
      <c r="J549" s="21" t="str">
        <f>_xlfn.XLOOKUP(F549,'04_Account_Mapping'!$A$6:$A$14,'04_Account_Mapping'!$C$6:$C$14,"Unmapped",0)</f>
        <v>G&amp;A</v>
      </c>
      <c r="K549" s="21" t="str">
        <f>_xlfn.XLOOKUP(F549,'04_Account_Mapping'!$A$6:$A$14,'04_Account_Mapping'!$D$6:$D$14,"Unmapped",0)</f>
        <v>Expense</v>
      </c>
    </row>
    <row r="550" spans="1:11">
      <c r="A550" s="16">
        <v>46113</v>
      </c>
      <c r="B550" s="13">
        <v>2026</v>
      </c>
      <c r="C550" s="13">
        <v>4</v>
      </c>
      <c r="D550" s="13" t="s">
        <v>67</v>
      </c>
      <c r="E550" s="13" t="s">
        <v>68</v>
      </c>
      <c r="F550" s="13" t="s">
        <v>62</v>
      </c>
      <c r="G550" s="19">
        <v>71.031205255945594</v>
      </c>
      <c r="H550" s="13" t="s">
        <v>86</v>
      </c>
      <c r="I550" s="13" t="s">
        <v>87</v>
      </c>
      <c r="J550" s="21" t="str">
        <f>_xlfn.XLOOKUP(F550,'04_Account_Mapping'!$A$6:$A$14,'04_Account_Mapping'!$C$6:$C$14,"Unmapped",0)</f>
        <v>Finance Income</v>
      </c>
      <c r="K550" s="21" t="str">
        <f>_xlfn.XLOOKUP(F550,'04_Account_Mapping'!$A$6:$A$14,'04_Account_Mapping'!$D$6:$D$14,"Unmapped",0)</f>
        <v>Income</v>
      </c>
    </row>
    <row r="551" spans="1:11">
      <c r="A551" s="16">
        <v>46113</v>
      </c>
      <c r="B551" s="13">
        <v>2026</v>
      </c>
      <c r="C551" s="13">
        <v>4</v>
      </c>
      <c r="D551" s="13" t="s">
        <v>67</v>
      </c>
      <c r="E551" s="13" t="s">
        <v>68</v>
      </c>
      <c r="F551" s="13" t="s">
        <v>63</v>
      </c>
      <c r="G551" s="19">
        <v>-35.515602627972797</v>
      </c>
      <c r="H551" s="13" t="s">
        <v>86</v>
      </c>
      <c r="I551" s="13" t="s">
        <v>87</v>
      </c>
      <c r="J551" s="21" t="str">
        <f>_xlfn.XLOOKUP(F551,'04_Account_Mapping'!$A$6:$A$14,'04_Account_Mapping'!$C$6:$C$14,"Unmapped",0)</f>
        <v>Finance Expense</v>
      </c>
      <c r="K551" s="21" t="str">
        <f>_xlfn.XLOOKUP(F551,'04_Account_Mapping'!$A$6:$A$14,'04_Account_Mapping'!$D$6:$D$14,"Unmapped",0)</f>
        <v>Expense</v>
      </c>
    </row>
    <row r="552" spans="1:11">
      <c r="A552" s="16">
        <v>46113</v>
      </c>
      <c r="B552" s="13">
        <v>2026</v>
      </c>
      <c r="C552" s="13">
        <v>4</v>
      </c>
      <c r="D552" s="13" t="s">
        <v>67</v>
      </c>
      <c r="E552" s="13" t="s">
        <v>68</v>
      </c>
      <c r="F552" s="13" t="s">
        <v>64</v>
      </c>
      <c r="G552" s="19">
        <v>0.71031205255945595</v>
      </c>
      <c r="H552" s="13" t="s">
        <v>86</v>
      </c>
      <c r="I552" s="13" t="s">
        <v>87</v>
      </c>
      <c r="J552" s="21" t="str">
        <f>_xlfn.XLOOKUP(F552,'04_Account_Mapping'!$A$6:$A$14,'04_Account_Mapping'!$C$6:$C$14,"Unmapped",0)</f>
        <v>JV Profit/(Loss)</v>
      </c>
      <c r="K552" s="21" t="str">
        <f>_xlfn.XLOOKUP(F552,'04_Account_Mapping'!$A$6:$A$14,'04_Account_Mapping'!$D$6:$D$14,"Unmapped",0)</f>
        <v>Income</v>
      </c>
    </row>
    <row r="553" spans="1:11">
      <c r="A553" s="16">
        <v>46113</v>
      </c>
      <c r="B553" s="13">
        <v>2026</v>
      </c>
      <c r="C553" s="13">
        <v>4</v>
      </c>
      <c r="D553" s="13" t="s">
        <v>67</v>
      </c>
      <c r="E553" s="13" t="s">
        <v>68</v>
      </c>
      <c r="F553" s="13" t="s">
        <v>65</v>
      </c>
      <c r="G553" s="19">
        <v>0</v>
      </c>
      <c r="H553" s="13" t="s">
        <v>86</v>
      </c>
      <c r="I553" s="13" t="s">
        <v>87</v>
      </c>
      <c r="J553" s="21" t="str">
        <f>_xlfn.XLOOKUP(F553,'04_Account_Mapping'!$A$6:$A$14,'04_Account_Mapping'!$C$6:$C$14,"Unmapped",0)</f>
        <v>Other Net</v>
      </c>
      <c r="K553" s="21" t="str">
        <f>_xlfn.XLOOKUP(F553,'04_Account_Mapping'!$A$6:$A$14,'04_Account_Mapping'!$D$6:$D$14,"Unmapped",0)</f>
        <v>Income</v>
      </c>
    </row>
    <row r="554" spans="1:11">
      <c r="A554" s="16">
        <v>46113</v>
      </c>
      <c r="B554" s="13">
        <v>2026</v>
      </c>
      <c r="C554" s="13">
        <v>4</v>
      </c>
      <c r="D554" s="13" t="s">
        <v>67</v>
      </c>
      <c r="E554" s="13" t="s">
        <v>68</v>
      </c>
      <c r="F554" s="13" t="s">
        <v>66</v>
      </c>
      <c r="G554" s="19">
        <v>-44.15453299693916</v>
      </c>
      <c r="H554" s="13" t="s">
        <v>86</v>
      </c>
      <c r="I554" s="13" t="s">
        <v>87</v>
      </c>
      <c r="J554" s="21" t="str">
        <f>_xlfn.XLOOKUP(F554,'04_Account_Mapping'!$A$6:$A$14,'04_Account_Mapping'!$C$6:$C$14,"Unmapped",0)</f>
        <v>Tax Expense</v>
      </c>
      <c r="K554" s="21" t="str">
        <f>_xlfn.XLOOKUP(F554,'04_Account_Mapping'!$A$6:$A$14,'04_Account_Mapping'!$D$6:$D$14,"Unmapped",0)</f>
        <v>Expense</v>
      </c>
    </row>
    <row r="555" spans="1:11">
      <c r="A555" s="16">
        <v>46113</v>
      </c>
      <c r="B555" s="13">
        <v>2026</v>
      </c>
      <c r="C555" s="13">
        <v>4</v>
      </c>
      <c r="D555" s="13" t="s">
        <v>72</v>
      </c>
      <c r="E555" s="13" t="s">
        <v>68</v>
      </c>
      <c r="F555" s="13" t="s">
        <v>55</v>
      </c>
      <c r="G555" s="19">
        <v>6508.7171343314167</v>
      </c>
      <c r="H555" s="13" t="s">
        <v>86</v>
      </c>
      <c r="I555" s="13" t="s">
        <v>87</v>
      </c>
      <c r="J555" s="21" t="str">
        <f>_xlfn.XLOOKUP(F555,'04_Account_Mapping'!$A$6:$A$14,'04_Account_Mapping'!$C$6:$C$14,"Unmapped",0)</f>
        <v>Revenue</v>
      </c>
      <c r="K555" s="21" t="str">
        <f>_xlfn.XLOOKUP(F555,'04_Account_Mapping'!$A$6:$A$14,'04_Account_Mapping'!$D$6:$D$14,"Unmapped",0)</f>
        <v>Income</v>
      </c>
    </row>
    <row r="556" spans="1:11">
      <c r="A556" s="16">
        <v>46113</v>
      </c>
      <c r="B556" s="13">
        <v>2026</v>
      </c>
      <c r="C556" s="13">
        <v>4</v>
      </c>
      <c r="D556" s="13" t="s">
        <v>72</v>
      </c>
      <c r="E556" s="13" t="s">
        <v>68</v>
      </c>
      <c r="F556" s="13" t="s">
        <v>58</v>
      </c>
      <c r="G556" s="19">
        <v>-5187.6938318456005</v>
      </c>
      <c r="H556" s="13" t="s">
        <v>86</v>
      </c>
      <c r="I556" s="13" t="s">
        <v>87</v>
      </c>
      <c r="J556" s="21" t="str">
        <f>_xlfn.XLOOKUP(F556,'04_Account_Mapping'!$A$6:$A$14,'04_Account_Mapping'!$C$6:$C$14,"Unmapped",0)</f>
        <v>COGS</v>
      </c>
      <c r="K556" s="21" t="str">
        <f>_xlfn.XLOOKUP(F556,'04_Account_Mapping'!$A$6:$A$14,'04_Account_Mapping'!$D$6:$D$14,"Unmapped",0)</f>
        <v>Expense</v>
      </c>
    </row>
    <row r="557" spans="1:11">
      <c r="A557" s="16">
        <v>46113</v>
      </c>
      <c r="B557" s="13">
        <v>2026</v>
      </c>
      <c r="C557" s="13">
        <v>4</v>
      </c>
      <c r="D557" s="13" t="s">
        <v>72</v>
      </c>
      <c r="E557" s="13" t="s">
        <v>68</v>
      </c>
      <c r="F557" s="13" t="s">
        <v>60</v>
      </c>
      <c r="G557" s="19">
        <v>-794.0634903884328</v>
      </c>
      <c r="H557" s="13" t="s">
        <v>86</v>
      </c>
      <c r="I557" s="13" t="s">
        <v>87</v>
      </c>
      <c r="J557" s="21" t="str">
        <f>_xlfn.XLOOKUP(F557,'04_Account_Mapping'!$A$6:$A$14,'04_Account_Mapping'!$C$6:$C$14,"Unmapped",0)</f>
        <v>Selling Expense</v>
      </c>
      <c r="K557" s="21" t="str">
        <f>_xlfn.XLOOKUP(F557,'04_Account_Mapping'!$A$6:$A$14,'04_Account_Mapping'!$D$6:$D$14,"Unmapped",0)</f>
        <v>Expense</v>
      </c>
    </row>
    <row r="558" spans="1:11">
      <c r="A558" s="16">
        <v>46113</v>
      </c>
      <c r="B558" s="13">
        <v>2026</v>
      </c>
      <c r="C558" s="13">
        <v>4</v>
      </c>
      <c r="D558" s="13" t="s">
        <v>72</v>
      </c>
      <c r="E558" s="13" t="s">
        <v>68</v>
      </c>
      <c r="F558" s="13" t="s">
        <v>61</v>
      </c>
      <c r="G558" s="19">
        <v>-188.75279689561108</v>
      </c>
      <c r="H558" s="13" t="s">
        <v>86</v>
      </c>
      <c r="I558" s="13" t="s">
        <v>87</v>
      </c>
      <c r="J558" s="21" t="str">
        <f>_xlfn.XLOOKUP(F558,'04_Account_Mapping'!$A$6:$A$14,'04_Account_Mapping'!$C$6:$C$14,"Unmapped",0)</f>
        <v>G&amp;A</v>
      </c>
      <c r="K558" s="21" t="str">
        <f>_xlfn.XLOOKUP(F558,'04_Account_Mapping'!$A$6:$A$14,'04_Account_Mapping'!$D$6:$D$14,"Unmapped",0)</f>
        <v>Expense</v>
      </c>
    </row>
    <row r="559" spans="1:11">
      <c r="A559" s="16">
        <v>46113</v>
      </c>
      <c r="B559" s="13">
        <v>2026</v>
      </c>
      <c r="C559" s="13">
        <v>4</v>
      </c>
      <c r="D559" s="13" t="s">
        <v>72</v>
      </c>
      <c r="E559" s="13" t="s">
        <v>68</v>
      </c>
      <c r="F559" s="13" t="s">
        <v>62</v>
      </c>
      <c r="G559" s="19">
        <v>130.17434268662834</v>
      </c>
      <c r="H559" s="13" t="s">
        <v>86</v>
      </c>
      <c r="I559" s="13" t="s">
        <v>87</v>
      </c>
      <c r="J559" s="21" t="str">
        <f>_xlfn.XLOOKUP(F559,'04_Account_Mapping'!$A$6:$A$14,'04_Account_Mapping'!$C$6:$C$14,"Unmapped",0)</f>
        <v>Finance Income</v>
      </c>
      <c r="K559" s="21" t="str">
        <f>_xlfn.XLOOKUP(F559,'04_Account_Mapping'!$A$6:$A$14,'04_Account_Mapping'!$D$6:$D$14,"Unmapped",0)</f>
        <v>Income</v>
      </c>
    </row>
    <row r="560" spans="1:11">
      <c r="A560" s="16">
        <v>46113</v>
      </c>
      <c r="B560" s="13">
        <v>2026</v>
      </c>
      <c r="C560" s="13">
        <v>4</v>
      </c>
      <c r="D560" s="13" t="s">
        <v>72</v>
      </c>
      <c r="E560" s="13" t="s">
        <v>68</v>
      </c>
      <c r="F560" s="13" t="s">
        <v>63</v>
      </c>
      <c r="G560" s="19">
        <v>-65.087171343314168</v>
      </c>
      <c r="H560" s="13" t="s">
        <v>86</v>
      </c>
      <c r="I560" s="13" t="s">
        <v>87</v>
      </c>
      <c r="J560" s="21" t="str">
        <f>_xlfn.XLOOKUP(F560,'04_Account_Mapping'!$A$6:$A$14,'04_Account_Mapping'!$C$6:$C$14,"Unmapped",0)</f>
        <v>Finance Expense</v>
      </c>
      <c r="K560" s="21" t="str">
        <f>_xlfn.XLOOKUP(F560,'04_Account_Mapping'!$A$6:$A$14,'04_Account_Mapping'!$D$6:$D$14,"Unmapped",0)</f>
        <v>Expense</v>
      </c>
    </row>
    <row r="561" spans="1:11">
      <c r="A561" s="16">
        <v>46113</v>
      </c>
      <c r="B561" s="13">
        <v>2026</v>
      </c>
      <c r="C561" s="13">
        <v>4</v>
      </c>
      <c r="D561" s="13" t="s">
        <v>72</v>
      </c>
      <c r="E561" s="13" t="s">
        <v>68</v>
      </c>
      <c r="F561" s="13" t="s">
        <v>64</v>
      </c>
      <c r="G561" s="19">
        <v>1.3017434268662833</v>
      </c>
      <c r="H561" s="13" t="s">
        <v>86</v>
      </c>
      <c r="I561" s="13" t="s">
        <v>87</v>
      </c>
      <c r="J561" s="21" t="str">
        <f>_xlfn.XLOOKUP(F561,'04_Account_Mapping'!$A$6:$A$14,'04_Account_Mapping'!$C$6:$C$14,"Unmapped",0)</f>
        <v>JV Profit/(Loss)</v>
      </c>
      <c r="K561" s="21" t="str">
        <f>_xlfn.XLOOKUP(F561,'04_Account_Mapping'!$A$6:$A$14,'04_Account_Mapping'!$D$6:$D$14,"Unmapped",0)</f>
        <v>Income</v>
      </c>
    </row>
    <row r="562" spans="1:11">
      <c r="A562" s="16">
        <v>46113</v>
      </c>
      <c r="B562" s="13">
        <v>2026</v>
      </c>
      <c r="C562" s="13">
        <v>4</v>
      </c>
      <c r="D562" s="13" t="s">
        <v>72</v>
      </c>
      <c r="E562" s="13" t="s">
        <v>68</v>
      </c>
      <c r="F562" s="13" t="s">
        <v>65</v>
      </c>
      <c r="G562" s="19">
        <v>0</v>
      </c>
      <c r="H562" s="13" t="s">
        <v>86</v>
      </c>
      <c r="I562" s="13" t="s">
        <v>87</v>
      </c>
      <c r="J562" s="21" t="str">
        <f>_xlfn.XLOOKUP(F562,'04_Account_Mapping'!$A$6:$A$14,'04_Account_Mapping'!$C$6:$C$14,"Unmapped",0)</f>
        <v>Other Net</v>
      </c>
      <c r="K562" s="21" t="str">
        <f>_xlfn.XLOOKUP(F562,'04_Account_Mapping'!$A$6:$A$14,'04_Account_Mapping'!$D$6:$D$14,"Unmapped",0)</f>
        <v>Income</v>
      </c>
    </row>
    <row r="563" spans="1:11">
      <c r="A563" s="16">
        <v>46113</v>
      </c>
      <c r="B563" s="13">
        <v>2026</v>
      </c>
      <c r="C563" s="13">
        <v>4</v>
      </c>
      <c r="D563" s="13" t="s">
        <v>72</v>
      </c>
      <c r="E563" s="13" t="s">
        <v>68</v>
      </c>
      <c r="F563" s="13" t="s">
        <v>66</v>
      </c>
      <c r="G563" s="19">
        <v>-80.919185994390588</v>
      </c>
      <c r="H563" s="13" t="s">
        <v>86</v>
      </c>
      <c r="I563" s="13" t="s">
        <v>87</v>
      </c>
      <c r="J563" s="21" t="str">
        <f>_xlfn.XLOOKUP(F563,'04_Account_Mapping'!$A$6:$A$14,'04_Account_Mapping'!$C$6:$C$14,"Unmapped",0)</f>
        <v>Tax Expense</v>
      </c>
      <c r="K563" s="21" t="str">
        <f>_xlfn.XLOOKUP(F563,'04_Account_Mapping'!$A$6:$A$14,'04_Account_Mapping'!$D$6:$D$14,"Unmapped",0)</f>
        <v>Expense</v>
      </c>
    </row>
    <row r="564" spans="1:11">
      <c r="A564" s="16">
        <v>46113</v>
      </c>
      <c r="B564" s="13">
        <v>2026</v>
      </c>
      <c r="C564" s="13">
        <v>4</v>
      </c>
      <c r="D564" s="13" t="s">
        <v>73</v>
      </c>
      <c r="E564" s="13" t="s">
        <v>74</v>
      </c>
      <c r="F564" s="13" t="s">
        <v>55</v>
      </c>
      <c r="G564" s="19">
        <v>4458.0254344735731</v>
      </c>
      <c r="H564" s="13" t="s">
        <v>86</v>
      </c>
      <c r="I564" s="13" t="s">
        <v>87</v>
      </c>
      <c r="J564" s="21" t="str">
        <f>_xlfn.XLOOKUP(F564,'04_Account_Mapping'!$A$6:$A$14,'04_Account_Mapping'!$C$6:$C$14,"Unmapped",0)</f>
        <v>Revenue</v>
      </c>
      <c r="K564" s="21" t="str">
        <f>_xlfn.XLOOKUP(F564,'04_Account_Mapping'!$A$6:$A$14,'04_Account_Mapping'!$D$6:$D$14,"Unmapped",0)</f>
        <v>Income</v>
      </c>
    </row>
    <row r="565" spans="1:11">
      <c r="A565" s="16">
        <v>46113</v>
      </c>
      <c r="B565" s="13">
        <v>2026</v>
      </c>
      <c r="C565" s="13">
        <v>4</v>
      </c>
      <c r="D565" s="13" t="s">
        <v>73</v>
      </c>
      <c r="E565" s="13" t="s">
        <v>74</v>
      </c>
      <c r="F565" s="13" t="s">
        <v>58</v>
      </c>
      <c r="G565" s="19">
        <v>-3553.2149533189045</v>
      </c>
      <c r="H565" s="13" t="s">
        <v>86</v>
      </c>
      <c r="I565" s="13" t="s">
        <v>87</v>
      </c>
      <c r="J565" s="21" t="str">
        <f>_xlfn.XLOOKUP(F565,'04_Account_Mapping'!$A$6:$A$14,'04_Account_Mapping'!$C$6:$C$14,"Unmapped",0)</f>
        <v>COGS</v>
      </c>
      <c r="K565" s="21" t="str">
        <f>_xlfn.XLOOKUP(F565,'04_Account_Mapping'!$A$6:$A$14,'04_Account_Mapping'!$D$6:$D$14,"Unmapped",0)</f>
        <v>Expense</v>
      </c>
    </row>
    <row r="566" spans="1:11">
      <c r="A566" s="16">
        <v>46113</v>
      </c>
      <c r="B566" s="13">
        <v>2026</v>
      </c>
      <c r="C566" s="13">
        <v>4</v>
      </c>
      <c r="D566" s="13" t="s">
        <v>73</v>
      </c>
      <c r="E566" s="13" t="s">
        <v>74</v>
      </c>
      <c r="F566" s="13" t="s">
        <v>60</v>
      </c>
      <c r="G566" s="19">
        <v>-543.87910300577596</v>
      </c>
      <c r="H566" s="13" t="s">
        <v>86</v>
      </c>
      <c r="I566" s="13" t="s">
        <v>87</v>
      </c>
      <c r="J566" s="21" t="str">
        <f>_xlfn.XLOOKUP(F566,'04_Account_Mapping'!$A$6:$A$14,'04_Account_Mapping'!$C$6:$C$14,"Unmapped",0)</f>
        <v>Selling Expense</v>
      </c>
      <c r="K566" s="21" t="str">
        <f>_xlfn.XLOOKUP(F566,'04_Account_Mapping'!$A$6:$A$14,'04_Account_Mapping'!$D$6:$D$14,"Unmapped",0)</f>
        <v>Expense</v>
      </c>
    </row>
    <row r="567" spans="1:11">
      <c r="A567" s="16">
        <v>46113</v>
      </c>
      <c r="B567" s="13">
        <v>2026</v>
      </c>
      <c r="C567" s="13">
        <v>4</v>
      </c>
      <c r="D567" s="13" t="s">
        <v>73</v>
      </c>
      <c r="E567" s="13" t="s">
        <v>74</v>
      </c>
      <c r="F567" s="13" t="s">
        <v>61</v>
      </c>
      <c r="G567" s="19">
        <v>-129.28273759973362</v>
      </c>
      <c r="H567" s="13" t="s">
        <v>86</v>
      </c>
      <c r="I567" s="13" t="s">
        <v>87</v>
      </c>
      <c r="J567" s="21" t="str">
        <f>_xlfn.XLOOKUP(F567,'04_Account_Mapping'!$A$6:$A$14,'04_Account_Mapping'!$C$6:$C$14,"Unmapped",0)</f>
        <v>G&amp;A</v>
      </c>
      <c r="K567" s="21" t="str">
        <f>_xlfn.XLOOKUP(F567,'04_Account_Mapping'!$A$6:$A$14,'04_Account_Mapping'!$D$6:$D$14,"Unmapped",0)</f>
        <v>Expense</v>
      </c>
    </row>
    <row r="568" spans="1:11">
      <c r="A568" s="16">
        <v>46113</v>
      </c>
      <c r="B568" s="13">
        <v>2026</v>
      </c>
      <c r="C568" s="13">
        <v>4</v>
      </c>
      <c r="D568" s="13" t="s">
        <v>73</v>
      </c>
      <c r="E568" s="13" t="s">
        <v>74</v>
      </c>
      <c r="F568" s="13" t="s">
        <v>62</v>
      </c>
      <c r="G568" s="19">
        <v>89.16050868947147</v>
      </c>
      <c r="H568" s="13" t="s">
        <v>86</v>
      </c>
      <c r="I568" s="13" t="s">
        <v>87</v>
      </c>
      <c r="J568" s="21" t="str">
        <f>_xlfn.XLOOKUP(F568,'04_Account_Mapping'!$A$6:$A$14,'04_Account_Mapping'!$C$6:$C$14,"Unmapped",0)</f>
        <v>Finance Income</v>
      </c>
      <c r="K568" s="21" t="str">
        <f>_xlfn.XLOOKUP(F568,'04_Account_Mapping'!$A$6:$A$14,'04_Account_Mapping'!$D$6:$D$14,"Unmapped",0)</f>
        <v>Income</v>
      </c>
    </row>
    <row r="569" spans="1:11">
      <c r="A569" s="16">
        <v>46113</v>
      </c>
      <c r="B569" s="13">
        <v>2026</v>
      </c>
      <c r="C569" s="13">
        <v>4</v>
      </c>
      <c r="D569" s="13" t="s">
        <v>73</v>
      </c>
      <c r="E569" s="13" t="s">
        <v>74</v>
      </c>
      <c r="F569" s="13" t="s">
        <v>63</v>
      </c>
      <c r="G569" s="19">
        <v>-44.580254344735735</v>
      </c>
      <c r="H569" s="13" t="s">
        <v>86</v>
      </c>
      <c r="I569" s="13" t="s">
        <v>87</v>
      </c>
      <c r="J569" s="21" t="str">
        <f>_xlfn.XLOOKUP(F569,'04_Account_Mapping'!$A$6:$A$14,'04_Account_Mapping'!$C$6:$C$14,"Unmapped",0)</f>
        <v>Finance Expense</v>
      </c>
      <c r="K569" s="21" t="str">
        <f>_xlfn.XLOOKUP(F569,'04_Account_Mapping'!$A$6:$A$14,'04_Account_Mapping'!$D$6:$D$14,"Unmapped",0)</f>
        <v>Expense</v>
      </c>
    </row>
    <row r="570" spans="1:11">
      <c r="A570" s="16">
        <v>46113</v>
      </c>
      <c r="B570" s="13">
        <v>2026</v>
      </c>
      <c r="C570" s="13">
        <v>4</v>
      </c>
      <c r="D570" s="13" t="s">
        <v>73</v>
      </c>
      <c r="E570" s="13" t="s">
        <v>74</v>
      </c>
      <c r="F570" s="13" t="s">
        <v>64</v>
      </c>
      <c r="G570" s="19">
        <v>0.89160508689471474</v>
      </c>
      <c r="H570" s="13" t="s">
        <v>86</v>
      </c>
      <c r="I570" s="13" t="s">
        <v>87</v>
      </c>
      <c r="J570" s="21" t="str">
        <f>_xlfn.XLOOKUP(F570,'04_Account_Mapping'!$A$6:$A$14,'04_Account_Mapping'!$C$6:$C$14,"Unmapped",0)</f>
        <v>JV Profit/(Loss)</v>
      </c>
      <c r="K570" s="21" t="str">
        <f>_xlfn.XLOOKUP(F570,'04_Account_Mapping'!$A$6:$A$14,'04_Account_Mapping'!$D$6:$D$14,"Unmapped",0)</f>
        <v>Income</v>
      </c>
    </row>
    <row r="571" spans="1:11">
      <c r="A571" s="16">
        <v>46113</v>
      </c>
      <c r="B571" s="13">
        <v>2026</v>
      </c>
      <c r="C571" s="13">
        <v>4</v>
      </c>
      <c r="D571" s="13" t="s">
        <v>73</v>
      </c>
      <c r="E571" s="13" t="s">
        <v>74</v>
      </c>
      <c r="F571" s="13" t="s">
        <v>65</v>
      </c>
      <c r="G571" s="19">
        <v>0</v>
      </c>
      <c r="H571" s="13" t="s">
        <v>86</v>
      </c>
      <c r="I571" s="13" t="s">
        <v>87</v>
      </c>
      <c r="J571" s="21" t="str">
        <f>_xlfn.XLOOKUP(F571,'04_Account_Mapping'!$A$6:$A$14,'04_Account_Mapping'!$C$6:$C$14,"Unmapped",0)</f>
        <v>Other Net</v>
      </c>
      <c r="K571" s="21" t="str">
        <f>_xlfn.XLOOKUP(F571,'04_Account_Mapping'!$A$6:$A$14,'04_Account_Mapping'!$D$6:$D$14,"Unmapped",0)</f>
        <v>Income</v>
      </c>
    </row>
    <row r="572" spans="1:11">
      <c r="A572" s="16">
        <v>46113</v>
      </c>
      <c r="B572" s="13">
        <v>2026</v>
      </c>
      <c r="C572" s="13">
        <v>4</v>
      </c>
      <c r="D572" s="13" t="s">
        <v>73</v>
      </c>
      <c r="E572" s="13" t="s">
        <v>74</v>
      </c>
      <c r="F572" s="13" t="s">
        <v>66</v>
      </c>
      <c r="G572" s="19">
        <v>-55.424099996157942</v>
      </c>
      <c r="H572" s="13" t="s">
        <v>86</v>
      </c>
      <c r="I572" s="13" t="s">
        <v>87</v>
      </c>
      <c r="J572" s="21" t="str">
        <f>_xlfn.XLOOKUP(F572,'04_Account_Mapping'!$A$6:$A$14,'04_Account_Mapping'!$C$6:$C$14,"Unmapped",0)</f>
        <v>Tax Expense</v>
      </c>
      <c r="K572" s="21" t="str">
        <f>_xlfn.XLOOKUP(F572,'04_Account_Mapping'!$A$6:$A$14,'04_Account_Mapping'!$D$6:$D$14,"Unmapped",0)</f>
        <v>Expense</v>
      </c>
    </row>
    <row r="573" spans="1:11">
      <c r="A573" s="16">
        <v>46113</v>
      </c>
      <c r="B573" s="13">
        <v>2026</v>
      </c>
      <c r="C573" s="13">
        <v>4</v>
      </c>
      <c r="D573" s="13" t="s">
        <v>75</v>
      </c>
      <c r="E573" s="13" t="s">
        <v>76</v>
      </c>
      <c r="F573" s="13" t="s">
        <v>55</v>
      </c>
      <c r="G573" s="19">
        <v>341.78194997630732</v>
      </c>
      <c r="H573" s="13" t="s">
        <v>86</v>
      </c>
      <c r="I573" s="13" t="s">
        <v>87</v>
      </c>
      <c r="J573" s="21" t="str">
        <f>_xlfn.XLOOKUP(F573,'04_Account_Mapping'!$A$6:$A$14,'04_Account_Mapping'!$C$6:$C$14,"Unmapped",0)</f>
        <v>Revenue</v>
      </c>
      <c r="K573" s="21" t="str">
        <f>_xlfn.XLOOKUP(F573,'04_Account_Mapping'!$A$6:$A$14,'04_Account_Mapping'!$D$6:$D$14,"Unmapped",0)</f>
        <v>Income</v>
      </c>
    </row>
    <row r="574" spans="1:11">
      <c r="A574" s="16">
        <v>46113</v>
      </c>
      <c r="B574" s="13">
        <v>2026</v>
      </c>
      <c r="C574" s="13">
        <v>4</v>
      </c>
      <c r="D574" s="13" t="s">
        <v>75</v>
      </c>
      <c r="E574" s="13" t="s">
        <v>76</v>
      </c>
      <c r="F574" s="13" t="s">
        <v>58</v>
      </c>
      <c r="G574" s="19">
        <v>-272.41314642111604</v>
      </c>
      <c r="H574" s="13" t="s">
        <v>86</v>
      </c>
      <c r="I574" s="13" t="s">
        <v>87</v>
      </c>
      <c r="J574" s="21" t="str">
        <f>_xlfn.XLOOKUP(F574,'04_Account_Mapping'!$A$6:$A$14,'04_Account_Mapping'!$C$6:$C$14,"Unmapped",0)</f>
        <v>COGS</v>
      </c>
      <c r="K574" s="21" t="str">
        <f>_xlfn.XLOOKUP(F574,'04_Account_Mapping'!$A$6:$A$14,'04_Account_Mapping'!$D$6:$D$14,"Unmapped",0)</f>
        <v>Expense</v>
      </c>
    </row>
    <row r="575" spans="1:11">
      <c r="A575" s="16">
        <v>46113</v>
      </c>
      <c r="B575" s="13">
        <v>2026</v>
      </c>
      <c r="C575" s="13">
        <v>4</v>
      </c>
      <c r="D575" s="13" t="s">
        <v>75</v>
      </c>
      <c r="E575" s="13" t="s">
        <v>76</v>
      </c>
      <c r="F575" s="13" t="s">
        <v>60</v>
      </c>
      <c r="G575" s="19">
        <v>-41.697397897109489</v>
      </c>
      <c r="H575" s="13" t="s">
        <v>86</v>
      </c>
      <c r="I575" s="13" t="s">
        <v>87</v>
      </c>
      <c r="J575" s="21" t="str">
        <f>_xlfn.XLOOKUP(F575,'04_Account_Mapping'!$A$6:$A$14,'04_Account_Mapping'!$C$6:$C$14,"Unmapped",0)</f>
        <v>Selling Expense</v>
      </c>
      <c r="K575" s="21" t="str">
        <f>_xlfn.XLOOKUP(F575,'04_Account_Mapping'!$A$6:$A$14,'04_Account_Mapping'!$D$6:$D$14,"Unmapped",0)</f>
        <v>Expense</v>
      </c>
    </row>
    <row r="576" spans="1:11">
      <c r="A576" s="16">
        <v>46113</v>
      </c>
      <c r="B576" s="13">
        <v>2026</v>
      </c>
      <c r="C576" s="13">
        <v>4</v>
      </c>
      <c r="D576" s="13" t="s">
        <v>75</v>
      </c>
      <c r="E576" s="13" t="s">
        <v>76</v>
      </c>
      <c r="F576" s="13" t="s">
        <v>61</v>
      </c>
      <c r="G576" s="19">
        <v>-9.9116765493129115</v>
      </c>
      <c r="H576" s="13" t="s">
        <v>86</v>
      </c>
      <c r="I576" s="13" t="s">
        <v>87</v>
      </c>
      <c r="J576" s="21" t="str">
        <f>_xlfn.XLOOKUP(F576,'04_Account_Mapping'!$A$6:$A$14,'04_Account_Mapping'!$C$6:$C$14,"Unmapped",0)</f>
        <v>G&amp;A</v>
      </c>
      <c r="K576" s="21" t="str">
        <f>_xlfn.XLOOKUP(F576,'04_Account_Mapping'!$A$6:$A$14,'04_Account_Mapping'!$D$6:$D$14,"Unmapped",0)</f>
        <v>Expense</v>
      </c>
    </row>
    <row r="577" spans="1:11">
      <c r="A577" s="16">
        <v>46113</v>
      </c>
      <c r="B577" s="13">
        <v>2026</v>
      </c>
      <c r="C577" s="13">
        <v>4</v>
      </c>
      <c r="D577" s="13" t="s">
        <v>75</v>
      </c>
      <c r="E577" s="13" t="s">
        <v>76</v>
      </c>
      <c r="F577" s="13" t="s">
        <v>62</v>
      </c>
      <c r="G577" s="19">
        <v>6.8356389995261457</v>
      </c>
      <c r="H577" s="13" t="s">
        <v>86</v>
      </c>
      <c r="I577" s="13" t="s">
        <v>87</v>
      </c>
      <c r="J577" s="21" t="str">
        <f>_xlfn.XLOOKUP(F577,'04_Account_Mapping'!$A$6:$A$14,'04_Account_Mapping'!$C$6:$C$14,"Unmapped",0)</f>
        <v>Finance Income</v>
      </c>
      <c r="K577" s="21" t="str">
        <f>_xlfn.XLOOKUP(F577,'04_Account_Mapping'!$A$6:$A$14,'04_Account_Mapping'!$D$6:$D$14,"Unmapped",0)</f>
        <v>Income</v>
      </c>
    </row>
    <row r="578" spans="1:11">
      <c r="A578" s="16">
        <v>46113</v>
      </c>
      <c r="B578" s="13">
        <v>2026</v>
      </c>
      <c r="C578" s="13">
        <v>4</v>
      </c>
      <c r="D578" s="13" t="s">
        <v>75</v>
      </c>
      <c r="E578" s="13" t="s">
        <v>76</v>
      </c>
      <c r="F578" s="13" t="s">
        <v>63</v>
      </c>
      <c r="G578" s="19">
        <v>-3.4178194997630729</v>
      </c>
      <c r="H578" s="13" t="s">
        <v>86</v>
      </c>
      <c r="I578" s="13" t="s">
        <v>87</v>
      </c>
      <c r="J578" s="21" t="str">
        <f>_xlfn.XLOOKUP(F578,'04_Account_Mapping'!$A$6:$A$14,'04_Account_Mapping'!$C$6:$C$14,"Unmapped",0)</f>
        <v>Finance Expense</v>
      </c>
      <c r="K578" s="21" t="str">
        <f>_xlfn.XLOOKUP(F578,'04_Account_Mapping'!$A$6:$A$14,'04_Account_Mapping'!$D$6:$D$14,"Unmapped",0)</f>
        <v>Expense</v>
      </c>
    </row>
    <row r="579" spans="1:11">
      <c r="A579" s="16">
        <v>46113</v>
      </c>
      <c r="B579" s="13">
        <v>2026</v>
      </c>
      <c r="C579" s="13">
        <v>4</v>
      </c>
      <c r="D579" s="13" t="s">
        <v>75</v>
      </c>
      <c r="E579" s="13" t="s">
        <v>76</v>
      </c>
      <c r="F579" s="13" t="s">
        <v>64</v>
      </c>
      <c r="G579" s="19">
        <v>6.835638999526146E-2</v>
      </c>
      <c r="H579" s="13" t="s">
        <v>86</v>
      </c>
      <c r="I579" s="13" t="s">
        <v>87</v>
      </c>
      <c r="J579" s="21" t="str">
        <f>_xlfn.XLOOKUP(F579,'04_Account_Mapping'!$A$6:$A$14,'04_Account_Mapping'!$C$6:$C$14,"Unmapped",0)</f>
        <v>JV Profit/(Loss)</v>
      </c>
      <c r="K579" s="21" t="str">
        <f>_xlfn.XLOOKUP(F579,'04_Account_Mapping'!$A$6:$A$14,'04_Account_Mapping'!$D$6:$D$14,"Unmapped",0)</f>
        <v>Income</v>
      </c>
    </row>
    <row r="580" spans="1:11">
      <c r="A580" s="16">
        <v>46113</v>
      </c>
      <c r="B580" s="13">
        <v>2026</v>
      </c>
      <c r="C580" s="13">
        <v>4</v>
      </c>
      <c r="D580" s="13" t="s">
        <v>75</v>
      </c>
      <c r="E580" s="13" t="s">
        <v>76</v>
      </c>
      <c r="F580" s="13" t="s">
        <v>65</v>
      </c>
      <c r="G580" s="19">
        <v>0</v>
      </c>
      <c r="H580" s="13" t="s">
        <v>86</v>
      </c>
      <c r="I580" s="13" t="s">
        <v>87</v>
      </c>
      <c r="J580" s="21" t="str">
        <f>_xlfn.XLOOKUP(F580,'04_Account_Mapping'!$A$6:$A$14,'04_Account_Mapping'!$C$6:$C$14,"Unmapped",0)</f>
        <v>Other Net</v>
      </c>
      <c r="K580" s="21" t="str">
        <f>_xlfn.XLOOKUP(F580,'04_Account_Mapping'!$A$6:$A$14,'04_Account_Mapping'!$D$6:$D$14,"Unmapped",0)</f>
        <v>Income</v>
      </c>
    </row>
    <row r="581" spans="1:11">
      <c r="A581" s="16">
        <v>46113</v>
      </c>
      <c r="B581" s="13">
        <v>2026</v>
      </c>
      <c r="C581" s="13">
        <v>4</v>
      </c>
      <c r="D581" s="13" t="s">
        <v>75</v>
      </c>
      <c r="E581" s="13" t="s">
        <v>76</v>
      </c>
      <c r="F581" s="13" t="s">
        <v>66</v>
      </c>
      <c r="G581" s="19">
        <v>-4.2491809997054419</v>
      </c>
      <c r="H581" s="13" t="s">
        <v>86</v>
      </c>
      <c r="I581" s="13" t="s">
        <v>87</v>
      </c>
      <c r="J581" s="21" t="str">
        <f>_xlfn.XLOOKUP(F581,'04_Account_Mapping'!$A$6:$A$14,'04_Account_Mapping'!$C$6:$C$14,"Unmapped",0)</f>
        <v>Tax Expense</v>
      </c>
      <c r="K581" s="21" t="str">
        <f>_xlfn.XLOOKUP(F581,'04_Account_Mapping'!$A$6:$A$14,'04_Account_Mapping'!$D$6:$D$14,"Unmapped",0)</f>
        <v>Expense</v>
      </c>
    </row>
    <row r="582" spans="1:11">
      <c r="A582" s="16">
        <v>46143</v>
      </c>
      <c r="B582" s="13">
        <v>2026</v>
      </c>
      <c r="C582" s="13">
        <v>5</v>
      </c>
      <c r="D582" s="13" t="s">
        <v>67</v>
      </c>
      <c r="E582" s="13" t="s">
        <v>68</v>
      </c>
      <c r="F582" s="13" t="s">
        <v>55</v>
      </c>
      <c r="G582" s="19">
        <v>3565.7166732835567</v>
      </c>
      <c r="H582" s="13" t="s">
        <v>86</v>
      </c>
      <c r="I582" s="13" t="s">
        <v>87</v>
      </c>
      <c r="J582" s="21" t="str">
        <f>_xlfn.XLOOKUP(F582,'04_Account_Mapping'!$A$6:$A$14,'04_Account_Mapping'!$C$6:$C$14,"Unmapped",0)</f>
        <v>Revenue</v>
      </c>
      <c r="K582" s="21" t="str">
        <f>_xlfn.XLOOKUP(F582,'04_Account_Mapping'!$A$6:$A$14,'04_Account_Mapping'!$D$6:$D$14,"Unmapped",0)</f>
        <v>Income</v>
      </c>
    </row>
    <row r="583" spans="1:11">
      <c r="A583" s="16">
        <v>46143</v>
      </c>
      <c r="B583" s="13">
        <v>2026</v>
      </c>
      <c r="C583" s="13">
        <v>5</v>
      </c>
      <c r="D583" s="13" t="s">
        <v>67</v>
      </c>
      <c r="E583" s="13" t="s">
        <v>68</v>
      </c>
      <c r="F583" s="13" t="s">
        <v>58</v>
      </c>
      <c r="G583" s="19">
        <v>-2842.0111076162539</v>
      </c>
      <c r="H583" s="13" t="s">
        <v>86</v>
      </c>
      <c r="I583" s="13" t="s">
        <v>87</v>
      </c>
      <c r="J583" s="21" t="str">
        <f>_xlfn.XLOOKUP(F583,'04_Account_Mapping'!$A$6:$A$14,'04_Account_Mapping'!$C$6:$C$14,"Unmapped",0)</f>
        <v>COGS</v>
      </c>
      <c r="K583" s="21" t="str">
        <f>_xlfn.XLOOKUP(F583,'04_Account_Mapping'!$A$6:$A$14,'04_Account_Mapping'!$D$6:$D$14,"Unmapped",0)</f>
        <v>Expense</v>
      </c>
    </row>
    <row r="584" spans="1:11">
      <c r="A584" s="16">
        <v>46143</v>
      </c>
      <c r="B584" s="13">
        <v>2026</v>
      </c>
      <c r="C584" s="13">
        <v>5</v>
      </c>
      <c r="D584" s="13" t="s">
        <v>67</v>
      </c>
      <c r="E584" s="13" t="s">
        <v>68</v>
      </c>
      <c r="F584" s="13" t="s">
        <v>60</v>
      </c>
      <c r="G584" s="19">
        <v>-435.01743414059393</v>
      </c>
      <c r="H584" s="13" t="s">
        <v>86</v>
      </c>
      <c r="I584" s="13" t="s">
        <v>87</v>
      </c>
      <c r="J584" s="21" t="str">
        <f>_xlfn.XLOOKUP(F584,'04_Account_Mapping'!$A$6:$A$14,'04_Account_Mapping'!$C$6:$C$14,"Unmapped",0)</f>
        <v>Selling Expense</v>
      </c>
      <c r="K584" s="21" t="str">
        <f>_xlfn.XLOOKUP(F584,'04_Account_Mapping'!$A$6:$A$14,'04_Account_Mapping'!$D$6:$D$14,"Unmapped",0)</f>
        <v>Expense</v>
      </c>
    </row>
    <row r="585" spans="1:11">
      <c r="A585" s="16">
        <v>46143</v>
      </c>
      <c r="B585" s="13">
        <v>2026</v>
      </c>
      <c r="C585" s="13">
        <v>5</v>
      </c>
      <c r="D585" s="13" t="s">
        <v>67</v>
      </c>
      <c r="E585" s="13" t="s">
        <v>68</v>
      </c>
      <c r="F585" s="13" t="s">
        <v>61</v>
      </c>
      <c r="G585" s="19">
        <v>-103.40578352522314</v>
      </c>
      <c r="H585" s="13" t="s">
        <v>86</v>
      </c>
      <c r="I585" s="13" t="s">
        <v>87</v>
      </c>
      <c r="J585" s="21" t="str">
        <f>_xlfn.XLOOKUP(F585,'04_Account_Mapping'!$A$6:$A$14,'04_Account_Mapping'!$C$6:$C$14,"Unmapped",0)</f>
        <v>G&amp;A</v>
      </c>
      <c r="K585" s="21" t="str">
        <f>_xlfn.XLOOKUP(F585,'04_Account_Mapping'!$A$6:$A$14,'04_Account_Mapping'!$D$6:$D$14,"Unmapped",0)</f>
        <v>Expense</v>
      </c>
    </row>
    <row r="586" spans="1:11">
      <c r="A586" s="16">
        <v>46143</v>
      </c>
      <c r="B586" s="13">
        <v>2026</v>
      </c>
      <c r="C586" s="13">
        <v>5</v>
      </c>
      <c r="D586" s="13" t="s">
        <v>67</v>
      </c>
      <c r="E586" s="13" t="s">
        <v>68</v>
      </c>
      <c r="F586" s="13" t="s">
        <v>62</v>
      </c>
      <c r="G586" s="19">
        <v>71.31433346567114</v>
      </c>
      <c r="H586" s="13" t="s">
        <v>86</v>
      </c>
      <c r="I586" s="13" t="s">
        <v>87</v>
      </c>
      <c r="J586" s="21" t="str">
        <f>_xlfn.XLOOKUP(F586,'04_Account_Mapping'!$A$6:$A$14,'04_Account_Mapping'!$C$6:$C$14,"Unmapped",0)</f>
        <v>Finance Income</v>
      </c>
      <c r="K586" s="21" t="str">
        <f>_xlfn.XLOOKUP(F586,'04_Account_Mapping'!$A$6:$A$14,'04_Account_Mapping'!$D$6:$D$14,"Unmapped",0)</f>
        <v>Income</v>
      </c>
    </row>
    <row r="587" spans="1:11">
      <c r="A587" s="16">
        <v>46143</v>
      </c>
      <c r="B587" s="13">
        <v>2026</v>
      </c>
      <c r="C587" s="13">
        <v>5</v>
      </c>
      <c r="D587" s="13" t="s">
        <v>67</v>
      </c>
      <c r="E587" s="13" t="s">
        <v>68</v>
      </c>
      <c r="F587" s="13" t="s">
        <v>63</v>
      </c>
      <c r="G587" s="19">
        <v>-35.65716673283557</v>
      </c>
      <c r="H587" s="13" t="s">
        <v>86</v>
      </c>
      <c r="I587" s="13" t="s">
        <v>87</v>
      </c>
      <c r="J587" s="21" t="str">
        <f>_xlfn.XLOOKUP(F587,'04_Account_Mapping'!$A$6:$A$14,'04_Account_Mapping'!$C$6:$C$14,"Unmapped",0)</f>
        <v>Finance Expense</v>
      </c>
      <c r="K587" s="21" t="str">
        <f>_xlfn.XLOOKUP(F587,'04_Account_Mapping'!$A$6:$A$14,'04_Account_Mapping'!$D$6:$D$14,"Unmapped",0)</f>
        <v>Expense</v>
      </c>
    </row>
    <row r="588" spans="1:11">
      <c r="A588" s="16">
        <v>46143</v>
      </c>
      <c r="B588" s="13">
        <v>2026</v>
      </c>
      <c r="C588" s="13">
        <v>5</v>
      </c>
      <c r="D588" s="13" t="s">
        <v>67</v>
      </c>
      <c r="E588" s="13" t="s">
        <v>68</v>
      </c>
      <c r="F588" s="13" t="s">
        <v>64</v>
      </c>
      <c r="G588" s="19">
        <v>0.71314333465671131</v>
      </c>
      <c r="H588" s="13" t="s">
        <v>86</v>
      </c>
      <c r="I588" s="13" t="s">
        <v>87</v>
      </c>
      <c r="J588" s="21" t="str">
        <f>_xlfn.XLOOKUP(F588,'04_Account_Mapping'!$A$6:$A$14,'04_Account_Mapping'!$C$6:$C$14,"Unmapped",0)</f>
        <v>JV Profit/(Loss)</v>
      </c>
      <c r="K588" s="21" t="str">
        <f>_xlfn.XLOOKUP(F588,'04_Account_Mapping'!$A$6:$A$14,'04_Account_Mapping'!$D$6:$D$14,"Unmapped",0)</f>
        <v>Income</v>
      </c>
    </row>
    <row r="589" spans="1:11">
      <c r="A589" s="16">
        <v>46143</v>
      </c>
      <c r="B589" s="13">
        <v>2026</v>
      </c>
      <c r="C589" s="13">
        <v>5</v>
      </c>
      <c r="D589" s="13" t="s">
        <v>67</v>
      </c>
      <c r="E589" s="13" t="s">
        <v>68</v>
      </c>
      <c r="F589" s="13" t="s">
        <v>65</v>
      </c>
      <c r="G589" s="19">
        <v>0</v>
      </c>
      <c r="H589" s="13" t="s">
        <v>86</v>
      </c>
      <c r="I589" s="13" t="s">
        <v>87</v>
      </c>
      <c r="J589" s="21" t="str">
        <f>_xlfn.XLOOKUP(F589,'04_Account_Mapping'!$A$6:$A$14,'04_Account_Mapping'!$C$6:$C$14,"Unmapped",0)</f>
        <v>Other Net</v>
      </c>
      <c r="K589" s="21" t="str">
        <f>_xlfn.XLOOKUP(F589,'04_Account_Mapping'!$A$6:$A$14,'04_Account_Mapping'!$D$6:$D$14,"Unmapped",0)</f>
        <v>Income</v>
      </c>
    </row>
    <row r="590" spans="1:11">
      <c r="A590" s="16">
        <v>46143</v>
      </c>
      <c r="B590" s="13">
        <v>2026</v>
      </c>
      <c r="C590" s="13">
        <v>5</v>
      </c>
      <c r="D590" s="13" t="s">
        <v>67</v>
      </c>
      <c r="E590" s="13" t="s">
        <v>68</v>
      </c>
      <c r="F590" s="13" t="s">
        <v>66</v>
      </c>
      <c r="G590" s="19">
        <v>-44.330531613795571</v>
      </c>
      <c r="H590" s="13" t="s">
        <v>86</v>
      </c>
      <c r="I590" s="13" t="s">
        <v>87</v>
      </c>
      <c r="J590" s="21" t="str">
        <f>_xlfn.XLOOKUP(F590,'04_Account_Mapping'!$A$6:$A$14,'04_Account_Mapping'!$C$6:$C$14,"Unmapped",0)</f>
        <v>Tax Expense</v>
      </c>
      <c r="K590" s="21" t="str">
        <f>_xlfn.XLOOKUP(F590,'04_Account_Mapping'!$A$6:$A$14,'04_Account_Mapping'!$D$6:$D$14,"Unmapped",0)</f>
        <v>Expense</v>
      </c>
    </row>
    <row r="591" spans="1:11">
      <c r="A591" s="16">
        <v>46143</v>
      </c>
      <c r="B591" s="13">
        <v>2026</v>
      </c>
      <c r="C591" s="13">
        <v>5</v>
      </c>
      <c r="D591" s="13" t="s">
        <v>72</v>
      </c>
      <c r="E591" s="13" t="s">
        <v>68</v>
      </c>
      <c r="F591" s="13" t="s">
        <v>55</v>
      </c>
      <c r="G591" s="19">
        <v>6534.660681582418</v>
      </c>
      <c r="H591" s="13" t="s">
        <v>86</v>
      </c>
      <c r="I591" s="13" t="s">
        <v>87</v>
      </c>
      <c r="J591" s="21" t="str">
        <f>_xlfn.XLOOKUP(F591,'04_Account_Mapping'!$A$6:$A$14,'04_Account_Mapping'!$C$6:$C$14,"Unmapped",0)</f>
        <v>Revenue</v>
      </c>
      <c r="K591" s="21" t="str">
        <f>_xlfn.XLOOKUP(F591,'04_Account_Mapping'!$A$6:$A$14,'04_Account_Mapping'!$D$6:$D$14,"Unmapped",0)</f>
        <v>Income</v>
      </c>
    </row>
    <row r="592" spans="1:11">
      <c r="A592" s="16">
        <v>46143</v>
      </c>
      <c r="B592" s="13">
        <v>2026</v>
      </c>
      <c r="C592" s="13">
        <v>5</v>
      </c>
      <c r="D592" s="13" t="s">
        <v>72</v>
      </c>
      <c r="E592" s="13" t="s">
        <v>68</v>
      </c>
      <c r="F592" s="13" t="s">
        <v>58</v>
      </c>
      <c r="G592" s="19">
        <v>-5208.3718206523818</v>
      </c>
      <c r="H592" s="13" t="s">
        <v>86</v>
      </c>
      <c r="I592" s="13" t="s">
        <v>87</v>
      </c>
      <c r="J592" s="21" t="str">
        <f>_xlfn.XLOOKUP(F592,'04_Account_Mapping'!$A$6:$A$14,'04_Account_Mapping'!$C$6:$C$14,"Unmapped",0)</f>
        <v>COGS</v>
      </c>
      <c r="K592" s="21" t="str">
        <f>_xlfn.XLOOKUP(F592,'04_Account_Mapping'!$A$6:$A$14,'04_Account_Mapping'!$D$6:$D$14,"Unmapped",0)</f>
        <v>Expense</v>
      </c>
    </row>
    <row r="593" spans="1:11">
      <c r="A593" s="16">
        <v>46143</v>
      </c>
      <c r="B593" s="13">
        <v>2026</v>
      </c>
      <c r="C593" s="13">
        <v>5</v>
      </c>
      <c r="D593" s="13" t="s">
        <v>72</v>
      </c>
      <c r="E593" s="13" t="s">
        <v>68</v>
      </c>
      <c r="F593" s="13" t="s">
        <v>60</v>
      </c>
      <c r="G593" s="19">
        <v>-797.22860315305502</v>
      </c>
      <c r="H593" s="13" t="s">
        <v>86</v>
      </c>
      <c r="I593" s="13" t="s">
        <v>87</v>
      </c>
      <c r="J593" s="21" t="str">
        <f>_xlfn.XLOOKUP(F593,'04_Account_Mapping'!$A$6:$A$14,'04_Account_Mapping'!$C$6:$C$14,"Unmapped",0)</f>
        <v>Selling Expense</v>
      </c>
      <c r="K593" s="21" t="str">
        <f>_xlfn.XLOOKUP(F593,'04_Account_Mapping'!$A$6:$A$14,'04_Account_Mapping'!$D$6:$D$14,"Unmapped",0)</f>
        <v>Expense</v>
      </c>
    </row>
    <row r="594" spans="1:11">
      <c r="A594" s="16">
        <v>46143</v>
      </c>
      <c r="B594" s="13">
        <v>2026</v>
      </c>
      <c r="C594" s="13">
        <v>5</v>
      </c>
      <c r="D594" s="13" t="s">
        <v>72</v>
      </c>
      <c r="E594" s="13" t="s">
        <v>68</v>
      </c>
      <c r="F594" s="13" t="s">
        <v>61</v>
      </c>
      <c r="G594" s="19">
        <v>-189.50515976589011</v>
      </c>
      <c r="H594" s="13" t="s">
        <v>86</v>
      </c>
      <c r="I594" s="13" t="s">
        <v>87</v>
      </c>
      <c r="J594" s="21" t="str">
        <f>_xlfn.XLOOKUP(F594,'04_Account_Mapping'!$A$6:$A$14,'04_Account_Mapping'!$C$6:$C$14,"Unmapped",0)</f>
        <v>G&amp;A</v>
      </c>
      <c r="K594" s="21" t="str">
        <f>_xlfn.XLOOKUP(F594,'04_Account_Mapping'!$A$6:$A$14,'04_Account_Mapping'!$D$6:$D$14,"Unmapped",0)</f>
        <v>Expense</v>
      </c>
    </row>
    <row r="595" spans="1:11">
      <c r="A595" s="16">
        <v>46143</v>
      </c>
      <c r="B595" s="13">
        <v>2026</v>
      </c>
      <c r="C595" s="13">
        <v>5</v>
      </c>
      <c r="D595" s="13" t="s">
        <v>72</v>
      </c>
      <c r="E595" s="13" t="s">
        <v>68</v>
      </c>
      <c r="F595" s="13" t="s">
        <v>62</v>
      </c>
      <c r="G595" s="19">
        <v>130.69321363164835</v>
      </c>
      <c r="H595" s="13" t="s">
        <v>86</v>
      </c>
      <c r="I595" s="13" t="s">
        <v>87</v>
      </c>
      <c r="J595" s="21" t="str">
        <f>_xlfn.XLOOKUP(F595,'04_Account_Mapping'!$A$6:$A$14,'04_Account_Mapping'!$C$6:$C$14,"Unmapped",0)</f>
        <v>Finance Income</v>
      </c>
      <c r="K595" s="21" t="str">
        <f>_xlfn.XLOOKUP(F595,'04_Account_Mapping'!$A$6:$A$14,'04_Account_Mapping'!$D$6:$D$14,"Unmapped",0)</f>
        <v>Income</v>
      </c>
    </row>
    <row r="596" spans="1:11">
      <c r="A596" s="16">
        <v>46143</v>
      </c>
      <c r="B596" s="13">
        <v>2026</v>
      </c>
      <c r="C596" s="13">
        <v>5</v>
      </c>
      <c r="D596" s="13" t="s">
        <v>72</v>
      </c>
      <c r="E596" s="13" t="s">
        <v>68</v>
      </c>
      <c r="F596" s="13" t="s">
        <v>63</v>
      </c>
      <c r="G596" s="19">
        <v>-65.346606815824174</v>
      </c>
      <c r="H596" s="13" t="s">
        <v>86</v>
      </c>
      <c r="I596" s="13" t="s">
        <v>87</v>
      </c>
      <c r="J596" s="21" t="str">
        <f>_xlfn.XLOOKUP(F596,'04_Account_Mapping'!$A$6:$A$14,'04_Account_Mapping'!$C$6:$C$14,"Unmapped",0)</f>
        <v>Finance Expense</v>
      </c>
      <c r="K596" s="21" t="str">
        <f>_xlfn.XLOOKUP(F596,'04_Account_Mapping'!$A$6:$A$14,'04_Account_Mapping'!$D$6:$D$14,"Unmapped",0)</f>
        <v>Expense</v>
      </c>
    </row>
    <row r="597" spans="1:11">
      <c r="A597" s="16">
        <v>46143</v>
      </c>
      <c r="B597" s="13">
        <v>2026</v>
      </c>
      <c r="C597" s="13">
        <v>5</v>
      </c>
      <c r="D597" s="13" t="s">
        <v>72</v>
      </c>
      <c r="E597" s="13" t="s">
        <v>68</v>
      </c>
      <c r="F597" s="13" t="s">
        <v>64</v>
      </c>
      <c r="G597" s="19">
        <v>1.3069321363164836</v>
      </c>
      <c r="H597" s="13" t="s">
        <v>86</v>
      </c>
      <c r="I597" s="13" t="s">
        <v>87</v>
      </c>
      <c r="J597" s="21" t="str">
        <f>_xlfn.XLOOKUP(F597,'04_Account_Mapping'!$A$6:$A$14,'04_Account_Mapping'!$C$6:$C$14,"Unmapped",0)</f>
        <v>JV Profit/(Loss)</v>
      </c>
      <c r="K597" s="21" t="str">
        <f>_xlfn.XLOOKUP(F597,'04_Account_Mapping'!$A$6:$A$14,'04_Account_Mapping'!$D$6:$D$14,"Unmapped",0)</f>
        <v>Income</v>
      </c>
    </row>
    <row r="598" spans="1:11">
      <c r="A598" s="16">
        <v>46143</v>
      </c>
      <c r="B598" s="13">
        <v>2026</v>
      </c>
      <c r="C598" s="13">
        <v>5</v>
      </c>
      <c r="D598" s="13" t="s">
        <v>72</v>
      </c>
      <c r="E598" s="13" t="s">
        <v>68</v>
      </c>
      <c r="F598" s="13" t="s">
        <v>65</v>
      </c>
      <c r="G598" s="19">
        <v>0</v>
      </c>
      <c r="H598" s="13" t="s">
        <v>86</v>
      </c>
      <c r="I598" s="13" t="s">
        <v>87</v>
      </c>
      <c r="J598" s="21" t="str">
        <f>_xlfn.XLOOKUP(F598,'04_Account_Mapping'!$A$6:$A$14,'04_Account_Mapping'!$C$6:$C$14,"Unmapped",0)</f>
        <v>Other Net</v>
      </c>
      <c r="K598" s="21" t="str">
        <f>_xlfn.XLOOKUP(F598,'04_Account_Mapping'!$A$6:$A$14,'04_Account_Mapping'!$D$6:$D$14,"Unmapped",0)</f>
        <v>Income</v>
      </c>
    </row>
    <row r="599" spans="1:11">
      <c r="A599" s="16">
        <v>46143</v>
      </c>
      <c r="B599" s="13">
        <v>2026</v>
      </c>
      <c r="C599" s="13">
        <v>5</v>
      </c>
      <c r="D599" s="13" t="s">
        <v>72</v>
      </c>
      <c r="E599" s="13" t="s">
        <v>68</v>
      </c>
      <c r="F599" s="13" t="s">
        <v>66</v>
      </c>
      <c r="G599" s="19">
        <v>-81.241727392646283</v>
      </c>
      <c r="H599" s="13" t="s">
        <v>86</v>
      </c>
      <c r="I599" s="13" t="s">
        <v>87</v>
      </c>
      <c r="J599" s="21" t="str">
        <f>_xlfn.XLOOKUP(F599,'04_Account_Mapping'!$A$6:$A$14,'04_Account_Mapping'!$C$6:$C$14,"Unmapped",0)</f>
        <v>Tax Expense</v>
      </c>
      <c r="K599" s="21" t="str">
        <f>_xlfn.XLOOKUP(F599,'04_Account_Mapping'!$A$6:$A$14,'04_Account_Mapping'!$D$6:$D$14,"Unmapped",0)</f>
        <v>Expense</v>
      </c>
    </row>
    <row r="600" spans="1:11">
      <c r="A600" s="16">
        <v>46143</v>
      </c>
      <c r="B600" s="13">
        <v>2026</v>
      </c>
      <c r="C600" s="13">
        <v>5</v>
      </c>
      <c r="D600" s="13" t="s">
        <v>73</v>
      </c>
      <c r="E600" s="13" t="s">
        <v>74</v>
      </c>
      <c r="F600" s="13" t="s">
        <v>55</v>
      </c>
      <c r="G600" s="19">
        <v>4475.7949873852176</v>
      </c>
      <c r="H600" s="13" t="s">
        <v>86</v>
      </c>
      <c r="I600" s="13" t="s">
        <v>87</v>
      </c>
      <c r="J600" s="21" t="str">
        <f>_xlfn.XLOOKUP(F600,'04_Account_Mapping'!$A$6:$A$14,'04_Account_Mapping'!$C$6:$C$14,"Unmapped",0)</f>
        <v>Revenue</v>
      </c>
      <c r="K600" s="21" t="str">
        <f>_xlfn.XLOOKUP(F600,'04_Account_Mapping'!$A$6:$A$14,'04_Account_Mapping'!$D$6:$D$14,"Unmapped",0)</f>
        <v>Income</v>
      </c>
    </row>
    <row r="601" spans="1:11">
      <c r="A601" s="16">
        <v>46143</v>
      </c>
      <c r="B601" s="13">
        <v>2026</v>
      </c>
      <c r="C601" s="13">
        <v>5</v>
      </c>
      <c r="D601" s="13" t="s">
        <v>73</v>
      </c>
      <c r="E601" s="13" t="s">
        <v>74</v>
      </c>
      <c r="F601" s="13" t="s">
        <v>58</v>
      </c>
      <c r="G601" s="19">
        <v>-3567.3779593509466</v>
      </c>
      <c r="H601" s="13" t="s">
        <v>86</v>
      </c>
      <c r="I601" s="13" t="s">
        <v>87</v>
      </c>
      <c r="J601" s="21" t="str">
        <f>_xlfn.XLOOKUP(F601,'04_Account_Mapping'!$A$6:$A$14,'04_Account_Mapping'!$C$6:$C$14,"Unmapped",0)</f>
        <v>COGS</v>
      </c>
      <c r="K601" s="21" t="str">
        <f>_xlfn.XLOOKUP(F601,'04_Account_Mapping'!$A$6:$A$14,'04_Account_Mapping'!$D$6:$D$14,"Unmapped",0)</f>
        <v>Expense</v>
      </c>
    </row>
    <row r="602" spans="1:11">
      <c r="A602" s="16">
        <v>46143</v>
      </c>
      <c r="B602" s="13">
        <v>2026</v>
      </c>
      <c r="C602" s="13">
        <v>5</v>
      </c>
      <c r="D602" s="13" t="s">
        <v>73</v>
      </c>
      <c r="E602" s="13" t="s">
        <v>74</v>
      </c>
      <c r="F602" s="13" t="s">
        <v>60</v>
      </c>
      <c r="G602" s="19">
        <v>-546.04698846099654</v>
      </c>
      <c r="H602" s="13" t="s">
        <v>86</v>
      </c>
      <c r="I602" s="13" t="s">
        <v>87</v>
      </c>
      <c r="J602" s="21" t="str">
        <f>_xlfn.XLOOKUP(F602,'04_Account_Mapping'!$A$6:$A$14,'04_Account_Mapping'!$C$6:$C$14,"Unmapped",0)</f>
        <v>Selling Expense</v>
      </c>
      <c r="K602" s="21" t="str">
        <f>_xlfn.XLOOKUP(F602,'04_Account_Mapping'!$A$6:$A$14,'04_Account_Mapping'!$D$6:$D$14,"Unmapped",0)</f>
        <v>Expense</v>
      </c>
    </row>
    <row r="603" spans="1:11">
      <c r="A603" s="16">
        <v>46143</v>
      </c>
      <c r="B603" s="13">
        <v>2026</v>
      </c>
      <c r="C603" s="13">
        <v>5</v>
      </c>
      <c r="D603" s="13" t="s">
        <v>73</v>
      </c>
      <c r="E603" s="13" t="s">
        <v>74</v>
      </c>
      <c r="F603" s="13" t="s">
        <v>61</v>
      </c>
      <c r="G603" s="19">
        <v>-129.79805463417134</v>
      </c>
      <c r="H603" s="13" t="s">
        <v>86</v>
      </c>
      <c r="I603" s="13" t="s">
        <v>87</v>
      </c>
      <c r="J603" s="21" t="str">
        <f>_xlfn.XLOOKUP(F603,'04_Account_Mapping'!$A$6:$A$14,'04_Account_Mapping'!$C$6:$C$14,"Unmapped",0)</f>
        <v>G&amp;A</v>
      </c>
      <c r="K603" s="21" t="str">
        <f>_xlfn.XLOOKUP(F603,'04_Account_Mapping'!$A$6:$A$14,'04_Account_Mapping'!$D$6:$D$14,"Unmapped",0)</f>
        <v>Expense</v>
      </c>
    </row>
    <row r="604" spans="1:11">
      <c r="A604" s="16">
        <v>46143</v>
      </c>
      <c r="B604" s="13">
        <v>2026</v>
      </c>
      <c r="C604" s="13">
        <v>5</v>
      </c>
      <c r="D604" s="13" t="s">
        <v>73</v>
      </c>
      <c r="E604" s="13" t="s">
        <v>74</v>
      </c>
      <c r="F604" s="13" t="s">
        <v>62</v>
      </c>
      <c r="G604" s="19">
        <v>89.515899747704367</v>
      </c>
      <c r="H604" s="13" t="s">
        <v>86</v>
      </c>
      <c r="I604" s="13" t="s">
        <v>87</v>
      </c>
      <c r="J604" s="21" t="str">
        <f>_xlfn.XLOOKUP(F604,'04_Account_Mapping'!$A$6:$A$14,'04_Account_Mapping'!$C$6:$C$14,"Unmapped",0)</f>
        <v>Finance Income</v>
      </c>
      <c r="K604" s="21" t="str">
        <f>_xlfn.XLOOKUP(F604,'04_Account_Mapping'!$A$6:$A$14,'04_Account_Mapping'!$D$6:$D$14,"Unmapped",0)</f>
        <v>Income</v>
      </c>
    </row>
    <row r="605" spans="1:11">
      <c r="A605" s="16">
        <v>46143</v>
      </c>
      <c r="B605" s="13">
        <v>2026</v>
      </c>
      <c r="C605" s="13">
        <v>5</v>
      </c>
      <c r="D605" s="13" t="s">
        <v>73</v>
      </c>
      <c r="E605" s="13" t="s">
        <v>74</v>
      </c>
      <c r="F605" s="13" t="s">
        <v>63</v>
      </c>
      <c r="G605" s="19">
        <v>-44.757949873852183</v>
      </c>
      <c r="H605" s="13" t="s">
        <v>86</v>
      </c>
      <c r="I605" s="13" t="s">
        <v>87</v>
      </c>
      <c r="J605" s="21" t="str">
        <f>_xlfn.XLOOKUP(F605,'04_Account_Mapping'!$A$6:$A$14,'04_Account_Mapping'!$C$6:$C$14,"Unmapped",0)</f>
        <v>Finance Expense</v>
      </c>
      <c r="K605" s="21" t="str">
        <f>_xlfn.XLOOKUP(F605,'04_Account_Mapping'!$A$6:$A$14,'04_Account_Mapping'!$D$6:$D$14,"Unmapped",0)</f>
        <v>Expense</v>
      </c>
    </row>
    <row r="606" spans="1:11">
      <c r="A606" s="16">
        <v>46143</v>
      </c>
      <c r="B606" s="13">
        <v>2026</v>
      </c>
      <c r="C606" s="13">
        <v>5</v>
      </c>
      <c r="D606" s="13" t="s">
        <v>73</v>
      </c>
      <c r="E606" s="13" t="s">
        <v>74</v>
      </c>
      <c r="F606" s="13" t="s">
        <v>64</v>
      </c>
      <c r="G606" s="19">
        <v>0.89515899747704364</v>
      </c>
      <c r="H606" s="13" t="s">
        <v>86</v>
      </c>
      <c r="I606" s="13" t="s">
        <v>87</v>
      </c>
      <c r="J606" s="21" t="str">
        <f>_xlfn.XLOOKUP(F606,'04_Account_Mapping'!$A$6:$A$14,'04_Account_Mapping'!$C$6:$C$14,"Unmapped",0)</f>
        <v>JV Profit/(Loss)</v>
      </c>
      <c r="K606" s="21" t="str">
        <f>_xlfn.XLOOKUP(F606,'04_Account_Mapping'!$A$6:$A$14,'04_Account_Mapping'!$D$6:$D$14,"Unmapped",0)</f>
        <v>Income</v>
      </c>
    </row>
    <row r="607" spans="1:11">
      <c r="A607" s="16">
        <v>46143</v>
      </c>
      <c r="B607" s="13">
        <v>2026</v>
      </c>
      <c r="C607" s="13">
        <v>5</v>
      </c>
      <c r="D607" s="13" t="s">
        <v>73</v>
      </c>
      <c r="E607" s="13" t="s">
        <v>74</v>
      </c>
      <c r="F607" s="13" t="s">
        <v>65</v>
      </c>
      <c r="G607" s="19">
        <v>0</v>
      </c>
      <c r="H607" s="13" t="s">
        <v>86</v>
      </c>
      <c r="I607" s="13" t="s">
        <v>87</v>
      </c>
      <c r="J607" s="21" t="str">
        <f>_xlfn.XLOOKUP(F607,'04_Account_Mapping'!$A$6:$A$14,'04_Account_Mapping'!$C$6:$C$14,"Unmapped",0)</f>
        <v>Other Net</v>
      </c>
      <c r="K607" s="21" t="str">
        <f>_xlfn.XLOOKUP(F607,'04_Account_Mapping'!$A$6:$A$14,'04_Account_Mapping'!$D$6:$D$14,"Unmapped",0)</f>
        <v>Income</v>
      </c>
    </row>
    <row r="608" spans="1:11">
      <c r="A608" s="16">
        <v>46143</v>
      </c>
      <c r="B608" s="13">
        <v>2026</v>
      </c>
      <c r="C608" s="13">
        <v>5</v>
      </c>
      <c r="D608" s="13" t="s">
        <v>73</v>
      </c>
      <c r="E608" s="13" t="s">
        <v>74</v>
      </c>
      <c r="F608" s="13" t="s">
        <v>66</v>
      </c>
      <c r="G608" s="19">
        <v>-55.645018762086494</v>
      </c>
      <c r="H608" s="13" t="s">
        <v>86</v>
      </c>
      <c r="I608" s="13" t="s">
        <v>87</v>
      </c>
      <c r="J608" s="21" t="str">
        <f>_xlfn.XLOOKUP(F608,'04_Account_Mapping'!$A$6:$A$14,'04_Account_Mapping'!$C$6:$C$14,"Unmapped",0)</f>
        <v>Tax Expense</v>
      </c>
      <c r="K608" s="21" t="str">
        <f>_xlfn.XLOOKUP(F608,'04_Account_Mapping'!$A$6:$A$14,'04_Account_Mapping'!$D$6:$D$14,"Unmapped",0)</f>
        <v>Expense</v>
      </c>
    </row>
    <row r="609" spans="1:11">
      <c r="A609" s="16">
        <v>46143</v>
      </c>
      <c r="B609" s="13">
        <v>2026</v>
      </c>
      <c r="C609" s="13">
        <v>5</v>
      </c>
      <c r="D609" s="13" t="s">
        <v>75</v>
      </c>
      <c r="E609" s="13" t="s">
        <v>76</v>
      </c>
      <c r="F609" s="13" t="s">
        <v>55</v>
      </c>
      <c r="G609" s="19">
        <v>343.14428236620006</v>
      </c>
      <c r="H609" s="13" t="s">
        <v>86</v>
      </c>
      <c r="I609" s="13" t="s">
        <v>87</v>
      </c>
      <c r="J609" s="21" t="str">
        <f>_xlfn.XLOOKUP(F609,'04_Account_Mapping'!$A$6:$A$14,'04_Account_Mapping'!$C$6:$C$14,"Unmapped",0)</f>
        <v>Revenue</v>
      </c>
      <c r="K609" s="21" t="str">
        <f>_xlfn.XLOOKUP(F609,'04_Account_Mapping'!$A$6:$A$14,'04_Account_Mapping'!$D$6:$D$14,"Unmapped",0)</f>
        <v>Income</v>
      </c>
    </row>
    <row r="610" spans="1:11">
      <c r="A610" s="16">
        <v>46143</v>
      </c>
      <c r="B610" s="13">
        <v>2026</v>
      </c>
      <c r="C610" s="13">
        <v>5</v>
      </c>
      <c r="D610" s="13" t="s">
        <v>75</v>
      </c>
      <c r="E610" s="13" t="s">
        <v>76</v>
      </c>
      <c r="F610" s="13" t="s">
        <v>58</v>
      </c>
      <c r="G610" s="19">
        <v>-273.4989768835726</v>
      </c>
      <c r="H610" s="13" t="s">
        <v>86</v>
      </c>
      <c r="I610" s="13" t="s">
        <v>87</v>
      </c>
      <c r="J610" s="21" t="str">
        <f>_xlfn.XLOOKUP(F610,'04_Account_Mapping'!$A$6:$A$14,'04_Account_Mapping'!$C$6:$C$14,"Unmapped",0)</f>
        <v>COGS</v>
      </c>
      <c r="K610" s="21" t="str">
        <f>_xlfn.XLOOKUP(F610,'04_Account_Mapping'!$A$6:$A$14,'04_Account_Mapping'!$D$6:$D$14,"Unmapped",0)</f>
        <v>Expense</v>
      </c>
    </row>
    <row r="611" spans="1:11">
      <c r="A611" s="16">
        <v>46143</v>
      </c>
      <c r="B611" s="13">
        <v>2026</v>
      </c>
      <c r="C611" s="13">
        <v>5</v>
      </c>
      <c r="D611" s="13" t="s">
        <v>75</v>
      </c>
      <c r="E611" s="13" t="s">
        <v>76</v>
      </c>
      <c r="F611" s="13" t="s">
        <v>60</v>
      </c>
      <c r="G611" s="19">
        <v>-41.863602448676403</v>
      </c>
      <c r="H611" s="13" t="s">
        <v>86</v>
      </c>
      <c r="I611" s="13" t="s">
        <v>87</v>
      </c>
      <c r="J611" s="21" t="str">
        <f>_xlfn.XLOOKUP(F611,'04_Account_Mapping'!$A$6:$A$14,'04_Account_Mapping'!$C$6:$C$14,"Unmapped",0)</f>
        <v>Selling Expense</v>
      </c>
      <c r="K611" s="21" t="str">
        <f>_xlfn.XLOOKUP(F611,'04_Account_Mapping'!$A$6:$A$14,'04_Account_Mapping'!$D$6:$D$14,"Unmapped",0)</f>
        <v>Expense</v>
      </c>
    </row>
    <row r="612" spans="1:11">
      <c r="A612" s="16">
        <v>46143</v>
      </c>
      <c r="B612" s="13">
        <v>2026</v>
      </c>
      <c r="C612" s="13">
        <v>5</v>
      </c>
      <c r="D612" s="13" t="s">
        <v>75</v>
      </c>
      <c r="E612" s="13" t="s">
        <v>76</v>
      </c>
      <c r="F612" s="13" t="s">
        <v>61</v>
      </c>
      <c r="G612" s="19">
        <v>-9.951184188619802</v>
      </c>
      <c r="H612" s="13" t="s">
        <v>86</v>
      </c>
      <c r="I612" s="13" t="s">
        <v>87</v>
      </c>
      <c r="J612" s="21" t="str">
        <f>_xlfn.XLOOKUP(F612,'04_Account_Mapping'!$A$6:$A$14,'04_Account_Mapping'!$C$6:$C$14,"Unmapped",0)</f>
        <v>G&amp;A</v>
      </c>
      <c r="K612" s="21" t="str">
        <f>_xlfn.XLOOKUP(F612,'04_Account_Mapping'!$A$6:$A$14,'04_Account_Mapping'!$D$6:$D$14,"Unmapped",0)</f>
        <v>Expense</v>
      </c>
    </row>
    <row r="613" spans="1:11">
      <c r="A613" s="16">
        <v>46143</v>
      </c>
      <c r="B613" s="13">
        <v>2026</v>
      </c>
      <c r="C613" s="13">
        <v>5</v>
      </c>
      <c r="D613" s="13" t="s">
        <v>75</v>
      </c>
      <c r="E613" s="13" t="s">
        <v>76</v>
      </c>
      <c r="F613" s="13" t="s">
        <v>62</v>
      </c>
      <c r="G613" s="19">
        <v>6.862885647324001</v>
      </c>
      <c r="H613" s="13" t="s">
        <v>86</v>
      </c>
      <c r="I613" s="13" t="s">
        <v>87</v>
      </c>
      <c r="J613" s="21" t="str">
        <f>_xlfn.XLOOKUP(F613,'04_Account_Mapping'!$A$6:$A$14,'04_Account_Mapping'!$C$6:$C$14,"Unmapped",0)</f>
        <v>Finance Income</v>
      </c>
      <c r="K613" s="21" t="str">
        <f>_xlfn.XLOOKUP(F613,'04_Account_Mapping'!$A$6:$A$14,'04_Account_Mapping'!$D$6:$D$14,"Unmapped",0)</f>
        <v>Income</v>
      </c>
    </row>
    <row r="614" spans="1:11">
      <c r="A614" s="16">
        <v>46143</v>
      </c>
      <c r="B614" s="13">
        <v>2026</v>
      </c>
      <c r="C614" s="13">
        <v>5</v>
      </c>
      <c r="D614" s="13" t="s">
        <v>75</v>
      </c>
      <c r="E614" s="13" t="s">
        <v>76</v>
      </c>
      <c r="F614" s="13" t="s">
        <v>63</v>
      </c>
      <c r="G614" s="19">
        <v>-3.4314428236620005</v>
      </c>
      <c r="H614" s="13" t="s">
        <v>86</v>
      </c>
      <c r="I614" s="13" t="s">
        <v>87</v>
      </c>
      <c r="J614" s="21" t="str">
        <f>_xlfn.XLOOKUP(F614,'04_Account_Mapping'!$A$6:$A$14,'04_Account_Mapping'!$C$6:$C$14,"Unmapped",0)</f>
        <v>Finance Expense</v>
      </c>
      <c r="K614" s="21" t="str">
        <f>_xlfn.XLOOKUP(F614,'04_Account_Mapping'!$A$6:$A$14,'04_Account_Mapping'!$D$6:$D$14,"Unmapped",0)</f>
        <v>Expense</v>
      </c>
    </row>
    <row r="615" spans="1:11">
      <c r="A615" s="16">
        <v>46143</v>
      </c>
      <c r="B615" s="13">
        <v>2026</v>
      </c>
      <c r="C615" s="13">
        <v>5</v>
      </c>
      <c r="D615" s="13" t="s">
        <v>75</v>
      </c>
      <c r="E615" s="13" t="s">
        <v>76</v>
      </c>
      <c r="F615" s="13" t="s">
        <v>64</v>
      </c>
      <c r="G615" s="19">
        <v>6.8628856473240005E-2</v>
      </c>
      <c r="H615" s="13" t="s">
        <v>86</v>
      </c>
      <c r="I615" s="13" t="s">
        <v>87</v>
      </c>
      <c r="J615" s="21" t="str">
        <f>_xlfn.XLOOKUP(F615,'04_Account_Mapping'!$A$6:$A$14,'04_Account_Mapping'!$C$6:$C$14,"Unmapped",0)</f>
        <v>JV Profit/(Loss)</v>
      </c>
      <c r="K615" s="21" t="str">
        <f>_xlfn.XLOOKUP(F615,'04_Account_Mapping'!$A$6:$A$14,'04_Account_Mapping'!$D$6:$D$14,"Unmapped",0)</f>
        <v>Income</v>
      </c>
    </row>
    <row r="616" spans="1:11">
      <c r="A616" s="16">
        <v>46143</v>
      </c>
      <c r="B616" s="13">
        <v>2026</v>
      </c>
      <c r="C616" s="13">
        <v>5</v>
      </c>
      <c r="D616" s="13" t="s">
        <v>75</v>
      </c>
      <c r="E616" s="13" t="s">
        <v>76</v>
      </c>
      <c r="F616" s="13" t="s">
        <v>65</v>
      </c>
      <c r="G616" s="19">
        <v>0</v>
      </c>
      <c r="H616" s="13" t="s">
        <v>86</v>
      </c>
      <c r="I616" s="13" t="s">
        <v>87</v>
      </c>
      <c r="J616" s="21" t="str">
        <f>_xlfn.XLOOKUP(F616,'04_Account_Mapping'!$A$6:$A$14,'04_Account_Mapping'!$C$6:$C$14,"Unmapped",0)</f>
        <v>Other Net</v>
      </c>
      <c r="K616" s="21" t="str">
        <f>_xlfn.XLOOKUP(F616,'04_Account_Mapping'!$A$6:$A$14,'04_Account_Mapping'!$D$6:$D$14,"Unmapped",0)</f>
        <v>Income</v>
      </c>
    </row>
    <row r="617" spans="1:11">
      <c r="A617" s="16">
        <v>46143</v>
      </c>
      <c r="B617" s="13">
        <v>2026</v>
      </c>
      <c r="C617" s="13">
        <v>5</v>
      </c>
      <c r="D617" s="13" t="s">
        <v>75</v>
      </c>
      <c r="E617" s="13" t="s">
        <v>76</v>
      </c>
      <c r="F617" s="13" t="s">
        <v>66</v>
      </c>
      <c r="G617" s="19">
        <v>-4.2661181050932981</v>
      </c>
      <c r="H617" s="13" t="s">
        <v>86</v>
      </c>
      <c r="I617" s="13" t="s">
        <v>87</v>
      </c>
      <c r="J617" s="21" t="str">
        <f>_xlfn.XLOOKUP(F617,'04_Account_Mapping'!$A$6:$A$14,'04_Account_Mapping'!$C$6:$C$14,"Unmapped",0)</f>
        <v>Tax Expense</v>
      </c>
      <c r="K617" s="21" t="str">
        <f>_xlfn.XLOOKUP(F617,'04_Account_Mapping'!$A$6:$A$14,'04_Account_Mapping'!$D$6:$D$14,"Unmapped",0)</f>
        <v>Expense</v>
      </c>
    </row>
    <row r="618" spans="1:11">
      <c r="A618" s="16">
        <v>46174</v>
      </c>
      <c r="B618" s="13">
        <v>2026</v>
      </c>
      <c r="C618" s="13">
        <v>6</v>
      </c>
      <c r="D618" s="13" t="s">
        <v>67</v>
      </c>
      <c r="E618" s="13" t="s">
        <v>68</v>
      </c>
      <c r="F618" s="13" t="s">
        <v>55</v>
      </c>
      <c r="G618" s="19">
        <v>3518.151134049665</v>
      </c>
      <c r="H618" s="13" t="s">
        <v>86</v>
      </c>
      <c r="I618" s="13" t="s">
        <v>87</v>
      </c>
      <c r="J618" s="21" t="str">
        <f>_xlfn.XLOOKUP(F618,'04_Account_Mapping'!$A$6:$A$14,'04_Account_Mapping'!$C$6:$C$14,"Unmapped",0)</f>
        <v>Revenue</v>
      </c>
      <c r="K618" s="21" t="str">
        <f>_xlfn.XLOOKUP(F618,'04_Account_Mapping'!$A$6:$A$14,'04_Account_Mapping'!$D$6:$D$14,"Unmapped",0)</f>
        <v>Income</v>
      </c>
    </row>
    <row r="619" spans="1:11">
      <c r="A619" s="16">
        <v>46174</v>
      </c>
      <c r="B619" s="13">
        <v>2026</v>
      </c>
      <c r="C619" s="13">
        <v>6</v>
      </c>
      <c r="D619" s="13" t="s">
        <v>67</v>
      </c>
      <c r="E619" s="13" t="s">
        <v>68</v>
      </c>
      <c r="F619" s="13" t="s">
        <v>58</v>
      </c>
      <c r="G619" s="19">
        <v>-2804.0995730696818</v>
      </c>
      <c r="H619" s="13" t="s">
        <v>86</v>
      </c>
      <c r="I619" s="13" t="s">
        <v>87</v>
      </c>
      <c r="J619" s="21" t="str">
        <f>_xlfn.XLOOKUP(F619,'04_Account_Mapping'!$A$6:$A$14,'04_Account_Mapping'!$C$6:$C$14,"Unmapped",0)</f>
        <v>COGS</v>
      </c>
      <c r="K619" s="21" t="str">
        <f>_xlfn.XLOOKUP(F619,'04_Account_Mapping'!$A$6:$A$14,'04_Account_Mapping'!$D$6:$D$14,"Unmapped",0)</f>
        <v>Expense</v>
      </c>
    </row>
    <row r="620" spans="1:11">
      <c r="A620" s="16">
        <v>46174</v>
      </c>
      <c r="B620" s="13">
        <v>2026</v>
      </c>
      <c r="C620" s="13">
        <v>6</v>
      </c>
      <c r="D620" s="13" t="s">
        <v>67</v>
      </c>
      <c r="E620" s="13" t="s">
        <v>68</v>
      </c>
      <c r="F620" s="13" t="s">
        <v>60</v>
      </c>
      <c r="G620" s="19">
        <v>-429.2144383540591</v>
      </c>
      <c r="H620" s="13" t="s">
        <v>86</v>
      </c>
      <c r="I620" s="13" t="s">
        <v>87</v>
      </c>
      <c r="J620" s="21" t="str">
        <f>_xlfn.XLOOKUP(F620,'04_Account_Mapping'!$A$6:$A$14,'04_Account_Mapping'!$C$6:$C$14,"Unmapped",0)</f>
        <v>Selling Expense</v>
      </c>
      <c r="K620" s="21" t="str">
        <f>_xlfn.XLOOKUP(F620,'04_Account_Mapping'!$A$6:$A$14,'04_Account_Mapping'!$D$6:$D$14,"Unmapped",0)</f>
        <v>Expense</v>
      </c>
    </row>
    <row r="621" spans="1:11">
      <c r="A621" s="16">
        <v>46174</v>
      </c>
      <c r="B621" s="13">
        <v>2026</v>
      </c>
      <c r="C621" s="13">
        <v>6</v>
      </c>
      <c r="D621" s="13" t="s">
        <v>67</v>
      </c>
      <c r="E621" s="13" t="s">
        <v>68</v>
      </c>
      <c r="F621" s="13" t="s">
        <v>61</v>
      </c>
      <c r="G621" s="19">
        <v>-102.02638288744028</v>
      </c>
      <c r="H621" s="13" t="s">
        <v>86</v>
      </c>
      <c r="I621" s="13" t="s">
        <v>87</v>
      </c>
      <c r="J621" s="21" t="str">
        <f>_xlfn.XLOOKUP(F621,'04_Account_Mapping'!$A$6:$A$14,'04_Account_Mapping'!$C$6:$C$14,"Unmapped",0)</f>
        <v>G&amp;A</v>
      </c>
      <c r="K621" s="21" t="str">
        <f>_xlfn.XLOOKUP(F621,'04_Account_Mapping'!$A$6:$A$14,'04_Account_Mapping'!$D$6:$D$14,"Unmapped",0)</f>
        <v>Expense</v>
      </c>
    </row>
    <row r="622" spans="1:11">
      <c r="A622" s="16">
        <v>46174</v>
      </c>
      <c r="B622" s="13">
        <v>2026</v>
      </c>
      <c r="C622" s="13">
        <v>6</v>
      </c>
      <c r="D622" s="13" t="s">
        <v>67</v>
      </c>
      <c r="E622" s="13" t="s">
        <v>68</v>
      </c>
      <c r="F622" s="13" t="s">
        <v>62</v>
      </c>
      <c r="G622" s="19">
        <v>70.363022680993296</v>
      </c>
      <c r="H622" s="13" t="s">
        <v>86</v>
      </c>
      <c r="I622" s="13" t="s">
        <v>87</v>
      </c>
      <c r="J622" s="21" t="str">
        <f>_xlfn.XLOOKUP(F622,'04_Account_Mapping'!$A$6:$A$14,'04_Account_Mapping'!$C$6:$C$14,"Unmapped",0)</f>
        <v>Finance Income</v>
      </c>
      <c r="K622" s="21" t="str">
        <f>_xlfn.XLOOKUP(F622,'04_Account_Mapping'!$A$6:$A$14,'04_Account_Mapping'!$D$6:$D$14,"Unmapped",0)</f>
        <v>Income</v>
      </c>
    </row>
    <row r="623" spans="1:11">
      <c r="A623" s="16">
        <v>46174</v>
      </c>
      <c r="B623" s="13">
        <v>2026</v>
      </c>
      <c r="C623" s="13">
        <v>6</v>
      </c>
      <c r="D623" s="13" t="s">
        <v>67</v>
      </c>
      <c r="E623" s="13" t="s">
        <v>68</v>
      </c>
      <c r="F623" s="13" t="s">
        <v>63</v>
      </c>
      <c r="G623" s="19">
        <v>-35.181511340496648</v>
      </c>
      <c r="H623" s="13" t="s">
        <v>86</v>
      </c>
      <c r="I623" s="13" t="s">
        <v>87</v>
      </c>
      <c r="J623" s="21" t="str">
        <f>_xlfn.XLOOKUP(F623,'04_Account_Mapping'!$A$6:$A$14,'04_Account_Mapping'!$C$6:$C$14,"Unmapped",0)</f>
        <v>Finance Expense</v>
      </c>
      <c r="K623" s="21" t="str">
        <f>_xlfn.XLOOKUP(F623,'04_Account_Mapping'!$A$6:$A$14,'04_Account_Mapping'!$D$6:$D$14,"Unmapped",0)</f>
        <v>Expense</v>
      </c>
    </row>
    <row r="624" spans="1:11">
      <c r="A624" s="16">
        <v>46174</v>
      </c>
      <c r="B624" s="13">
        <v>2026</v>
      </c>
      <c r="C624" s="13">
        <v>6</v>
      </c>
      <c r="D624" s="13" t="s">
        <v>67</v>
      </c>
      <c r="E624" s="13" t="s">
        <v>68</v>
      </c>
      <c r="F624" s="13" t="s">
        <v>64</v>
      </c>
      <c r="G624" s="19">
        <v>0.70363022680993292</v>
      </c>
      <c r="H624" s="13" t="s">
        <v>86</v>
      </c>
      <c r="I624" s="13" t="s">
        <v>87</v>
      </c>
      <c r="J624" s="21" t="str">
        <f>_xlfn.XLOOKUP(F624,'04_Account_Mapping'!$A$6:$A$14,'04_Account_Mapping'!$C$6:$C$14,"Unmapped",0)</f>
        <v>JV Profit/(Loss)</v>
      </c>
      <c r="K624" s="21" t="str">
        <f>_xlfn.XLOOKUP(F624,'04_Account_Mapping'!$A$6:$A$14,'04_Account_Mapping'!$D$6:$D$14,"Unmapped",0)</f>
        <v>Income</v>
      </c>
    </row>
    <row r="625" spans="1:11">
      <c r="A625" s="16">
        <v>46174</v>
      </c>
      <c r="B625" s="13">
        <v>2026</v>
      </c>
      <c r="C625" s="13">
        <v>6</v>
      </c>
      <c r="D625" s="13" t="s">
        <v>67</v>
      </c>
      <c r="E625" s="13" t="s">
        <v>68</v>
      </c>
      <c r="F625" s="13" t="s">
        <v>65</v>
      </c>
      <c r="G625" s="19">
        <v>0</v>
      </c>
      <c r="H625" s="13" t="s">
        <v>86</v>
      </c>
      <c r="I625" s="13" t="s">
        <v>87</v>
      </c>
      <c r="J625" s="21" t="str">
        <f>_xlfn.XLOOKUP(F625,'04_Account_Mapping'!$A$6:$A$14,'04_Account_Mapping'!$C$6:$C$14,"Unmapped",0)</f>
        <v>Other Net</v>
      </c>
      <c r="K625" s="21" t="str">
        <f>_xlfn.XLOOKUP(F625,'04_Account_Mapping'!$A$6:$A$14,'04_Account_Mapping'!$D$6:$D$14,"Unmapped",0)</f>
        <v>Income</v>
      </c>
    </row>
    <row r="626" spans="1:11">
      <c r="A626" s="16">
        <v>46174</v>
      </c>
      <c r="B626" s="13">
        <v>2026</v>
      </c>
      <c r="C626" s="13">
        <v>6</v>
      </c>
      <c r="D626" s="13" t="s">
        <v>67</v>
      </c>
      <c r="E626" s="13" t="s">
        <v>68</v>
      </c>
      <c r="F626" s="13" t="s">
        <v>66</v>
      </c>
      <c r="G626" s="19">
        <v>-43.739176261157994</v>
      </c>
      <c r="H626" s="13" t="s">
        <v>86</v>
      </c>
      <c r="I626" s="13" t="s">
        <v>87</v>
      </c>
      <c r="J626" s="21" t="str">
        <f>_xlfn.XLOOKUP(F626,'04_Account_Mapping'!$A$6:$A$14,'04_Account_Mapping'!$C$6:$C$14,"Unmapped",0)</f>
        <v>Tax Expense</v>
      </c>
      <c r="K626" s="21" t="str">
        <f>_xlfn.XLOOKUP(F626,'04_Account_Mapping'!$A$6:$A$14,'04_Account_Mapping'!$D$6:$D$14,"Unmapped",0)</f>
        <v>Expense</v>
      </c>
    </row>
    <row r="627" spans="1:11">
      <c r="A627" s="16">
        <v>46174</v>
      </c>
      <c r="B627" s="13">
        <v>2026</v>
      </c>
      <c r="C627" s="13">
        <v>6</v>
      </c>
      <c r="D627" s="13" t="s">
        <v>72</v>
      </c>
      <c r="E627" s="13" t="s">
        <v>68</v>
      </c>
      <c r="F627" s="13" t="s">
        <v>55</v>
      </c>
      <c r="G627" s="19">
        <v>6447.4903628190523</v>
      </c>
      <c r="H627" s="13" t="s">
        <v>86</v>
      </c>
      <c r="I627" s="13" t="s">
        <v>87</v>
      </c>
      <c r="J627" s="21" t="str">
        <f>_xlfn.XLOOKUP(F627,'04_Account_Mapping'!$A$6:$A$14,'04_Account_Mapping'!$C$6:$C$14,"Unmapped",0)</f>
        <v>Revenue</v>
      </c>
      <c r="K627" s="21" t="str">
        <f>_xlfn.XLOOKUP(F627,'04_Account_Mapping'!$A$6:$A$14,'04_Account_Mapping'!$D$6:$D$14,"Unmapped",0)</f>
        <v>Income</v>
      </c>
    </row>
    <row r="628" spans="1:11">
      <c r="A628" s="16">
        <v>46174</v>
      </c>
      <c r="B628" s="13">
        <v>2026</v>
      </c>
      <c r="C628" s="13">
        <v>6</v>
      </c>
      <c r="D628" s="13" t="s">
        <v>72</v>
      </c>
      <c r="E628" s="13" t="s">
        <v>68</v>
      </c>
      <c r="F628" s="13" t="s">
        <v>58</v>
      </c>
      <c r="G628" s="19">
        <v>-5138.893778261594</v>
      </c>
      <c r="H628" s="13" t="s">
        <v>86</v>
      </c>
      <c r="I628" s="13" t="s">
        <v>87</v>
      </c>
      <c r="J628" s="21" t="str">
        <f>_xlfn.XLOOKUP(F628,'04_Account_Mapping'!$A$6:$A$14,'04_Account_Mapping'!$C$6:$C$14,"Unmapped",0)</f>
        <v>COGS</v>
      </c>
      <c r="K628" s="21" t="str">
        <f>_xlfn.XLOOKUP(F628,'04_Account_Mapping'!$A$6:$A$14,'04_Account_Mapping'!$D$6:$D$14,"Unmapped",0)</f>
        <v>Expense</v>
      </c>
    </row>
    <row r="629" spans="1:11">
      <c r="A629" s="16">
        <v>46174</v>
      </c>
      <c r="B629" s="13">
        <v>2026</v>
      </c>
      <c r="C629" s="13">
        <v>6</v>
      </c>
      <c r="D629" s="13" t="s">
        <v>72</v>
      </c>
      <c r="E629" s="13" t="s">
        <v>68</v>
      </c>
      <c r="F629" s="13" t="s">
        <v>60</v>
      </c>
      <c r="G629" s="19">
        <v>-786.59382426392438</v>
      </c>
      <c r="H629" s="13" t="s">
        <v>86</v>
      </c>
      <c r="I629" s="13" t="s">
        <v>87</v>
      </c>
      <c r="J629" s="21" t="str">
        <f>_xlfn.XLOOKUP(F629,'04_Account_Mapping'!$A$6:$A$14,'04_Account_Mapping'!$C$6:$C$14,"Unmapped",0)</f>
        <v>Selling Expense</v>
      </c>
      <c r="K629" s="21" t="str">
        <f>_xlfn.XLOOKUP(F629,'04_Account_Mapping'!$A$6:$A$14,'04_Account_Mapping'!$D$6:$D$14,"Unmapped",0)</f>
        <v>Expense</v>
      </c>
    </row>
    <row r="630" spans="1:11">
      <c r="A630" s="16">
        <v>46174</v>
      </c>
      <c r="B630" s="13">
        <v>2026</v>
      </c>
      <c r="C630" s="13">
        <v>6</v>
      </c>
      <c r="D630" s="13" t="s">
        <v>72</v>
      </c>
      <c r="E630" s="13" t="s">
        <v>68</v>
      </c>
      <c r="F630" s="13" t="s">
        <v>61</v>
      </c>
      <c r="G630" s="19">
        <v>-186.97722052175251</v>
      </c>
      <c r="H630" s="13" t="s">
        <v>86</v>
      </c>
      <c r="I630" s="13" t="s">
        <v>87</v>
      </c>
      <c r="J630" s="21" t="str">
        <f>_xlfn.XLOOKUP(F630,'04_Account_Mapping'!$A$6:$A$14,'04_Account_Mapping'!$C$6:$C$14,"Unmapped",0)</f>
        <v>G&amp;A</v>
      </c>
      <c r="K630" s="21" t="str">
        <f>_xlfn.XLOOKUP(F630,'04_Account_Mapping'!$A$6:$A$14,'04_Account_Mapping'!$D$6:$D$14,"Unmapped",0)</f>
        <v>Expense</v>
      </c>
    </row>
    <row r="631" spans="1:11">
      <c r="A631" s="16">
        <v>46174</v>
      </c>
      <c r="B631" s="13">
        <v>2026</v>
      </c>
      <c r="C631" s="13">
        <v>6</v>
      </c>
      <c r="D631" s="13" t="s">
        <v>72</v>
      </c>
      <c r="E631" s="13" t="s">
        <v>68</v>
      </c>
      <c r="F631" s="13" t="s">
        <v>62</v>
      </c>
      <c r="G631" s="19">
        <v>128.94980725638104</v>
      </c>
      <c r="H631" s="13" t="s">
        <v>86</v>
      </c>
      <c r="I631" s="13" t="s">
        <v>87</v>
      </c>
      <c r="J631" s="21" t="str">
        <f>_xlfn.XLOOKUP(F631,'04_Account_Mapping'!$A$6:$A$14,'04_Account_Mapping'!$C$6:$C$14,"Unmapped",0)</f>
        <v>Finance Income</v>
      </c>
      <c r="K631" s="21" t="str">
        <f>_xlfn.XLOOKUP(F631,'04_Account_Mapping'!$A$6:$A$14,'04_Account_Mapping'!$D$6:$D$14,"Unmapped",0)</f>
        <v>Income</v>
      </c>
    </row>
    <row r="632" spans="1:11">
      <c r="A632" s="16">
        <v>46174</v>
      </c>
      <c r="B632" s="13">
        <v>2026</v>
      </c>
      <c r="C632" s="13">
        <v>6</v>
      </c>
      <c r="D632" s="13" t="s">
        <v>72</v>
      </c>
      <c r="E632" s="13" t="s">
        <v>68</v>
      </c>
      <c r="F632" s="13" t="s">
        <v>63</v>
      </c>
      <c r="G632" s="19">
        <v>-64.474903628190518</v>
      </c>
      <c r="H632" s="13" t="s">
        <v>86</v>
      </c>
      <c r="I632" s="13" t="s">
        <v>87</v>
      </c>
      <c r="J632" s="21" t="str">
        <f>_xlfn.XLOOKUP(F632,'04_Account_Mapping'!$A$6:$A$14,'04_Account_Mapping'!$C$6:$C$14,"Unmapped",0)</f>
        <v>Finance Expense</v>
      </c>
      <c r="K632" s="21" t="str">
        <f>_xlfn.XLOOKUP(F632,'04_Account_Mapping'!$A$6:$A$14,'04_Account_Mapping'!$D$6:$D$14,"Unmapped",0)</f>
        <v>Expense</v>
      </c>
    </row>
    <row r="633" spans="1:11">
      <c r="A633" s="16">
        <v>46174</v>
      </c>
      <c r="B633" s="13">
        <v>2026</v>
      </c>
      <c r="C633" s="13">
        <v>6</v>
      </c>
      <c r="D633" s="13" t="s">
        <v>72</v>
      </c>
      <c r="E633" s="13" t="s">
        <v>68</v>
      </c>
      <c r="F633" s="13" t="s">
        <v>64</v>
      </c>
      <c r="G633" s="19">
        <v>1.2894980725638105</v>
      </c>
      <c r="H633" s="13" t="s">
        <v>86</v>
      </c>
      <c r="I633" s="13" t="s">
        <v>87</v>
      </c>
      <c r="J633" s="21" t="str">
        <f>_xlfn.XLOOKUP(F633,'04_Account_Mapping'!$A$6:$A$14,'04_Account_Mapping'!$C$6:$C$14,"Unmapped",0)</f>
        <v>JV Profit/(Loss)</v>
      </c>
      <c r="K633" s="21" t="str">
        <f>_xlfn.XLOOKUP(F633,'04_Account_Mapping'!$A$6:$A$14,'04_Account_Mapping'!$D$6:$D$14,"Unmapped",0)</f>
        <v>Income</v>
      </c>
    </row>
    <row r="634" spans="1:11">
      <c r="A634" s="16">
        <v>46174</v>
      </c>
      <c r="B634" s="13">
        <v>2026</v>
      </c>
      <c r="C634" s="13">
        <v>6</v>
      </c>
      <c r="D634" s="13" t="s">
        <v>72</v>
      </c>
      <c r="E634" s="13" t="s">
        <v>68</v>
      </c>
      <c r="F634" s="13" t="s">
        <v>65</v>
      </c>
      <c r="G634" s="19">
        <v>0</v>
      </c>
      <c r="H634" s="13" t="s">
        <v>86</v>
      </c>
      <c r="I634" s="13" t="s">
        <v>87</v>
      </c>
      <c r="J634" s="21" t="str">
        <f>_xlfn.XLOOKUP(F634,'04_Account_Mapping'!$A$6:$A$14,'04_Account_Mapping'!$C$6:$C$14,"Unmapped",0)</f>
        <v>Other Net</v>
      </c>
      <c r="K634" s="21" t="str">
        <f>_xlfn.XLOOKUP(F634,'04_Account_Mapping'!$A$6:$A$14,'04_Account_Mapping'!$D$6:$D$14,"Unmapped",0)</f>
        <v>Income</v>
      </c>
    </row>
    <row r="635" spans="1:11">
      <c r="A635" s="16">
        <v>46174</v>
      </c>
      <c r="B635" s="13">
        <v>2026</v>
      </c>
      <c r="C635" s="13">
        <v>6</v>
      </c>
      <c r="D635" s="13" t="s">
        <v>72</v>
      </c>
      <c r="E635" s="13" t="s">
        <v>68</v>
      </c>
      <c r="F635" s="13" t="s">
        <v>66</v>
      </c>
      <c r="G635" s="19">
        <v>-80.157988294507135</v>
      </c>
      <c r="H635" s="13" t="s">
        <v>86</v>
      </c>
      <c r="I635" s="13" t="s">
        <v>87</v>
      </c>
      <c r="J635" s="21" t="str">
        <f>_xlfn.XLOOKUP(F635,'04_Account_Mapping'!$A$6:$A$14,'04_Account_Mapping'!$C$6:$C$14,"Unmapped",0)</f>
        <v>Tax Expense</v>
      </c>
      <c r="K635" s="21" t="str">
        <f>_xlfn.XLOOKUP(F635,'04_Account_Mapping'!$A$6:$A$14,'04_Account_Mapping'!$D$6:$D$14,"Unmapped",0)</f>
        <v>Expense</v>
      </c>
    </row>
    <row r="636" spans="1:11">
      <c r="A636" s="16">
        <v>46174</v>
      </c>
      <c r="B636" s="13">
        <v>2026</v>
      </c>
      <c r="C636" s="13">
        <v>6</v>
      </c>
      <c r="D636" s="13" t="s">
        <v>73</v>
      </c>
      <c r="E636" s="13" t="s">
        <v>74</v>
      </c>
      <c r="F636" s="13" t="s">
        <v>55</v>
      </c>
      <c r="G636" s="19">
        <v>4416.0892896020905</v>
      </c>
      <c r="H636" s="13" t="s">
        <v>86</v>
      </c>
      <c r="I636" s="13" t="s">
        <v>87</v>
      </c>
      <c r="J636" s="21" t="str">
        <f>_xlfn.XLOOKUP(F636,'04_Account_Mapping'!$A$6:$A$14,'04_Account_Mapping'!$C$6:$C$14,"Unmapped",0)</f>
        <v>Revenue</v>
      </c>
      <c r="K636" s="21" t="str">
        <f>_xlfn.XLOOKUP(F636,'04_Account_Mapping'!$A$6:$A$14,'04_Account_Mapping'!$D$6:$D$14,"Unmapped",0)</f>
        <v>Income</v>
      </c>
    </row>
    <row r="637" spans="1:11">
      <c r="A637" s="16">
        <v>46174</v>
      </c>
      <c r="B637" s="13">
        <v>2026</v>
      </c>
      <c r="C637" s="13">
        <v>6</v>
      </c>
      <c r="D637" s="13" t="s">
        <v>73</v>
      </c>
      <c r="E637" s="13" t="s">
        <v>74</v>
      </c>
      <c r="F637" s="13" t="s">
        <v>58</v>
      </c>
      <c r="G637" s="19">
        <v>-3519.7902590832832</v>
      </c>
      <c r="H637" s="13" t="s">
        <v>86</v>
      </c>
      <c r="I637" s="13" t="s">
        <v>87</v>
      </c>
      <c r="J637" s="21" t="str">
        <f>_xlfn.XLOOKUP(F637,'04_Account_Mapping'!$A$6:$A$14,'04_Account_Mapping'!$C$6:$C$14,"Unmapped",0)</f>
        <v>COGS</v>
      </c>
      <c r="K637" s="21" t="str">
        <f>_xlfn.XLOOKUP(F637,'04_Account_Mapping'!$A$6:$A$14,'04_Account_Mapping'!$D$6:$D$14,"Unmapped",0)</f>
        <v>Expense</v>
      </c>
    </row>
    <row r="638" spans="1:11">
      <c r="A638" s="16">
        <v>46174</v>
      </c>
      <c r="B638" s="13">
        <v>2026</v>
      </c>
      <c r="C638" s="13">
        <v>6</v>
      </c>
      <c r="D638" s="13" t="s">
        <v>73</v>
      </c>
      <c r="E638" s="13" t="s">
        <v>74</v>
      </c>
      <c r="F638" s="13" t="s">
        <v>60</v>
      </c>
      <c r="G638" s="19">
        <v>-538.76289333145507</v>
      </c>
      <c r="H638" s="13" t="s">
        <v>86</v>
      </c>
      <c r="I638" s="13" t="s">
        <v>87</v>
      </c>
      <c r="J638" s="21" t="str">
        <f>_xlfn.XLOOKUP(F638,'04_Account_Mapping'!$A$6:$A$14,'04_Account_Mapping'!$C$6:$C$14,"Unmapped",0)</f>
        <v>Selling Expense</v>
      </c>
      <c r="K638" s="21" t="str">
        <f>_xlfn.XLOOKUP(F638,'04_Account_Mapping'!$A$6:$A$14,'04_Account_Mapping'!$D$6:$D$14,"Unmapped",0)</f>
        <v>Expense</v>
      </c>
    </row>
    <row r="639" spans="1:11">
      <c r="A639" s="16">
        <v>46174</v>
      </c>
      <c r="B639" s="13">
        <v>2026</v>
      </c>
      <c r="C639" s="13">
        <v>6</v>
      </c>
      <c r="D639" s="13" t="s">
        <v>73</v>
      </c>
      <c r="E639" s="13" t="s">
        <v>74</v>
      </c>
      <c r="F639" s="13" t="s">
        <v>61</v>
      </c>
      <c r="G639" s="19">
        <v>-128.06658939846062</v>
      </c>
      <c r="H639" s="13" t="s">
        <v>86</v>
      </c>
      <c r="I639" s="13" t="s">
        <v>87</v>
      </c>
      <c r="J639" s="21" t="str">
        <f>_xlfn.XLOOKUP(F639,'04_Account_Mapping'!$A$6:$A$14,'04_Account_Mapping'!$C$6:$C$14,"Unmapped",0)</f>
        <v>G&amp;A</v>
      </c>
      <c r="K639" s="21" t="str">
        <f>_xlfn.XLOOKUP(F639,'04_Account_Mapping'!$A$6:$A$14,'04_Account_Mapping'!$D$6:$D$14,"Unmapped",0)</f>
        <v>Expense</v>
      </c>
    </row>
    <row r="640" spans="1:11">
      <c r="A640" s="16">
        <v>46174</v>
      </c>
      <c r="B640" s="13">
        <v>2026</v>
      </c>
      <c r="C640" s="13">
        <v>6</v>
      </c>
      <c r="D640" s="13" t="s">
        <v>73</v>
      </c>
      <c r="E640" s="13" t="s">
        <v>74</v>
      </c>
      <c r="F640" s="13" t="s">
        <v>62</v>
      </c>
      <c r="G640" s="19">
        <v>88.321785792041808</v>
      </c>
      <c r="H640" s="13" t="s">
        <v>86</v>
      </c>
      <c r="I640" s="13" t="s">
        <v>87</v>
      </c>
      <c r="J640" s="21" t="str">
        <f>_xlfn.XLOOKUP(F640,'04_Account_Mapping'!$A$6:$A$14,'04_Account_Mapping'!$C$6:$C$14,"Unmapped",0)</f>
        <v>Finance Income</v>
      </c>
      <c r="K640" s="21" t="str">
        <f>_xlfn.XLOOKUP(F640,'04_Account_Mapping'!$A$6:$A$14,'04_Account_Mapping'!$D$6:$D$14,"Unmapped",0)</f>
        <v>Income</v>
      </c>
    </row>
    <row r="641" spans="1:11">
      <c r="A641" s="16">
        <v>46174</v>
      </c>
      <c r="B641" s="13">
        <v>2026</v>
      </c>
      <c r="C641" s="13">
        <v>6</v>
      </c>
      <c r="D641" s="13" t="s">
        <v>73</v>
      </c>
      <c r="E641" s="13" t="s">
        <v>74</v>
      </c>
      <c r="F641" s="13" t="s">
        <v>63</v>
      </c>
      <c r="G641" s="19">
        <v>-44.160892896020904</v>
      </c>
      <c r="H641" s="13" t="s">
        <v>86</v>
      </c>
      <c r="I641" s="13" t="s">
        <v>87</v>
      </c>
      <c r="J641" s="21" t="str">
        <f>_xlfn.XLOOKUP(F641,'04_Account_Mapping'!$A$6:$A$14,'04_Account_Mapping'!$C$6:$C$14,"Unmapped",0)</f>
        <v>Finance Expense</v>
      </c>
      <c r="K641" s="21" t="str">
        <f>_xlfn.XLOOKUP(F641,'04_Account_Mapping'!$A$6:$A$14,'04_Account_Mapping'!$D$6:$D$14,"Unmapped",0)</f>
        <v>Expense</v>
      </c>
    </row>
    <row r="642" spans="1:11">
      <c r="A642" s="16">
        <v>46174</v>
      </c>
      <c r="B642" s="13">
        <v>2026</v>
      </c>
      <c r="C642" s="13">
        <v>6</v>
      </c>
      <c r="D642" s="13" t="s">
        <v>73</v>
      </c>
      <c r="E642" s="13" t="s">
        <v>74</v>
      </c>
      <c r="F642" s="13" t="s">
        <v>64</v>
      </c>
      <c r="G642" s="19">
        <v>0.88321785792041807</v>
      </c>
      <c r="H642" s="13" t="s">
        <v>86</v>
      </c>
      <c r="I642" s="13" t="s">
        <v>87</v>
      </c>
      <c r="J642" s="21" t="str">
        <f>_xlfn.XLOOKUP(F642,'04_Account_Mapping'!$A$6:$A$14,'04_Account_Mapping'!$C$6:$C$14,"Unmapped",0)</f>
        <v>JV Profit/(Loss)</v>
      </c>
      <c r="K642" s="21" t="str">
        <f>_xlfn.XLOOKUP(F642,'04_Account_Mapping'!$A$6:$A$14,'04_Account_Mapping'!$D$6:$D$14,"Unmapped",0)</f>
        <v>Income</v>
      </c>
    </row>
    <row r="643" spans="1:11">
      <c r="A643" s="16">
        <v>46174</v>
      </c>
      <c r="B643" s="13">
        <v>2026</v>
      </c>
      <c r="C643" s="13">
        <v>6</v>
      </c>
      <c r="D643" s="13" t="s">
        <v>73</v>
      </c>
      <c r="E643" s="13" t="s">
        <v>74</v>
      </c>
      <c r="F643" s="13" t="s">
        <v>65</v>
      </c>
      <c r="G643" s="19">
        <v>0</v>
      </c>
      <c r="H643" s="13" t="s">
        <v>86</v>
      </c>
      <c r="I643" s="13" t="s">
        <v>87</v>
      </c>
      <c r="J643" s="21" t="str">
        <f>_xlfn.XLOOKUP(F643,'04_Account_Mapping'!$A$6:$A$14,'04_Account_Mapping'!$C$6:$C$14,"Unmapped",0)</f>
        <v>Other Net</v>
      </c>
      <c r="K643" s="21" t="str">
        <f>_xlfn.XLOOKUP(F643,'04_Account_Mapping'!$A$6:$A$14,'04_Account_Mapping'!$D$6:$D$14,"Unmapped",0)</f>
        <v>Income</v>
      </c>
    </row>
    <row r="644" spans="1:11">
      <c r="A644" s="16">
        <v>46174</v>
      </c>
      <c r="B644" s="13">
        <v>2026</v>
      </c>
      <c r="C644" s="13">
        <v>6</v>
      </c>
      <c r="D644" s="13" t="s">
        <v>73</v>
      </c>
      <c r="E644" s="13" t="s">
        <v>74</v>
      </c>
      <c r="F644" s="13" t="s">
        <v>66</v>
      </c>
      <c r="G644" s="19">
        <v>-54.902731708566527</v>
      </c>
      <c r="H644" s="13" t="s">
        <v>86</v>
      </c>
      <c r="I644" s="13" t="s">
        <v>87</v>
      </c>
      <c r="J644" s="21" t="str">
        <f>_xlfn.XLOOKUP(F644,'04_Account_Mapping'!$A$6:$A$14,'04_Account_Mapping'!$C$6:$C$14,"Unmapped",0)</f>
        <v>Tax Expense</v>
      </c>
      <c r="K644" s="21" t="str">
        <f>_xlfn.XLOOKUP(F644,'04_Account_Mapping'!$A$6:$A$14,'04_Account_Mapping'!$D$6:$D$14,"Unmapped",0)</f>
        <v>Expense</v>
      </c>
    </row>
    <row r="645" spans="1:11">
      <c r="A645" s="16">
        <v>46174</v>
      </c>
      <c r="B645" s="13">
        <v>2026</v>
      </c>
      <c r="C645" s="13">
        <v>6</v>
      </c>
      <c r="D645" s="13" t="s">
        <v>75</v>
      </c>
      <c r="E645" s="13" t="s">
        <v>76</v>
      </c>
      <c r="F645" s="13" t="s">
        <v>55</v>
      </c>
      <c r="G645" s="19">
        <v>338.56684553616026</v>
      </c>
      <c r="H645" s="13" t="s">
        <v>86</v>
      </c>
      <c r="I645" s="13" t="s">
        <v>87</v>
      </c>
      <c r="J645" s="21" t="str">
        <f>_xlfn.XLOOKUP(F645,'04_Account_Mapping'!$A$6:$A$14,'04_Account_Mapping'!$C$6:$C$14,"Unmapped",0)</f>
        <v>Revenue</v>
      </c>
      <c r="K645" s="21" t="str">
        <f>_xlfn.XLOOKUP(F645,'04_Account_Mapping'!$A$6:$A$14,'04_Account_Mapping'!$D$6:$D$14,"Unmapped",0)</f>
        <v>Income</v>
      </c>
    </row>
    <row r="646" spans="1:11">
      <c r="A646" s="16">
        <v>46174</v>
      </c>
      <c r="B646" s="13">
        <v>2026</v>
      </c>
      <c r="C646" s="13">
        <v>6</v>
      </c>
      <c r="D646" s="13" t="s">
        <v>75</v>
      </c>
      <c r="E646" s="13" t="s">
        <v>76</v>
      </c>
      <c r="F646" s="13" t="s">
        <v>58</v>
      </c>
      <c r="G646" s="19">
        <v>-269.85058652971838</v>
      </c>
      <c r="H646" s="13" t="s">
        <v>86</v>
      </c>
      <c r="I646" s="13" t="s">
        <v>87</v>
      </c>
      <c r="J646" s="21" t="str">
        <f>_xlfn.XLOOKUP(F646,'04_Account_Mapping'!$A$6:$A$14,'04_Account_Mapping'!$C$6:$C$14,"Unmapped",0)</f>
        <v>COGS</v>
      </c>
      <c r="K646" s="21" t="str">
        <f>_xlfn.XLOOKUP(F646,'04_Account_Mapping'!$A$6:$A$14,'04_Account_Mapping'!$D$6:$D$14,"Unmapped",0)</f>
        <v>Expense</v>
      </c>
    </row>
    <row r="647" spans="1:11">
      <c r="A647" s="16">
        <v>46174</v>
      </c>
      <c r="B647" s="13">
        <v>2026</v>
      </c>
      <c r="C647" s="13">
        <v>6</v>
      </c>
      <c r="D647" s="13" t="s">
        <v>75</v>
      </c>
      <c r="E647" s="13" t="s">
        <v>76</v>
      </c>
      <c r="F647" s="13" t="s">
        <v>60</v>
      </c>
      <c r="G647" s="19">
        <v>-41.305155155411548</v>
      </c>
      <c r="H647" s="13" t="s">
        <v>86</v>
      </c>
      <c r="I647" s="13" t="s">
        <v>87</v>
      </c>
      <c r="J647" s="21" t="str">
        <f>_xlfn.XLOOKUP(F647,'04_Account_Mapping'!$A$6:$A$14,'04_Account_Mapping'!$C$6:$C$14,"Unmapped",0)</f>
        <v>Selling Expense</v>
      </c>
      <c r="K647" s="21" t="str">
        <f>_xlfn.XLOOKUP(F647,'04_Account_Mapping'!$A$6:$A$14,'04_Account_Mapping'!$D$6:$D$14,"Unmapped",0)</f>
        <v>Expense</v>
      </c>
    </row>
    <row r="648" spans="1:11">
      <c r="A648" s="16">
        <v>46174</v>
      </c>
      <c r="B648" s="13">
        <v>2026</v>
      </c>
      <c r="C648" s="13">
        <v>6</v>
      </c>
      <c r="D648" s="13" t="s">
        <v>75</v>
      </c>
      <c r="E648" s="13" t="s">
        <v>76</v>
      </c>
      <c r="F648" s="13" t="s">
        <v>61</v>
      </c>
      <c r="G648" s="19">
        <v>-9.8184385205486464</v>
      </c>
      <c r="H648" s="13" t="s">
        <v>86</v>
      </c>
      <c r="I648" s="13" t="s">
        <v>87</v>
      </c>
      <c r="J648" s="21" t="str">
        <f>_xlfn.XLOOKUP(F648,'04_Account_Mapping'!$A$6:$A$14,'04_Account_Mapping'!$C$6:$C$14,"Unmapped",0)</f>
        <v>G&amp;A</v>
      </c>
      <c r="K648" s="21" t="str">
        <f>_xlfn.XLOOKUP(F648,'04_Account_Mapping'!$A$6:$A$14,'04_Account_Mapping'!$D$6:$D$14,"Unmapped",0)</f>
        <v>Expense</v>
      </c>
    </row>
    <row r="649" spans="1:11">
      <c r="A649" s="16">
        <v>46174</v>
      </c>
      <c r="B649" s="13">
        <v>2026</v>
      </c>
      <c r="C649" s="13">
        <v>6</v>
      </c>
      <c r="D649" s="13" t="s">
        <v>75</v>
      </c>
      <c r="E649" s="13" t="s">
        <v>76</v>
      </c>
      <c r="F649" s="13" t="s">
        <v>62</v>
      </c>
      <c r="G649" s="19">
        <v>6.7713369107232051</v>
      </c>
      <c r="H649" s="13" t="s">
        <v>86</v>
      </c>
      <c r="I649" s="13" t="s">
        <v>87</v>
      </c>
      <c r="J649" s="21" t="str">
        <f>_xlfn.XLOOKUP(F649,'04_Account_Mapping'!$A$6:$A$14,'04_Account_Mapping'!$C$6:$C$14,"Unmapped",0)</f>
        <v>Finance Income</v>
      </c>
      <c r="K649" s="21" t="str">
        <f>_xlfn.XLOOKUP(F649,'04_Account_Mapping'!$A$6:$A$14,'04_Account_Mapping'!$D$6:$D$14,"Unmapped",0)</f>
        <v>Income</v>
      </c>
    </row>
    <row r="650" spans="1:11">
      <c r="A650" s="16">
        <v>46174</v>
      </c>
      <c r="B650" s="13">
        <v>2026</v>
      </c>
      <c r="C650" s="13">
        <v>6</v>
      </c>
      <c r="D650" s="13" t="s">
        <v>75</v>
      </c>
      <c r="E650" s="13" t="s">
        <v>76</v>
      </c>
      <c r="F650" s="13" t="s">
        <v>63</v>
      </c>
      <c r="G650" s="19">
        <v>-3.3856684553616025</v>
      </c>
      <c r="H650" s="13" t="s">
        <v>86</v>
      </c>
      <c r="I650" s="13" t="s">
        <v>87</v>
      </c>
      <c r="J650" s="21" t="str">
        <f>_xlfn.XLOOKUP(F650,'04_Account_Mapping'!$A$6:$A$14,'04_Account_Mapping'!$C$6:$C$14,"Unmapped",0)</f>
        <v>Finance Expense</v>
      </c>
      <c r="K650" s="21" t="str">
        <f>_xlfn.XLOOKUP(F650,'04_Account_Mapping'!$A$6:$A$14,'04_Account_Mapping'!$D$6:$D$14,"Unmapped",0)</f>
        <v>Expense</v>
      </c>
    </row>
    <row r="651" spans="1:11">
      <c r="A651" s="16">
        <v>46174</v>
      </c>
      <c r="B651" s="13">
        <v>2026</v>
      </c>
      <c r="C651" s="13">
        <v>6</v>
      </c>
      <c r="D651" s="13" t="s">
        <v>75</v>
      </c>
      <c r="E651" s="13" t="s">
        <v>76</v>
      </c>
      <c r="F651" s="13" t="s">
        <v>64</v>
      </c>
      <c r="G651" s="19">
        <v>6.7713369107232052E-2</v>
      </c>
      <c r="H651" s="13" t="s">
        <v>86</v>
      </c>
      <c r="I651" s="13" t="s">
        <v>87</v>
      </c>
      <c r="J651" s="21" t="str">
        <f>_xlfn.XLOOKUP(F651,'04_Account_Mapping'!$A$6:$A$14,'04_Account_Mapping'!$C$6:$C$14,"Unmapped",0)</f>
        <v>JV Profit/(Loss)</v>
      </c>
      <c r="K651" s="21" t="str">
        <f>_xlfn.XLOOKUP(F651,'04_Account_Mapping'!$A$6:$A$14,'04_Account_Mapping'!$D$6:$D$14,"Unmapped",0)</f>
        <v>Income</v>
      </c>
    </row>
    <row r="652" spans="1:11">
      <c r="A652" s="16">
        <v>46174</v>
      </c>
      <c r="B652" s="13">
        <v>2026</v>
      </c>
      <c r="C652" s="13">
        <v>6</v>
      </c>
      <c r="D652" s="13" t="s">
        <v>75</v>
      </c>
      <c r="E652" s="13" t="s">
        <v>76</v>
      </c>
      <c r="F652" s="13" t="s">
        <v>65</v>
      </c>
      <c r="G652" s="19">
        <v>0</v>
      </c>
      <c r="H652" s="13" t="s">
        <v>86</v>
      </c>
      <c r="I652" s="13" t="s">
        <v>87</v>
      </c>
      <c r="J652" s="21" t="str">
        <f>_xlfn.XLOOKUP(F652,'04_Account_Mapping'!$A$6:$A$14,'04_Account_Mapping'!$C$6:$C$14,"Unmapped",0)</f>
        <v>Other Net</v>
      </c>
      <c r="K652" s="21" t="str">
        <f>_xlfn.XLOOKUP(F652,'04_Account_Mapping'!$A$6:$A$14,'04_Account_Mapping'!$D$6:$D$14,"Unmapped",0)</f>
        <v>Income</v>
      </c>
    </row>
    <row r="653" spans="1:11">
      <c r="A653" s="16">
        <v>46174</v>
      </c>
      <c r="B653" s="13">
        <v>2026</v>
      </c>
      <c r="C653" s="13">
        <v>6</v>
      </c>
      <c r="D653" s="13" t="s">
        <v>75</v>
      </c>
      <c r="E653" s="13" t="s">
        <v>76</v>
      </c>
      <c r="F653" s="13" t="s">
        <v>66</v>
      </c>
      <c r="G653" s="19">
        <v>-4.2092094309901</v>
      </c>
      <c r="H653" s="13" t="s">
        <v>86</v>
      </c>
      <c r="I653" s="13" t="s">
        <v>87</v>
      </c>
      <c r="J653" s="21" t="str">
        <f>_xlfn.XLOOKUP(F653,'04_Account_Mapping'!$A$6:$A$14,'04_Account_Mapping'!$C$6:$C$14,"Unmapped",0)</f>
        <v>Tax Expense</v>
      </c>
      <c r="K653" s="21" t="str">
        <f>_xlfn.XLOOKUP(F653,'04_Account_Mapping'!$A$6:$A$14,'04_Account_Mapping'!$D$6:$D$14,"Unmapped",0)</f>
        <v>Expense</v>
      </c>
    </row>
    <row r="654" spans="1:11">
      <c r="A654" s="16">
        <v>46204</v>
      </c>
      <c r="B654" s="13">
        <v>2026</v>
      </c>
      <c r="C654" s="13">
        <v>7</v>
      </c>
      <c r="D654" s="13" t="s">
        <v>67</v>
      </c>
      <c r="E654" s="13" t="s">
        <v>68</v>
      </c>
      <c r="F654" s="13" t="s">
        <v>55</v>
      </c>
      <c r="G654" s="19">
        <v>3638.7637513927489</v>
      </c>
      <c r="H654" s="13" t="s">
        <v>86</v>
      </c>
      <c r="I654" s="13" t="s">
        <v>87</v>
      </c>
      <c r="J654" s="21" t="str">
        <f>_xlfn.XLOOKUP(F654,'04_Account_Mapping'!$A$6:$A$14,'04_Account_Mapping'!$C$6:$C$14,"Unmapped",0)</f>
        <v>Revenue</v>
      </c>
      <c r="K654" s="21" t="str">
        <f>_xlfn.XLOOKUP(F654,'04_Account_Mapping'!$A$6:$A$14,'04_Account_Mapping'!$D$6:$D$14,"Unmapped",0)</f>
        <v>Income</v>
      </c>
    </row>
    <row r="655" spans="1:11">
      <c r="A655" s="16">
        <v>46204</v>
      </c>
      <c r="B655" s="13">
        <v>2026</v>
      </c>
      <c r="C655" s="13">
        <v>7</v>
      </c>
      <c r="D655" s="13" t="s">
        <v>67</v>
      </c>
      <c r="E655" s="13" t="s">
        <v>68</v>
      </c>
      <c r="F655" s="13" t="s">
        <v>58</v>
      </c>
      <c r="G655" s="19">
        <v>-2900.2323928127762</v>
      </c>
      <c r="H655" s="13" t="s">
        <v>86</v>
      </c>
      <c r="I655" s="13" t="s">
        <v>87</v>
      </c>
      <c r="J655" s="21" t="str">
        <f>_xlfn.XLOOKUP(F655,'04_Account_Mapping'!$A$6:$A$14,'04_Account_Mapping'!$C$6:$C$14,"Unmapped",0)</f>
        <v>COGS</v>
      </c>
      <c r="K655" s="21" t="str">
        <f>_xlfn.XLOOKUP(F655,'04_Account_Mapping'!$A$6:$A$14,'04_Account_Mapping'!$D$6:$D$14,"Unmapped",0)</f>
        <v>Expense</v>
      </c>
    </row>
    <row r="656" spans="1:11">
      <c r="A656" s="16">
        <v>46204</v>
      </c>
      <c r="B656" s="13">
        <v>2026</v>
      </c>
      <c r="C656" s="13">
        <v>7</v>
      </c>
      <c r="D656" s="13" t="s">
        <v>67</v>
      </c>
      <c r="E656" s="13" t="s">
        <v>68</v>
      </c>
      <c r="F656" s="13" t="s">
        <v>60</v>
      </c>
      <c r="G656" s="19">
        <v>-443.92917766991536</v>
      </c>
      <c r="H656" s="13" t="s">
        <v>86</v>
      </c>
      <c r="I656" s="13" t="s">
        <v>87</v>
      </c>
      <c r="J656" s="21" t="str">
        <f>_xlfn.XLOOKUP(F656,'04_Account_Mapping'!$A$6:$A$14,'04_Account_Mapping'!$C$6:$C$14,"Unmapped",0)</f>
        <v>Selling Expense</v>
      </c>
      <c r="K656" s="21" t="str">
        <f>_xlfn.XLOOKUP(F656,'04_Account_Mapping'!$A$6:$A$14,'04_Account_Mapping'!$D$6:$D$14,"Unmapped",0)</f>
        <v>Expense</v>
      </c>
    </row>
    <row r="657" spans="1:11">
      <c r="A657" s="16">
        <v>46204</v>
      </c>
      <c r="B657" s="13">
        <v>2026</v>
      </c>
      <c r="C657" s="13">
        <v>7</v>
      </c>
      <c r="D657" s="13" t="s">
        <v>67</v>
      </c>
      <c r="E657" s="13" t="s">
        <v>68</v>
      </c>
      <c r="F657" s="13" t="s">
        <v>61</v>
      </c>
      <c r="G657" s="19">
        <v>-105.52414879038972</v>
      </c>
      <c r="H657" s="13" t="s">
        <v>86</v>
      </c>
      <c r="I657" s="13" t="s">
        <v>87</v>
      </c>
      <c r="J657" s="21" t="str">
        <f>_xlfn.XLOOKUP(F657,'04_Account_Mapping'!$A$6:$A$14,'04_Account_Mapping'!$C$6:$C$14,"Unmapped",0)</f>
        <v>G&amp;A</v>
      </c>
      <c r="K657" s="21" t="str">
        <f>_xlfn.XLOOKUP(F657,'04_Account_Mapping'!$A$6:$A$14,'04_Account_Mapping'!$D$6:$D$14,"Unmapped",0)</f>
        <v>Expense</v>
      </c>
    </row>
    <row r="658" spans="1:11">
      <c r="A658" s="16">
        <v>46204</v>
      </c>
      <c r="B658" s="13">
        <v>2026</v>
      </c>
      <c r="C658" s="13">
        <v>7</v>
      </c>
      <c r="D658" s="13" t="s">
        <v>67</v>
      </c>
      <c r="E658" s="13" t="s">
        <v>68</v>
      </c>
      <c r="F658" s="13" t="s">
        <v>62</v>
      </c>
      <c r="G658" s="19">
        <v>72.775275027854974</v>
      </c>
      <c r="H658" s="13" t="s">
        <v>86</v>
      </c>
      <c r="I658" s="13" t="s">
        <v>87</v>
      </c>
      <c r="J658" s="21" t="str">
        <f>_xlfn.XLOOKUP(F658,'04_Account_Mapping'!$A$6:$A$14,'04_Account_Mapping'!$C$6:$C$14,"Unmapped",0)</f>
        <v>Finance Income</v>
      </c>
      <c r="K658" s="21" t="str">
        <f>_xlfn.XLOOKUP(F658,'04_Account_Mapping'!$A$6:$A$14,'04_Account_Mapping'!$D$6:$D$14,"Unmapped",0)</f>
        <v>Income</v>
      </c>
    </row>
    <row r="659" spans="1:11">
      <c r="A659" s="16">
        <v>46204</v>
      </c>
      <c r="B659" s="13">
        <v>2026</v>
      </c>
      <c r="C659" s="13">
        <v>7</v>
      </c>
      <c r="D659" s="13" t="s">
        <v>67</v>
      </c>
      <c r="E659" s="13" t="s">
        <v>68</v>
      </c>
      <c r="F659" s="13" t="s">
        <v>63</v>
      </c>
      <c r="G659" s="19">
        <v>-36.387637513927487</v>
      </c>
      <c r="H659" s="13" t="s">
        <v>86</v>
      </c>
      <c r="I659" s="13" t="s">
        <v>87</v>
      </c>
      <c r="J659" s="21" t="str">
        <f>_xlfn.XLOOKUP(F659,'04_Account_Mapping'!$A$6:$A$14,'04_Account_Mapping'!$C$6:$C$14,"Unmapped",0)</f>
        <v>Finance Expense</v>
      </c>
      <c r="K659" s="21" t="str">
        <f>_xlfn.XLOOKUP(F659,'04_Account_Mapping'!$A$6:$A$14,'04_Account_Mapping'!$D$6:$D$14,"Unmapped",0)</f>
        <v>Expense</v>
      </c>
    </row>
    <row r="660" spans="1:11">
      <c r="A660" s="16">
        <v>46204</v>
      </c>
      <c r="B660" s="13">
        <v>2026</v>
      </c>
      <c r="C660" s="13">
        <v>7</v>
      </c>
      <c r="D660" s="13" t="s">
        <v>67</v>
      </c>
      <c r="E660" s="13" t="s">
        <v>68</v>
      </c>
      <c r="F660" s="13" t="s">
        <v>64</v>
      </c>
      <c r="G660" s="19">
        <v>0.72775275027854969</v>
      </c>
      <c r="H660" s="13" t="s">
        <v>86</v>
      </c>
      <c r="I660" s="13" t="s">
        <v>87</v>
      </c>
      <c r="J660" s="21" t="str">
        <f>_xlfn.XLOOKUP(F660,'04_Account_Mapping'!$A$6:$A$14,'04_Account_Mapping'!$C$6:$C$14,"Unmapped",0)</f>
        <v>JV Profit/(Loss)</v>
      </c>
      <c r="K660" s="21" t="str">
        <f>_xlfn.XLOOKUP(F660,'04_Account_Mapping'!$A$6:$A$14,'04_Account_Mapping'!$D$6:$D$14,"Unmapped",0)</f>
        <v>Income</v>
      </c>
    </row>
    <row r="661" spans="1:11">
      <c r="A661" s="16">
        <v>46204</v>
      </c>
      <c r="B661" s="13">
        <v>2026</v>
      </c>
      <c r="C661" s="13">
        <v>7</v>
      </c>
      <c r="D661" s="13" t="s">
        <v>67</v>
      </c>
      <c r="E661" s="13" t="s">
        <v>68</v>
      </c>
      <c r="F661" s="13" t="s">
        <v>65</v>
      </c>
      <c r="G661" s="19">
        <v>0</v>
      </c>
      <c r="H661" s="13" t="s">
        <v>86</v>
      </c>
      <c r="I661" s="13" t="s">
        <v>87</v>
      </c>
      <c r="J661" s="21" t="str">
        <f>_xlfn.XLOOKUP(F661,'04_Account_Mapping'!$A$6:$A$14,'04_Account_Mapping'!$C$6:$C$14,"Unmapped",0)</f>
        <v>Other Net</v>
      </c>
      <c r="K661" s="21" t="str">
        <f>_xlfn.XLOOKUP(F661,'04_Account_Mapping'!$A$6:$A$14,'04_Account_Mapping'!$D$6:$D$14,"Unmapped",0)</f>
        <v>Income</v>
      </c>
    </row>
    <row r="662" spans="1:11">
      <c r="A662" s="16">
        <v>46204</v>
      </c>
      <c r="B662" s="13">
        <v>2026</v>
      </c>
      <c r="C662" s="13">
        <v>7</v>
      </c>
      <c r="D662" s="13" t="s">
        <v>67</v>
      </c>
      <c r="E662" s="13" t="s">
        <v>68</v>
      </c>
      <c r="F662" s="13" t="s">
        <v>66</v>
      </c>
      <c r="G662" s="19">
        <v>-45.238684476774715</v>
      </c>
      <c r="H662" s="13" t="s">
        <v>86</v>
      </c>
      <c r="I662" s="13" t="s">
        <v>87</v>
      </c>
      <c r="J662" s="21" t="str">
        <f>_xlfn.XLOOKUP(F662,'04_Account_Mapping'!$A$6:$A$14,'04_Account_Mapping'!$C$6:$C$14,"Unmapped",0)</f>
        <v>Tax Expense</v>
      </c>
      <c r="K662" s="21" t="str">
        <f>_xlfn.XLOOKUP(F662,'04_Account_Mapping'!$A$6:$A$14,'04_Account_Mapping'!$D$6:$D$14,"Unmapped",0)</f>
        <v>Expense</v>
      </c>
    </row>
    <row r="663" spans="1:11">
      <c r="A663" s="16">
        <v>46204</v>
      </c>
      <c r="B663" s="13">
        <v>2026</v>
      </c>
      <c r="C663" s="13">
        <v>7</v>
      </c>
      <c r="D663" s="13" t="s">
        <v>72</v>
      </c>
      <c r="E663" s="13" t="s">
        <v>68</v>
      </c>
      <c r="F663" s="13" t="s">
        <v>55</v>
      </c>
      <c r="G663" s="19">
        <v>6668.52938539759</v>
      </c>
      <c r="H663" s="13" t="s">
        <v>86</v>
      </c>
      <c r="I663" s="13" t="s">
        <v>87</v>
      </c>
      <c r="J663" s="21" t="str">
        <f>_xlfn.XLOOKUP(F663,'04_Account_Mapping'!$A$6:$A$14,'04_Account_Mapping'!$C$6:$C$14,"Unmapped",0)</f>
        <v>Revenue</v>
      </c>
      <c r="K663" s="21" t="str">
        <f>_xlfn.XLOOKUP(F663,'04_Account_Mapping'!$A$6:$A$14,'04_Account_Mapping'!$D$6:$D$14,"Unmapped",0)</f>
        <v>Income</v>
      </c>
    </row>
    <row r="664" spans="1:11">
      <c r="A664" s="16">
        <v>46204</v>
      </c>
      <c r="B664" s="13">
        <v>2026</v>
      </c>
      <c r="C664" s="13">
        <v>7</v>
      </c>
      <c r="D664" s="13" t="s">
        <v>72</v>
      </c>
      <c r="E664" s="13" t="s">
        <v>68</v>
      </c>
      <c r="F664" s="13" t="s">
        <v>58</v>
      </c>
      <c r="G664" s="19">
        <v>-5315.0702428953809</v>
      </c>
      <c r="H664" s="13" t="s">
        <v>86</v>
      </c>
      <c r="I664" s="13" t="s">
        <v>87</v>
      </c>
      <c r="J664" s="21" t="str">
        <f>_xlfn.XLOOKUP(F664,'04_Account_Mapping'!$A$6:$A$14,'04_Account_Mapping'!$C$6:$C$14,"Unmapped",0)</f>
        <v>COGS</v>
      </c>
      <c r="K664" s="21" t="str">
        <f>_xlfn.XLOOKUP(F664,'04_Account_Mapping'!$A$6:$A$14,'04_Account_Mapping'!$D$6:$D$14,"Unmapped",0)</f>
        <v>Expense</v>
      </c>
    </row>
    <row r="665" spans="1:11">
      <c r="A665" s="16">
        <v>46204</v>
      </c>
      <c r="B665" s="13">
        <v>2026</v>
      </c>
      <c r="C665" s="13">
        <v>7</v>
      </c>
      <c r="D665" s="13" t="s">
        <v>72</v>
      </c>
      <c r="E665" s="13" t="s">
        <v>68</v>
      </c>
      <c r="F665" s="13" t="s">
        <v>60</v>
      </c>
      <c r="G665" s="19">
        <v>-813.560585018506</v>
      </c>
      <c r="H665" s="13" t="s">
        <v>86</v>
      </c>
      <c r="I665" s="13" t="s">
        <v>87</v>
      </c>
      <c r="J665" s="21" t="str">
        <f>_xlfn.XLOOKUP(F665,'04_Account_Mapping'!$A$6:$A$14,'04_Account_Mapping'!$C$6:$C$14,"Unmapped",0)</f>
        <v>Selling Expense</v>
      </c>
      <c r="K665" s="21" t="str">
        <f>_xlfn.XLOOKUP(F665,'04_Account_Mapping'!$A$6:$A$14,'04_Account_Mapping'!$D$6:$D$14,"Unmapped",0)</f>
        <v>Expense</v>
      </c>
    </row>
    <row r="666" spans="1:11">
      <c r="A666" s="16">
        <v>46204</v>
      </c>
      <c r="B666" s="13">
        <v>2026</v>
      </c>
      <c r="C666" s="13">
        <v>7</v>
      </c>
      <c r="D666" s="13" t="s">
        <v>72</v>
      </c>
      <c r="E666" s="13" t="s">
        <v>68</v>
      </c>
      <c r="F666" s="13" t="s">
        <v>61</v>
      </c>
      <c r="G666" s="19">
        <v>-193.3873521765301</v>
      </c>
      <c r="H666" s="13" t="s">
        <v>86</v>
      </c>
      <c r="I666" s="13" t="s">
        <v>87</v>
      </c>
      <c r="J666" s="21" t="str">
        <f>_xlfn.XLOOKUP(F666,'04_Account_Mapping'!$A$6:$A$14,'04_Account_Mapping'!$C$6:$C$14,"Unmapped",0)</f>
        <v>G&amp;A</v>
      </c>
      <c r="K666" s="21" t="str">
        <f>_xlfn.XLOOKUP(F666,'04_Account_Mapping'!$A$6:$A$14,'04_Account_Mapping'!$D$6:$D$14,"Unmapped",0)</f>
        <v>Expense</v>
      </c>
    </row>
    <row r="667" spans="1:11">
      <c r="A667" s="16">
        <v>46204</v>
      </c>
      <c r="B667" s="13">
        <v>2026</v>
      </c>
      <c r="C667" s="13">
        <v>7</v>
      </c>
      <c r="D667" s="13" t="s">
        <v>72</v>
      </c>
      <c r="E667" s="13" t="s">
        <v>68</v>
      </c>
      <c r="F667" s="13" t="s">
        <v>62</v>
      </c>
      <c r="G667" s="19">
        <v>133.37058770795178</v>
      </c>
      <c r="H667" s="13" t="s">
        <v>86</v>
      </c>
      <c r="I667" s="13" t="s">
        <v>87</v>
      </c>
      <c r="J667" s="21" t="str">
        <f>_xlfn.XLOOKUP(F667,'04_Account_Mapping'!$A$6:$A$14,'04_Account_Mapping'!$C$6:$C$14,"Unmapped",0)</f>
        <v>Finance Income</v>
      </c>
      <c r="K667" s="21" t="str">
        <f>_xlfn.XLOOKUP(F667,'04_Account_Mapping'!$A$6:$A$14,'04_Account_Mapping'!$D$6:$D$14,"Unmapped",0)</f>
        <v>Income</v>
      </c>
    </row>
    <row r="668" spans="1:11">
      <c r="A668" s="16">
        <v>46204</v>
      </c>
      <c r="B668" s="13">
        <v>2026</v>
      </c>
      <c r="C668" s="13">
        <v>7</v>
      </c>
      <c r="D668" s="13" t="s">
        <v>72</v>
      </c>
      <c r="E668" s="13" t="s">
        <v>68</v>
      </c>
      <c r="F668" s="13" t="s">
        <v>63</v>
      </c>
      <c r="G668" s="19">
        <v>-66.685293853975892</v>
      </c>
      <c r="H668" s="13" t="s">
        <v>86</v>
      </c>
      <c r="I668" s="13" t="s">
        <v>87</v>
      </c>
      <c r="J668" s="21" t="str">
        <f>_xlfn.XLOOKUP(F668,'04_Account_Mapping'!$A$6:$A$14,'04_Account_Mapping'!$C$6:$C$14,"Unmapped",0)</f>
        <v>Finance Expense</v>
      </c>
      <c r="K668" s="21" t="str">
        <f>_xlfn.XLOOKUP(F668,'04_Account_Mapping'!$A$6:$A$14,'04_Account_Mapping'!$D$6:$D$14,"Unmapped",0)</f>
        <v>Expense</v>
      </c>
    </row>
    <row r="669" spans="1:11">
      <c r="A669" s="16">
        <v>46204</v>
      </c>
      <c r="B669" s="13">
        <v>2026</v>
      </c>
      <c r="C669" s="13">
        <v>7</v>
      </c>
      <c r="D669" s="13" t="s">
        <v>72</v>
      </c>
      <c r="E669" s="13" t="s">
        <v>68</v>
      </c>
      <c r="F669" s="13" t="s">
        <v>64</v>
      </c>
      <c r="G669" s="19">
        <v>1.333705877079518</v>
      </c>
      <c r="H669" s="13" t="s">
        <v>86</v>
      </c>
      <c r="I669" s="13" t="s">
        <v>87</v>
      </c>
      <c r="J669" s="21" t="str">
        <f>_xlfn.XLOOKUP(F669,'04_Account_Mapping'!$A$6:$A$14,'04_Account_Mapping'!$C$6:$C$14,"Unmapped",0)</f>
        <v>JV Profit/(Loss)</v>
      </c>
      <c r="K669" s="21" t="str">
        <f>_xlfn.XLOOKUP(F669,'04_Account_Mapping'!$A$6:$A$14,'04_Account_Mapping'!$D$6:$D$14,"Unmapped",0)</f>
        <v>Income</v>
      </c>
    </row>
    <row r="670" spans="1:11">
      <c r="A670" s="16">
        <v>46204</v>
      </c>
      <c r="B670" s="13">
        <v>2026</v>
      </c>
      <c r="C670" s="13">
        <v>7</v>
      </c>
      <c r="D670" s="13" t="s">
        <v>72</v>
      </c>
      <c r="E670" s="13" t="s">
        <v>68</v>
      </c>
      <c r="F670" s="13" t="s">
        <v>65</v>
      </c>
      <c r="G670" s="19">
        <v>0</v>
      </c>
      <c r="H670" s="13" t="s">
        <v>86</v>
      </c>
      <c r="I670" s="13" t="s">
        <v>87</v>
      </c>
      <c r="J670" s="21" t="str">
        <f>_xlfn.XLOOKUP(F670,'04_Account_Mapping'!$A$6:$A$14,'04_Account_Mapping'!$C$6:$C$14,"Unmapped",0)</f>
        <v>Other Net</v>
      </c>
      <c r="K670" s="21" t="str">
        <f>_xlfn.XLOOKUP(F670,'04_Account_Mapping'!$A$6:$A$14,'04_Account_Mapping'!$D$6:$D$14,"Unmapped",0)</f>
        <v>Income</v>
      </c>
    </row>
    <row r="671" spans="1:11">
      <c r="A671" s="16">
        <v>46204</v>
      </c>
      <c r="B671" s="13">
        <v>2026</v>
      </c>
      <c r="C671" s="13">
        <v>7</v>
      </c>
      <c r="D671" s="13" t="s">
        <v>72</v>
      </c>
      <c r="E671" s="13" t="s">
        <v>68</v>
      </c>
      <c r="F671" s="13" t="s">
        <v>66</v>
      </c>
      <c r="G671" s="19">
        <v>-82.906041007645712</v>
      </c>
      <c r="H671" s="13" t="s">
        <v>86</v>
      </c>
      <c r="I671" s="13" t="s">
        <v>87</v>
      </c>
      <c r="J671" s="21" t="str">
        <f>_xlfn.XLOOKUP(F671,'04_Account_Mapping'!$A$6:$A$14,'04_Account_Mapping'!$C$6:$C$14,"Unmapped",0)</f>
        <v>Tax Expense</v>
      </c>
      <c r="K671" s="21" t="str">
        <f>_xlfn.XLOOKUP(F671,'04_Account_Mapping'!$A$6:$A$14,'04_Account_Mapping'!$D$6:$D$14,"Unmapped",0)</f>
        <v>Expense</v>
      </c>
    </row>
    <row r="672" spans="1:11">
      <c r="A672" s="16">
        <v>46204</v>
      </c>
      <c r="B672" s="13">
        <v>2026</v>
      </c>
      <c r="C672" s="13">
        <v>7</v>
      </c>
      <c r="D672" s="13" t="s">
        <v>73</v>
      </c>
      <c r="E672" s="13" t="s">
        <v>74</v>
      </c>
      <c r="F672" s="13" t="s">
        <v>55</v>
      </c>
      <c r="G672" s="19">
        <v>4567.4858804093083</v>
      </c>
      <c r="H672" s="13" t="s">
        <v>86</v>
      </c>
      <c r="I672" s="13" t="s">
        <v>87</v>
      </c>
      <c r="J672" s="21" t="str">
        <f>_xlfn.XLOOKUP(F672,'04_Account_Mapping'!$A$6:$A$14,'04_Account_Mapping'!$C$6:$C$14,"Unmapped",0)</f>
        <v>Revenue</v>
      </c>
      <c r="K672" s="21" t="str">
        <f>_xlfn.XLOOKUP(F672,'04_Account_Mapping'!$A$6:$A$14,'04_Account_Mapping'!$D$6:$D$14,"Unmapped",0)</f>
        <v>Income</v>
      </c>
    </row>
    <row r="673" spans="1:11">
      <c r="A673" s="16">
        <v>46204</v>
      </c>
      <c r="B673" s="13">
        <v>2026</v>
      </c>
      <c r="C673" s="13">
        <v>7</v>
      </c>
      <c r="D673" s="13" t="s">
        <v>73</v>
      </c>
      <c r="E673" s="13" t="s">
        <v>74</v>
      </c>
      <c r="F673" s="13" t="s">
        <v>58</v>
      </c>
      <c r="G673" s="19">
        <v>-3640.4590704762877</v>
      </c>
      <c r="H673" s="13" t="s">
        <v>86</v>
      </c>
      <c r="I673" s="13" t="s">
        <v>87</v>
      </c>
      <c r="J673" s="21" t="str">
        <f>_xlfn.XLOOKUP(F673,'04_Account_Mapping'!$A$6:$A$14,'04_Account_Mapping'!$C$6:$C$14,"Unmapped",0)</f>
        <v>COGS</v>
      </c>
      <c r="K673" s="21" t="str">
        <f>_xlfn.XLOOKUP(F673,'04_Account_Mapping'!$A$6:$A$14,'04_Account_Mapping'!$D$6:$D$14,"Unmapped",0)</f>
        <v>Expense</v>
      </c>
    </row>
    <row r="674" spans="1:11">
      <c r="A674" s="16">
        <v>46204</v>
      </c>
      <c r="B674" s="13">
        <v>2026</v>
      </c>
      <c r="C674" s="13">
        <v>7</v>
      </c>
      <c r="D674" s="13" t="s">
        <v>73</v>
      </c>
      <c r="E674" s="13" t="s">
        <v>74</v>
      </c>
      <c r="F674" s="13" t="s">
        <v>60</v>
      </c>
      <c r="G674" s="19">
        <v>-557.23327740993557</v>
      </c>
      <c r="H674" s="13" t="s">
        <v>86</v>
      </c>
      <c r="I674" s="13" t="s">
        <v>87</v>
      </c>
      <c r="J674" s="21" t="str">
        <f>_xlfn.XLOOKUP(F674,'04_Account_Mapping'!$A$6:$A$14,'04_Account_Mapping'!$C$6:$C$14,"Unmapped",0)</f>
        <v>Selling Expense</v>
      </c>
      <c r="K674" s="21" t="str">
        <f>_xlfn.XLOOKUP(F674,'04_Account_Mapping'!$A$6:$A$14,'04_Account_Mapping'!$D$6:$D$14,"Unmapped",0)</f>
        <v>Expense</v>
      </c>
    </row>
    <row r="675" spans="1:11">
      <c r="A675" s="16">
        <v>46204</v>
      </c>
      <c r="B675" s="13">
        <v>2026</v>
      </c>
      <c r="C675" s="13">
        <v>7</v>
      </c>
      <c r="D675" s="13" t="s">
        <v>73</v>
      </c>
      <c r="E675" s="13" t="s">
        <v>74</v>
      </c>
      <c r="F675" s="13" t="s">
        <v>61</v>
      </c>
      <c r="G675" s="19">
        <v>-132.45709053186994</v>
      </c>
      <c r="H675" s="13" t="s">
        <v>86</v>
      </c>
      <c r="I675" s="13" t="s">
        <v>87</v>
      </c>
      <c r="J675" s="21" t="str">
        <f>_xlfn.XLOOKUP(F675,'04_Account_Mapping'!$A$6:$A$14,'04_Account_Mapping'!$C$6:$C$14,"Unmapped",0)</f>
        <v>G&amp;A</v>
      </c>
      <c r="K675" s="21" t="str">
        <f>_xlfn.XLOOKUP(F675,'04_Account_Mapping'!$A$6:$A$14,'04_Account_Mapping'!$D$6:$D$14,"Unmapped",0)</f>
        <v>Expense</v>
      </c>
    </row>
    <row r="676" spans="1:11">
      <c r="A676" s="16">
        <v>46204</v>
      </c>
      <c r="B676" s="13">
        <v>2026</v>
      </c>
      <c r="C676" s="13">
        <v>7</v>
      </c>
      <c r="D676" s="13" t="s">
        <v>73</v>
      </c>
      <c r="E676" s="13" t="s">
        <v>74</v>
      </c>
      <c r="F676" s="13" t="s">
        <v>62</v>
      </c>
      <c r="G676" s="19">
        <v>91.349717608186154</v>
      </c>
      <c r="H676" s="13" t="s">
        <v>86</v>
      </c>
      <c r="I676" s="13" t="s">
        <v>87</v>
      </c>
      <c r="J676" s="21" t="str">
        <f>_xlfn.XLOOKUP(F676,'04_Account_Mapping'!$A$6:$A$14,'04_Account_Mapping'!$C$6:$C$14,"Unmapped",0)</f>
        <v>Finance Income</v>
      </c>
      <c r="K676" s="21" t="str">
        <f>_xlfn.XLOOKUP(F676,'04_Account_Mapping'!$A$6:$A$14,'04_Account_Mapping'!$D$6:$D$14,"Unmapped",0)</f>
        <v>Income</v>
      </c>
    </row>
    <row r="677" spans="1:11">
      <c r="A677" s="16">
        <v>46204</v>
      </c>
      <c r="B677" s="13">
        <v>2026</v>
      </c>
      <c r="C677" s="13">
        <v>7</v>
      </c>
      <c r="D677" s="13" t="s">
        <v>73</v>
      </c>
      <c r="E677" s="13" t="s">
        <v>74</v>
      </c>
      <c r="F677" s="13" t="s">
        <v>63</v>
      </c>
      <c r="G677" s="19">
        <v>-45.674858804093077</v>
      </c>
      <c r="H677" s="13" t="s">
        <v>86</v>
      </c>
      <c r="I677" s="13" t="s">
        <v>87</v>
      </c>
      <c r="J677" s="21" t="str">
        <f>_xlfn.XLOOKUP(F677,'04_Account_Mapping'!$A$6:$A$14,'04_Account_Mapping'!$C$6:$C$14,"Unmapped",0)</f>
        <v>Finance Expense</v>
      </c>
      <c r="K677" s="21" t="str">
        <f>_xlfn.XLOOKUP(F677,'04_Account_Mapping'!$A$6:$A$14,'04_Account_Mapping'!$D$6:$D$14,"Unmapped",0)</f>
        <v>Expense</v>
      </c>
    </row>
    <row r="678" spans="1:11">
      <c r="A678" s="16">
        <v>46204</v>
      </c>
      <c r="B678" s="13">
        <v>2026</v>
      </c>
      <c r="C678" s="13">
        <v>7</v>
      </c>
      <c r="D678" s="13" t="s">
        <v>73</v>
      </c>
      <c r="E678" s="13" t="s">
        <v>74</v>
      </c>
      <c r="F678" s="13" t="s">
        <v>64</v>
      </c>
      <c r="G678" s="19">
        <v>0.91349717608186154</v>
      </c>
      <c r="H678" s="13" t="s">
        <v>86</v>
      </c>
      <c r="I678" s="13" t="s">
        <v>87</v>
      </c>
      <c r="J678" s="21" t="str">
        <f>_xlfn.XLOOKUP(F678,'04_Account_Mapping'!$A$6:$A$14,'04_Account_Mapping'!$C$6:$C$14,"Unmapped",0)</f>
        <v>JV Profit/(Loss)</v>
      </c>
      <c r="K678" s="21" t="str">
        <f>_xlfn.XLOOKUP(F678,'04_Account_Mapping'!$A$6:$A$14,'04_Account_Mapping'!$D$6:$D$14,"Unmapped",0)</f>
        <v>Income</v>
      </c>
    </row>
    <row r="679" spans="1:11">
      <c r="A679" s="16">
        <v>46204</v>
      </c>
      <c r="B679" s="13">
        <v>2026</v>
      </c>
      <c r="C679" s="13">
        <v>7</v>
      </c>
      <c r="D679" s="13" t="s">
        <v>73</v>
      </c>
      <c r="E679" s="13" t="s">
        <v>74</v>
      </c>
      <c r="F679" s="13" t="s">
        <v>65</v>
      </c>
      <c r="G679" s="19">
        <v>0</v>
      </c>
      <c r="H679" s="13" t="s">
        <v>86</v>
      </c>
      <c r="I679" s="13" t="s">
        <v>87</v>
      </c>
      <c r="J679" s="21" t="str">
        <f>_xlfn.XLOOKUP(F679,'04_Account_Mapping'!$A$6:$A$14,'04_Account_Mapping'!$C$6:$C$14,"Unmapped",0)</f>
        <v>Other Net</v>
      </c>
      <c r="K679" s="21" t="str">
        <f>_xlfn.XLOOKUP(F679,'04_Account_Mapping'!$A$6:$A$14,'04_Account_Mapping'!$D$6:$D$14,"Unmapped",0)</f>
        <v>Income</v>
      </c>
    </row>
    <row r="680" spans="1:11">
      <c r="A680" s="16">
        <v>46204</v>
      </c>
      <c r="B680" s="13">
        <v>2026</v>
      </c>
      <c r="C680" s="13">
        <v>7</v>
      </c>
      <c r="D680" s="13" t="s">
        <v>73</v>
      </c>
      <c r="E680" s="13" t="s">
        <v>74</v>
      </c>
      <c r="F680" s="13" t="s">
        <v>66</v>
      </c>
      <c r="G680" s="19">
        <v>-56.784959594277879</v>
      </c>
      <c r="H680" s="13" t="s">
        <v>86</v>
      </c>
      <c r="I680" s="13" t="s">
        <v>87</v>
      </c>
      <c r="J680" s="21" t="str">
        <f>_xlfn.XLOOKUP(F680,'04_Account_Mapping'!$A$6:$A$14,'04_Account_Mapping'!$C$6:$C$14,"Unmapped",0)</f>
        <v>Tax Expense</v>
      </c>
      <c r="K680" s="21" t="str">
        <f>_xlfn.XLOOKUP(F680,'04_Account_Mapping'!$A$6:$A$14,'04_Account_Mapping'!$D$6:$D$14,"Unmapped",0)</f>
        <v>Expense</v>
      </c>
    </row>
    <row r="681" spans="1:11">
      <c r="A681" s="16">
        <v>46204</v>
      </c>
      <c r="B681" s="13">
        <v>2026</v>
      </c>
      <c r="C681" s="13">
        <v>7</v>
      </c>
      <c r="D681" s="13" t="s">
        <v>75</v>
      </c>
      <c r="E681" s="13" t="s">
        <v>76</v>
      </c>
      <c r="F681" s="13" t="s">
        <v>55</v>
      </c>
      <c r="G681" s="19">
        <v>350.17391749804693</v>
      </c>
      <c r="H681" s="13" t="s">
        <v>86</v>
      </c>
      <c r="I681" s="13" t="s">
        <v>87</v>
      </c>
      <c r="J681" s="21" t="str">
        <f>_xlfn.XLOOKUP(F681,'04_Account_Mapping'!$A$6:$A$14,'04_Account_Mapping'!$C$6:$C$14,"Unmapped",0)</f>
        <v>Revenue</v>
      </c>
      <c r="K681" s="21" t="str">
        <f>_xlfn.XLOOKUP(F681,'04_Account_Mapping'!$A$6:$A$14,'04_Account_Mapping'!$D$6:$D$14,"Unmapped",0)</f>
        <v>Income</v>
      </c>
    </row>
    <row r="682" spans="1:11">
      <c r="A682" s="16">
        <v>46204</v>
      </c>
      <c r="B682" s="13">
        <v>2026</v>
      </c>
      <c r="C682" s="13">
        <v>7</v>
      </c>
      <c r="D682" s="13" t="s">
        <v>75</v>
      </c>
      <c r="E682" s="13" t="s">
        <v>76</v>
      </c>
      <c r="F682" s="13" t="s">
        <v>58</v>
      </c>
      <c r="G682" s="19">
        <v>-279.10186206984872</v>
      </c>
      <c r="H682" s="13" t="s">
        <v>86</v>
      </c>
      <c r="I682" s="13" t="s">
        <v>87</v>
      </c>
      <c r="J682" s="21" t="str">
        <f>_xlfn.XLOOKUP(F682,'04_Account_Mapping'!$A$6:$A$14,'04_Account_Mapping'!$C$6:$C$14,"Unmapped",0)</f>
        <v>COGS</v>
      </c>
      <c r="K682" s="21" t="str">
        <f>_xlfn.XLOOKUP(F682,'04_Account_Mapping'!$A$6:$A$14,'04_Account_Mapping'!$D$6:$D$14,"Unmapped",0)</f>
        <v>Expense</v>
      </c>
    </row>
    <row r="683" spans="1:11">
      <c r="A683" s="16">
        <v>46204</v>
      </c>
      <c r="B683" s="13">
        <v>2026</v>
      </c>
      <c r="C683" s="13">
        <v>7</v>
      </c>
      <c r="D683" s="13" t="s">
        <v>75</v>
      </c>
      <c r="E683" s="13" t="s">
        <v>76</v>
      </c>
      <c r="F683" s="13" t="s">
        <v>60</v>
      </c>
      <c r="G683" s="19">
        <v>-42.721217934761725</v>
      </c>
      <c r="H683" s="13" t="s">
        <v>86</v>
      </c>
      <c r="I683" s="13" t="s">
        <v>87</v>
      </c>
      <c r="J683" s="21" t="str">
        <f>_xlfn.XLOOKUP(F683,'04_Account_Mapping'!$A$6:$A$14,'04_Account_Mapping'!$C$6:$C$14,"Unmapped",0)</f>
        <v>Selling Expense</v>
      </c>
      <c r="K683" s="21" t="str">
        <f>_xlfn.XLOOKUP(F683,'04_Account_Mapping'!$A$6:$A$14,'04_Account_Mapping'!$D$6:$D$14,"Unmapped",0)</f>
        <v>Expense</v>
      </c>
    </row>
    <row r="684" spans="1:11">
      <c r="A684" s="16">
        <v>46204</v>
      </c>
      <c r="B684" s="13">
        <v>2026</v>
      </c>
      <c r="C684" s="13">
        <v>7</v>
      </c>
      <c r="D684" s="13" t="s">
        <v>75</v>
      </c>
      <c r="E684" s="13" t="s">
        <v>76</v>
      </c>
      <c r="F684" s="13" t="s">
        <v>61</v>
      </c>
      <c r="G684" s="19">
        <v>-10.155043607443361</v>
      </c>
      <c r="H684" s="13" t="s">
        <v>86</v>
      </c>
      <c r="I684" s="13" t="s">
        <v>87</v>
      </c>
      <c r="J684" s="21" t="str">
        <f>_xlfn.XLOOKUP(F684,'04_Account_Mapping'!$A$6:$A$14,'04_Account_Mapping'!$C$6:$C$14,"Unmapped",0)</f>
        <v>G&amp;A</v>
      </c>
      <c r="K684" s="21" t="str">
        <f>_xlfn.XLOOKUP(F684,'04_Account_Mapping'!$A$6:$A$14,'04_Account_Mapping'!$D$6:$D$14,"Unmapped",0)</f>
        <v>Expense</v>
      </c>
    </row>
    <row r="685" spans="1:11">
      <c r="A685" s="16">
        <v>46204</v>
      </c>
      <c r="B685" s="13">
        <v>2026</v>
      </c>
      <c r="C685" s="13">
        <v>7</v>
      </c>
      <c r="D685" s="13" t="s">
        <v>75</v>
      </c>
      <c r="E685" s="13" t="s">
        <v>76</v>
      </c>
      <c r="F685" s="13" t="s">
        <v>62</v>
      </c>
      <c r="G685" s="19">
        <v>7.0034783499609388</v>
      </c>
      <c r="H685" s="13" t="s">
        <v>86</v>
      </c>
      <c r="I685" s="13" t="s">
        <v>87</v>
      </c>
      <c r="J685" s="21" t="str">
        <f>_xlfn.XLOOKUP(F685,'04_Account_Mapping'!$A$6:$A$14,'04_Account_Mapping'!$C$6:$C$14,"Unmapped",0)</f>
        <v>Finance Income</v>
      </c>
      <c r="K685" s="21" t="str">
        <f>_xlfn.XLOOKUP(F685,'04_Account_Mapping'!$A$6:$A$14,'04_Account_Mapping'!$D$6:$D$14,"Unmapped",0)</f>
        <v>Income</v>
      </c>
    </row>
    <row r="686" spans="1:11">
      <c r="A686" s="16">
        <v>46204</v>
      </c>
      <c r="B686" s="13">
        <v>2026</v>
      </c>
      <c r="C686" s="13">
        <v>7</v>
      </c>
      <c r="D686" s="13" t="s">
        <v>75</v>
      </c>
      <c r="E686" s="13" t="s">
        <v>76</v>
      </c>
      <c r="F686" s="13" t="s">
        <v>63</v>
      </c>
      <c r="G686" s="19">
        <v>-3.5017391749804694</v>
      </c>
      <c r="H686" s="13" t="s">
        <v>86</v>
      </c>
      <c r="I686" s="13" t="s">
        <v>87</v>
      </c>
      <c r="J686" s="21" t="str">
        <f>_xlfn.XLOOKUP(F686,'04_Account_Mapping'!$A$6:$A$14,'04_Account_Mapping'!$C$6:$C$14,"Unmapped",0)</f>
        <v>Finance Expense</v>
      </c>
      <c r="K686" s="21" t="str">
        <f>_xlfn.XLOOKUP(F686,'04_Account_Mapping'!$A$6:$A$14,'04_Account_Mapping'!$D$6:$D$14,"Unmapped",0)</f>
        <v>Expense</v>
      </c>
    </row>
    <row r="687" spans="1:11">
      <c r="A687" s="16">
        <v>46204</v>
      </c>
      <c r="B687" s="13">
        <v>2026</v>
      </c>
      <c r="C687" s="13">
        <v>7</v>
      </c>
      <c r="D687" s="13" t="s">
        <v>75</v>
      </c>
      <c r="E687" s="13" t="s">
        <v>76</v>
      </c>
      <c r="F687" s="13" t="s">
        <v>64</v>
      </c>
      <c r="G687" s="19">
        <v>7.0034783499609385E-2</v>
      </c>
      <c r="H687" s="13" t="s">
        <v>86</v>
      </c>
      <c r="I687" s="13" t="s">
        <v>87</v>
      </c>
      <c r="J687" s="21" t="str">
        <f>_xlfn.XLOOKUP(F687,'04_Account_Mapping'!$A$6:$A$14,'04_Account_Mapping'!$C$6:$C$14,"Unmapped",0)</f>
        <v>JV Profit/(Loss)</v>
      </c>
      <c r="K687" s="21" t="str">
        <f>_xlfn.XLOOKUP(F687,'04_Account_Mapping'!$A$6:$A$14,'04_Account_Mapping'!$D$6:$D$14,"Unmapped",0)</f>
        <v>Income</v>
      </c>
    </row>
    <row r="688" spans="1:11">
      <c r="A688" s="16">
        <v>46204</v>
      </c>
      <c r="B688" s="13">
        <v>2026</v>
      </c>
      <c r="C688" s="13">
        <v>7</v>
      </c>
      <c r="D688" s="13" t="s">
        <v>75</v>
      </c>
      <c r="E688" s="13" t="s">
        <v>76</v>
      </c>
      <c r="F688" s="13" t="s">
        <v>65</v>
      </c>
      <c r="G688" s="19">
        <v>0</v>
      </c>
      <c r="H688" s="13" t="s">
        <v>86</v>
      </c>
      <c r="I688" s="13" t="s">
        <v>87</v>
      </c>
      <c r="J688" s="21" t="str">
        <f>_xlfn.XLOOKUP(F688,'04_Account_Mapping'!$A$6:$A$14,'04_Account_Mapping'!$C$6:$C$14,"Unmapped",0)</f>
        <v>Other Net</v>
      </c>
      <c r="K688" s="21" t="str">
        <f>_xlfn.XLOOKUP(F688,'04_Account_Mapping'!$A$6:$A$14,'04_Account_Mapping'!$D$6:$D$14,"Unmapped",0)</f>
        <v>Income</v>
      </c>
    </row>
    <row r="689" spans="1:11">
      <c r="A689" s="16">
        <v>46204</v>
      </c>
      <c r="B689" s="13">
        <v>2026</v>
      </c>
      <c r="C689" s="13">
        <v>7</v>
      </c>
      <c r="D689" s="13" t="s">
        <v>75</v>
      </c>
      <c r="E689" s="13" t="s">
        <v>76</v>
      </c>
      <c r="F689" s="13" t="s">
        <v>66</v>
      </c>
      <c r="G689" s="19">
        <v>-4.3535135688946376</v>
      </c>
      <c r="H689" s="13" t="s">
        <v>86</v>
      </c>
      <c r="I689" s="13" t="s">
        <v>87</v>
      </c>
      <c r="J689" s="21" t="str">
        <f>_xlfn.XLOOKUP(F689,'04_Account_Mapping'!$A$6:$A$14,'04_Account_Mapping'!$C$6:$C$14,"Unmapped",0)</f>
        <v>Tax Expense</v>
      </c>
      <c r="K689" s="21" t="str">
        <f>_xlfn.XLOOKUP(F689,'04_Account_Mapping'!$A$6:$A$14,'04_Account_Mapping'!$D$6:$D$14,"Unmapped",0)</f>
        <v>Expense</v>
      </c>
    </row>
    <row r="690" spans="1:11">
      <c r="A690" s="16">
        <v>46235</v>
      </c>
      <c r="B690" s="13">
        <v>2026</v>
      </c>
      <c r="C690" s="13">
        <v>8</v>
      </c>
      <c r="D690" s="13" t="s">
        <v>67</v>
      </c>
      <c r="E690" s="13" t="s">
        <v>68</v>
      </c>
      <c r="F690" s="13" t="s">
        <v>55</v>
      </c>
      <c r="G690" s="19">
        <v>3763.9064200914409</v>
      </c>
      <c r="H690" s="13" t="s">
        <v>86</v>
      </c>
      <c r="I690" s="13" t="s">
        <v>87</v>
      </c>
      <c r="J690" s="21" t="str">
        <f>_xlfn.XLOOKUP(F690,'04_Account_Mapping'!$A$6:$A$14,'04_Account_Mapping'!$C$6:$C$14,"Unmapped",0)</f>
        <v>Revenue</v>
      </c>
      <c r="K690" s="21" t="str">
        <f>_xlfn.XLOOKUP(F690,'04_Account_Mapping'!$A$6:$A$14,'04_Account_Mapping'!$D$6:$D$14,"Unmapped",0)</f>
        <v>Income</v>
      </c>
    </row>
    <row r="691" spans="1:11">
      <c r="A691" s="16">
        <v>46235</v>
      </c>
      <c r="B691" s="13">
        <v>2026</v>
      </c>
      <c r="C691" s="13">
        <v>8</v>
      </c>
      <c r="D691" s="13" t="s">
        <v>67</v>
      </c>
      <c r="E691" s="13" t="s">
        <v>68</v>
      </c>
      <c r="F691" s="13" t="s">
        <v>58</v>
      </c>
      <c r="G691" s="19">
        <v>-2999.9758348936384</v>
      </c>
      <c r="H691" s="13" t="s">
        <v>86</v>
      </c>
      <c r="I691" s="13" t="s">
        <v>87</v>
      </c>
      <c r="J691" s="21" t="str">
        <f>_xlfn.XLOOKUP(F691,'04_Account_Mapping'!$A$6:$A$14,'04_Account_Mapping'!$C$6:$C$14,"Unmapped",0)</f>
        <v>COGS</v>
      </c>
      <c r="K691" s="21" t="str">
        <f>_xlfn.XLOOKUP(F691,'04_Account_Mapping'!$A$6:$A$14,'04_Account_Mapping'!$D$6:$D$14,"Unmapped",0)</f>
        <v>Expense</v>
      </c>
    </row>
    <row r="692" spans="1:11">
      <c r="A692" s="16">
        <v>46235</v>
      </c>
      <c r="B692" s="13">
        <v>2026</v>
      </c>
      <c r="C692" s="13">
        <v>8</v>
      </c>
      <c r="D692" s="13" t="s">
        <v>67</v>
      </c>
      <c r="E692" s="13" t="s">
        <v>68</v>
      </c>
      <c r="F692" s="13" t="s">
        <v>60</v>
      </c>
      <c r="G692" s="19">
        <v>-459.1965832511558</v>
      </c>
      <c r="H692" s="13" t="s">
        <v>86</v>
      </c>
      <c r="I692" s="13" t="s">
        <v>87</v>
      </c>
      <c r="J692" s="21" t="str">
        <f>_xlfn.XLOOKUP(F692,'04_Account_Mapping'!$A$6:$A$14,'04_Account_Mapping'!$C$6:$C$14,"Unmapped",0)</f>
        <v>Selling Expense</v>
      </c>
      <c r="K692" s="21" t="str">
        <f>_xlfn.XLOOKUP(F692,'04_Account_Mapping'!$A$6:$A$14,'04_Account_Mapping'!$D$6:$D$14,"Unmapped",0)</f>
        <v>Expense</v>
      </c>
    </row>
    <row r="693" spans="1:11">
      <c r="A693" s="16">
        <v>46235</v>
      </c>
      <c r="B693" s="13">
        <v>2026</v>
      </c>
      <c r="C693" s="13">
        <v>8</v>
      </c>
      <c r="D693" s="13" t="s">
        <v>67</v>
      </c>
      <c r="E693" s="13" t="s">
        <v>68</v>
      </c>
      <c r="F693" s="13" t="s">
        <v>61</v>
      </c>
      <c r="G693" s="19">
        <v>-109.15328618265178</v>
      </c>
      <c r="H693" s="13" t="s">
        <v>86</v>
      </c>
      <c r="I693" s="13" t="s">
        <v>87</v>
      </c>
      <c r="J693" s="21" t="str">
        <f>_xlfn.XLOOKUP(F693,'04_Account_Mapping'!$A$6:$A$14,'04_Account_Mapping'!$C$6:$C$14,"Unmapped",0)</f>
        <v>G&amp;A</v>
      </c>
      <c r="K693" s="21" t="str">
        <f>_xlfn.XLOOKUP(F693,'04_Account_Mapping'!$A$6:$A$14,'04_Account_Mapping'!$D$6:$D$14,"Unmapped",0)</f>
        <v>Expense</v>
      </c>
    </row>
    <row r="694" spans="1:11">
      <c r="A694" s="16">
        <v>46235</v>
      </c>
      <c r="B694" s="13">
        <v>2026</v>
      </c>
      <c r="C694" s="13">
        <v>8</v>
      </c>
      <c r="D694" s="13" t="s">
        <v>67</v>
      </c>
      <c r="E694" s="13" t="s">
        <v>68</v>
      </c>
      <c r="F694" s="13" t="s">
        <v>62</v>
      </c>
      <c r="G694" s="19">
        <v>75.278128401828823</v>
      </c>
      <c r="H694" s="13" t="s">
        <v>86</v>
      </c>
      <c r="I694" s="13" t="s">
        <v>87</v>
      </c>
      <c r="J694" s="21" t="str">
        <f>_xlfn.XLOOKUP(F694,'04_Account_Mapping'!$A$6:$A$14,'04_Account_Mapping'!$C$6:$C$14,"Unmapped",0)</f>
        <v>Finance Income</v>
      </c>
      <c r="K694" s="21" t="str">
        <f>_xlfn.XLOOKUP(F694,'04_Account_Mapping'!$A$6:$A$14,'04_Account_Mapping'!$D$6:$D$14,"Unmapped",0)</f>
        <v>Income</v>
      </c>
    </row>
    <row r="695" spans="1:11">
      <c r="A695" s="16">
        <v>46235</v>
      </c>
      <c r="B695" s="13">
        <v>2026</v>
      </c>
      <c r="C695" s="13">
        <v>8</v>
      </c>
      <c r="D695" s="13" t="s">
        <v>67</v>
      </c>
      <c r="E695" s="13" t="s">
        <v>68</v>
      </c>
      <c r="F695" s="13" t="s">
        <v>63</v>
      </c>
      <c r="G695" s="19">
        <v>-37.639064200914412</v>
      </c>
      <c r="H695" s="13" t="s">
        <v>86</v>
      </c>
      <c r="I695" s="13" t="s">
        <v>87</v>
      </c>
      <c r="J695" s="21" t="str">
        <f>_xlfn.XLOOKUP(F695,'04_Account_Mapping'!$A$6:$A$14,'04_Account_Mapping'!$C$6:$C$14,"Unmapped",0)</f>
        <v>Finance Expense</v>
      </c>
      <c r="K695" s="21" t="str">
        <f>_xlfn.XLOOKUP(F695,'04_Account_Mapping'!$A$6:$A$14,'04_Account_Mapping'!$D$6:$D$14,"Unmapped",0)</f>
        <v>Expense</v>
      </c>
    </row>
    <row r="696" spans="1:11">
      <c r="A696" s="16">
        <v>46235</v>
      </c>
      <c r="B696" s="13">
        <v>2026</v>
      </c>
      <c r="C696" s="13">
        <v>8</v>
      </c>
      <c r="D696" s="13" t="s">
        <v>67</v>
      </c>
      <c r="E696" s="13" t="s">
        <v>68</v>
      </c>
      <c r="F696" s="13" t="s">
        <v>64</v>
      </c>
      <c r="G696" s="19">
        <v>0.75278128401828814</v>
      </c>
      <c r="H696" s="13" t="s">
        <v>86</v>
      </c>
      <c r="I696" s="13" t="s">
        <v>87</v>
      </c>
      <c r="J696" s="21" t="str">
        <f>_xlfn.XLOOKUP(F696,'04_Account_Mapping'!$A$6:$A$14,'04_Account_Mapping'!$C$6:$C$14,"Unmapped",0)</f>
        <v>JV Profit/(Loss)</v>
      </c>
      <c r="K696" s="21" t="str">
        <f>_xlfn.XLOOKUP(F696,'04_Account_Mapping'!$A$6:$A$14,'04_Account_Mapping'!$D$6:$D$14,"Unmapped",0)</f>
        <v>Income</v>
      </c>
    </row>
    <row r="697" spans="1:11">
      <c r="A697" s="16">
        <v>46235</v>
      </c>
      <c r="B697" s="13">
        <v>2026</v>
      </c>
      <c r="C697" s="13">
        <v>8</v>
      </c>
      <c r="D697" s="13" t="s">
        <v>67</v>
      </c>
      <c r="E697" s="13" t="s">
        <v>68</v>
      </c>
      <c r="F697" s="13" t="s">
        <v>65</v>
      </c>
      <c r="G697" s="19">
        <v>0</v>
      </c>
      <c r="H697" s="13" t="s">
        <v>86</v>
      </c>
      <c r="I697" s="13" t="s">
        <v>87</v>
      </c>
      <c r="J697" s="21" t="str">
        <f>_xlfn.XLOOKUP(F697,'04_Account_Mapping'!$A$6:$A$14,'04_Account_Mapping'!$C$6:$C$14,"Unmapped",0)</f>
        <v>Other Net</v>
      </c>
      <c r="K697" s="21" t="str">
        <f>_xlfn.XLOOKUP(F697,'04_Account_Mapping'!$A$6:$A$14,'04_Account_Mapping'!$D$6:$D$14,"Unmapped",0)</f>
        <v>Income</v>
      </c>
    </row>
    <row r="698" spans="1:11">
      <c r="A698" s="16">
        <v>46235</v>
      </c>
      <c r="B698" s="13">
        <v>2026</v>
      </c>
      <c r="C698" s="13">
        <v>8</v>
      </c>
      <c r="D698" s="13" t="s">
        <v>67</v>
      </c>
      <c r="E698" s="13" t="s">
        <v>68</v>
      </c>
      <c r="F698" s="13" t="s">
        <v>66</v>
      </c>
      <c r="G698" s="19">
        <v>-46.794512249785484</v>
      </c>
      <c r="H698" s="13" t="s">
        <v>86</v>
      </c>
      <c r="I698" s="13" t="s">
        <v>87</v>
      </c>
      <c r="J698" s="21" t="str">
        <f>_xlfn.XLOOKUP(F698,'04_Account_Mapping'!$A$6:$A$14,'04_Account_Mapping'!$C$6:$C$14,"Unmapped",0)</f>
        <v>Tax Expense</v>
      </c>
      <c r="K698" s="21" t="str">
        <f>_xlfn.XLOOKUP(F698,'04_Account_Mapping'!$A$6:$A$14,'04_Account_Mapping'!$D$6:$D$14,"Unmapped",0)</f>
        <v>Expense</v>
      </c>
    </row>
    <row r="699" spans="1:11">
      <c r="A699" s="16">
        <v>46235</v>
      </c>
      <c r="B699" s="13">
        <v>2026</v>
      </c>
      <c r="C699" s="13">
        <v>8</v>
      </c>
      <c r="D699" s="13" t="s">
        <v>72</v>
      </c>
      <c r="E699" s="13" t="s">
        <v>68</v>
      </c>
      <c r="F699" s="13" t="s">
        <v>55</v>
      </c>
      <c r="G699" s="19">
        <v>6897.8703430964479</v>
      </c>
      <c r="H699" s="13" t="s">
        <v>86</v>
      </c>
      <c r="I699" s="13" t="s">
        <v>87</v>
      </c>
      <c r="J699" s="21" t="str">
        <f>_xlfn.XLOOKUP(F699,'04_Account_Mapping'!$A$6:$A$14,'04_Account_Mapping'!$C$6:$C$14,"Unmapped",0)</f>
        <v>Revenue</v>
      </c>
      <c r="K699" s="21" t="str">
        <f>_xlfn.XLOOKUP(F699,'04_Account_Mapping'!$A$6:$A$14,'04_Account_Mapping'!$D$6:$D$14,"Unmapped",0)</f>
        <v>Income</v>
      </c>
    </row>
    <row r="700" spans="1:11">
      <c r="A700" s="16">
        <v>46235</v>
      </c>
      <c r="B700" s="13">
        <v>2026</v>
      </c>
      <c r="C700" s="13">
        <v>8</v>
      </c>
      <c r="D700" s="13" t="s">
        <v>72</v>
      </c>
      <c r="E700" s="13" t="s">
        <v>68</v>
      </c>
      <c r="F700" s="13" t="s">
        <v>58</v>
      </c>
      <c r="G700" s="19">
        <v>-5497.863663947338</v>
      </c>
      <c r="H700" s="13" t="s">
        <v>86</v>
      </c>
      <c r="I700" s="13" t="s">
        <v>87</v>
      </c>
      <c r="J700" s="21" t="str">
        <f>_xlfn.XLOOKUP(F700,'04_Account_Mapping'!$A$6:$A$14,'04_Account_Mapping'!$C$6:$C$14,"Unmapped",0)</f>
        <v>COGS</v>
      </c>
      <c r="K700" s="21" t="str">
        <f>_xlfn.XLOOKUP(F700,'04_Account_Mapping'!$A$6:$A$14,'04_Account_Mapping'!$D$6:$D$14,"Unmapped",0)</f>
        <v>Expense</v>
      </c>
    </row>
    <row r="701" spans="1:11">
      <c r="A701" s="16">
        <v>46235</v>
      </c>
      <c r="B701" s="13">
        <v>2026</v>
      </c>
      <c r="C701" s="13">
        <v>8</v>
      </c>
      <c r="D701" s="13" t="s">
        <v>72</v>
      </c>
      <c r="E701" s="13" t="s">
        <v>68</v>
      </c>
      <c r="F701" s="13" t="s">
        <v>60</v>
      </c>
      <c r="G701" s="19">
        <v>-841.5401818577667</v>
      </c>
      <c r="H701" s="13" t="s">
        <v>86</v>
      </c>
      <c r="I701" s="13" t="s">
        <v>87</v>
      </c>
      <c r="J701" s="21" t="str">
        <f>_xlfn.XLOOKUP(F701,'04_Account_Mapping'!$A$6:$A$14,'04_Account_Mapping'!$C$6:$C$14,"Unmapped",0)</f>
        <v>Selling Expense</v>
      </c>
      <c r="K701" s="21" t="str">
        <f>_xlfn.XLOOKUP(F701,'04_Account_Mapping'!$A$6:$A$14,'04_Account_Mapping'!$D$6:$D$14,"Unmapped",0)</f>
        <v>Expense</v>
      </c>
    </row>
    <row r="702" spans="1:11">
      <c r="A702" s="16">
        <v>46235</v>
      </c>
      <c r="B702" s="13">
        <v>2026</v>
      </c>
      <c r="C702" s="13">
        <v>8</v>
      </c>
      <c r="D702" s="13" t="s">
        <v>72</v>
      </c>
      <c r="E702" s="13" t="s">
        <v>68</v>
      </c>
      <c r="F702" s="13" t="s">
        <v>61</v>
      </c>
      <c r="G702" s="19">
        <v>-200.038239949797</v>
      </c>
      <c r="H702" s="13" t="s">
        <v>86</v>
      </c>
      <c r="I702" s="13" t="s">
        <v>87</v>
      </c>
      <c r="J702" s="21" t="str">
        <f>_xlfn.XLOOKUP(F702,'04_Account_Mapping'!$A$6:$A$14,'04_Account_Mapping'!$C$6:$C$14,"Unmapped",0)</f>
        <v>G&amp;A</v>
      </c>
      <c r="K702" s="21" t="str">
        <f>_xlfn.XLOOKUP(F702,'04_Account_Mapping'!$A$6:$A$14,'04_Account_Mapping'!$D$6:$D$14,"Unmapped",0)</f>
        <v>Expense</v>
      </c>
    </row>
    <row r="703" spans="1:11">
      <c r="A703" s="16">
        <v>46235</v>
      </c>
      <c r="B703" s="13">
        <v>2026</v>
      </c>
      <c r="C703" s="13">
        <v>8</v>
      </c>
      <c r="D703" s="13" t="s">
        <v>72</v>
      </c>
      <c r="E703" s="13" t="s">
        <v>68</v>
      </c>
      <c r="F703" s="13" t="s">
        <v>62</v>
      </c>
      <c r="G703" s="19">
        <v>137.95740686192897</v>
      </c>
      <c r="H703" s="13" t="s">
        <v>86</v>
      </c>
      <c r="I703" s="13" t="s">
        <v>87</v>
      </c>
      <c r="J703" s="21" t="str">
        <f>_xlfn.XLOOKUP(F703,'04_Account_Mapping'!$A$6:$A$14,'04_Account_Mapping'!$C$6:$C$14,"Unmapped",0)</f>
        <v>Finance Income</v>
      </c>
      <c r="K703" s="21" t="str">
        <f>_xlfn.XLOOKUP(F703,'04_Account_Mapping'!$A$6:$A$14,'04_Account_Mapping'!$D$6:$D$14,"Unmapped",0)</f>
        <v>Income</v>
      </c>
    </row>
    <row r="704" spans="1:11">
      <c r="A704" s="16">
        <v>46235</v>
      </c>
      <c r="B704" s="13">
        <v>2026</v>
      </c>
      <c r="C704" s="13">
        <v>8</v>
      </c>
      <c r="D704" s="13" t="s">
        <v>72</v>
      </c>
      <c r="E704" s="13" t="s">
        <v>68</v>
      </c>
      <c r="F704" s="13" t="s">
        <v>63</v>
      </c>
      <c r="G704" s="19">
        <v>-68.978703430964487</v>
      </c>
      <c r="H704" s="13" t="s">
        <v>86</v>
      </c>
      <c r="I704" s="13" t="s">
        <v>87</v>
      </c>
      <c r="J704" s="21" t="str">
        <f>_xlfn.XLOOKUP(F704,'04_Account_Mapping'!$A$6:$A$14,'04_Account_Mapping'!$C$6:$C$14,"Unmapped",0)</f>
        <v>Finance Expense</v>
      </c>
      <c r="K704" s="21" t="str">
        <f>_xlfn.XLOOKUP(F704,'04_Account_Mapping'!$A$6:$A$14,'04_Account_Mapping'!$D$6:$D$14,"Unmapped",0)</f>
        <v>Expense</v>
      </c>
    </row>
    <row r="705" spans="1:11">
      <c r="A705" s="16">
        <v>46235</v>
      </c>
      <c r="B705" s="13">
        <v>2026</v>
      </c>
      <c r="C705" s="13">
        <v>8</v>
      </c>
      <c r="D705" s="13" t="s">
        <v>72</v>
      </c>
      <c r="E705" s="13" t="s">
        <v>68</v>
      </c>
      <c r="F705" s="13" t="s">
        <v>64</v>
      </c>
      <c r="G705" s="19">
        <v>1.3795740686192897</v>
      </c>
      <c r="H705" s="13" t="s">
        <v>86</v>
      </c>
      <c r="I705" s="13" t="s">
        <v>87</v>
      </c>
      <c r="J705" s="21" t="str">
        <f>_xlfn.XLOOKUP(F705,'04_Account_Mapping'!$A$6:$A$14,'04_Account_Mapping'!$C$6:$C$14,"Unmapped",0)</f>
        <v>JV Profit/(Loss)</v>
      </c>
      <c r="K705" s="21" t="str">
        <f>_xlfn.XLOOKUP(F705,'04_Account_Mapping'!$A$6:$A$14,'04_Account_Mapping'!$D$6:$D$14,"Unmapped",0)</f>
        <v>Income</v>
      </c>
    </row>
    <row r="706" spans="1:11">
      <c r="A706" s="16">
        <v>46235</v>
      </c>
      <c r="B706" s="13">
        <v>2026</v>
      </c>
      <c r="C706" s="13">
        <v>8</v>
      </c>
      <c r="D706" s="13" t="s">
        <v>72</v>
      </c>
      <c r="E706" s="13" t="s">
        <v>68</v>
      </c>
      <c r="F706" s="13" t="s">
        <v>65</v>
      </c>
      <c r="G706" s="19">
        <v>0</v>
      </c>
      <c r="H706" s="13" t="s">
        <v>86</v>
      </c>
      <c r="I706" s="13" t="s">
        <v>87</v>
      </c>
      <c r="J706" s="21" t="str">
        <f>_xlfn.XLOOKUP(F706,'04_Account_Mapping'!$A$6:$A$14,'04_Account_Mapping'!$C$6:$C$14,"Unmapped",0)</f>
        <v>Other Net</v>
      </c>
      <c r="K706" s="21" t="str">
        <f>_xlfn.XLOOKUP(F706,'04_Account_Mapping'!$A$6:$A$14,'04_Account_Mapping'!$D$6:$D$14,"Unmapped",0)</f>
        <v>Income</v>
      </c>
    </row>
    <row r="707" spans="1:11">
      <c r="A707" s="16">
        <v>46235</v>
      </c>
      <c r="B707" s="13">
        <v>2026</v>
      </c>
      <c r="C707" s="13">
        <v>8</v>
      </c>
      <c r="D707" s="13" t="s">
        <v>72</v>
      </c>
      <c r="E707" s="13" t="s">
        <v>68</v>
      </c>
      <c r="F707" s="13" t="s">
        <v>66</v>
      </c>
      <c r="G707" s="19">
        <v>-85.757306968226118</v>
      </c>
      <c r="H707" s="13" t="s">
        <v>86</v>
      </c>
      <c r="I707" s="13" t="s">
        <v>87</v>
      </c>
      <c r="J707" s="21" t="str">
        <f>_xlfn.XLOOKUP(F707,'04_Account_Mapping'!$A$6:$A$14,'04_Account_Mapping'!$C$6:$C$14,"Unmapped",0)</f>
        <v>Tax Expense</v>
      </c>
      <c r="K707" s="21" t="str">
        <f>_xlfn.XLOOKUP(F707,'04_Account_Mapping'!$A$6:$A$14,'04_Account_Mapping'!$D$6:$D$14,"Unmapped",0)</f>
        <v>Expense</v>
      </c>
    </row>
    <row r="708" spans="1:11">
      <c r="A708" s="16">
        <v>46235</v>
      </c>
      <c r="B708" s="13">
        <v>2026</v>
      </c>
      <c r="C708" s="13">
        <v>8</v>
      </c>
      <c r="D708" s="13" t="s">
        <v>73</v>
      </c>
      <c r="E708" s="13" t="s">
        <v>74</v>
      </c>
      <c r="F708" s="13" t="s">
        <v>55</v>
      </c>
      <c r="G708" s="19">
        <v>4724.5687281482515</v>
      </c>
      <c r="H708" s="13" t="s">
        <v>86</v>
      </c>
      <c r="I708" s="13" t="s">
        <v>87</v>
      </c>
      <c r="J708" s="21" t="str">
        <f>_xlfn.XLOOKUP(F708,'04_Account_Mapping'!$A$6:$A$14,'04_Account_Mapping'!$C$6:$C$14,"Unmapped",0)</f>
        <v>Revenue</v>
      </c>
      <c r="K708" s="21" t="str">
        <f>_xlfn.XLOOKUP(F708,'04_Account_Mapping'!$A$6:$A$14,'04_Account_Mapping'!$D$6:$D$14,"Unmapped",0)</f>
        <v>Income</v>
      </c>
    </row>
    <row r="709" spans="1:11">
      <c r="A709" s="16">
        <v>46235</v>
      </c>
      <c r="B709" s="13">
        <v>2026</v>
      </c>
      <c r="C709" s="13">
        <v>8</v>
      </c>
      <c r="D709" s="13" t="s">
        <v>73</v>
      </c>
      <c r="E709" s="13" t="s">
        <v>74</v>
      </c>
      <c r="F709" s="13" t="s">
        <v>58</v>
      </c>
      <c r="G709" s="19">
        <v>-3765.6600437995462</v>
      </c>
      <c r="H709" s="13" t="s">
        <v>86</v>
      </c>
      <c r="I709" s="13" t="s">
        <v>87</v>
      </c>
      <c r="J709" s="21" t="str">
        <f>_xlfn.XLOOKUP(F709,'04_Account_Mapping'!$A$6:$A$14,'04_Account_Mapping'!$C$6:$C$14,"Unmapped",0)</f>
        <v>COGS</v>
      </c>
      <c r="K709" s="21" t="str">
        <f>_xlfn.XLOOKUP(F709,'04_Account_Mapping'!$A$6:$A$14,'04_Account_Mapping'!$D$6:$D$14,"Unmapped",0)</f>
        <v>Expense</v>
      </c>
    </row>
    <row r="710" spans="1:11">
      <c r="A710" s="16">
        <v>46235</v>
      </c>
      <c r="B710" s="13">
        <v>2026</v>
      </c>
      <c r="C710" s="13">
        <v>8</v>
      </c>
      <c r="D710" s="13" t="s">
        <v>73</v>
      </c>
      <c r="E710" s="13" t="s">
        <v>74</v>
      </c>
      <c r="F710" s="13" t="s">
        <v>60</v>
      </c>
      <c r="G710" s="19">
        <v>-576.39738483408678</v>
      </c>
      <c r="H710" s="13" t="s">
        <v>86</v>
      </c>
      <c r="I710" s="13" t="s">
        <v>87</v>
      </c>
      <c r="J710" s="21" t="str">
        <f>_xlfn.XLOOKUP(F710,'04_Account_Mapping'!$A$6:$A$14,'04_Account_Mapping'!$C$6:$C$14,"Unmapped",0)</f>
        <v>Selling Expense</v>
      </c>
      <c r="K710" s="21" t="str">
        <f>_xlfn.XLOOKUP(F710,'04_Account_Mapping'!$A$6:$A$14,'04_Account_Mapping'!$D$6:$D$14,"Unmapped",0)</f>
        <v>Expense</v>
      </c>
    </row>
    <row r="711" spans="1:11">
      <c r="A711" s="16">
        <v>46235</v>
      </c>
      <c r="B711" s="13">
        <v>2026</v>
      </c>
      <c r="C711" s="13">
        <v>8</v>
      </c>
      <c r="D711" s="13" t="s">
        <v>73</v>
      </c>
      <c r="E711" s="13" t="s">
        <v>74</v>
      </c>
      <c r="F711" s="13" t="s">
        <v>61</v>
      </c>
      <c r="G711" s="19">
        <v>-137.01249311629931</v>
      </c>
      <c r="H711" s="13" t="s">
        <v>86</v>
      </c>
      <c r="I711" s="13" t="s">
        <v>87</v>
      </c>
      <c r="J711" s="21" t="str">
        <f>_xlfn.XLOOKUP(F711,'04_Account_Mapping'!$A$6:$A$14,'04_Account_Mapping'!$C$6:$C$14,"Unmapped",0)</f>
        <v>G&amp;A</v>
      </c>
      <c r="K711" s="21" t="str">
        <f>_xlfn.XLOOKUP(F711,'04_Account_Mapping'!$A$6:$A$14,'04_Account_Mapping'!$D$6:$D$14,"Unmapped",0)</f>
        <v>Expense</v>
      </c>
    </row>
    <row r="712" spans="1:11">
      <c r="A712" s="16">
        <v>46235</v>
      </c>
      <c r="B712" s="13">
        <v>2026</v>
      </c>
      <c r="C712" s="13">
        <v>8</v>
      </c>
      <c r="D712" s="13" t="s">
        <v>73</v>
      </c>
      <c r="E712" s="13" t="s">
        <v>74</v>
      </c>
      <c r="F712" s="13" t="s">
        <v>62</v>
      </c>
      <c r="G712" s="19">
        <v>94.491374562965035</v>
      </c>
      <c r="H712" s="13" t="s">
        <v>86</v>
      </c>
      <c r="I712" s="13" t="s">
        <v>87</v>
      </c>
      <c r="J712" s="21" t="str">
        <f>_xlfn.XLOOKUP(F712,'04_Account_Mapping'!$A$6:$A$14,'04_Account_Mapping'!$C$6:$C$14,"Unmapped",0)</f>
        <v>Finance Income</v>
      </c>
      <c r="K712" s="21" t="str">
        <f>_xlfn.XLOOKUP(F712,'04_Account_Mapping'!$A$6:$A$14,'04_Account_Mapping'!$D$6:$D$14,"Unmapped",0)</f>
        <v>Income</v>
      </c>
    </row>
    <row r="713" spans="1:11">
      <c r="A713" s="16">
        <v>46235</v>
      </c>
      <c r="B713" s="13">
        <v>2026</v>
      </c>
      <c r="C713" s="13">
        <v>8</v>
      </c>
      <c r="D713" s="13" t="s">
        <v>73</v>
      </c>
      <c r="E713" s="13" t="s">
        <v>74</v>
      </c>
      <c r="F713" s="13" t="s">
        <v>63</v>
      </c>
      <c r="G713" s="19">
        <v>-47.245687281482518</v>
      </c>
      <c r="H713" s="13" t="s">
        <v>86</v>
      </c>
      <c r="I713" s="13" t="s">
        <v>87</v>
      </c>
      <c r="J713" s="21" t="str">
        <f>_xlfn.XLOOKUP(F713,'04_Account_Mapping'!$A$6:$A$14,'04_Account_Mapping'!$C$6:$C$14,"Unmapped",0)</f>
        <v>Finance Expense</v>
      </c>
      <c r="K713" s="21" t="str">
        <f>_xlfn.XLOOKUP(F713,'04_Account_Mapping'!$A$6:$A$14,'04_Account_Mapping'!$D$6:$D$14,"Unmapped",0)</f>
        <v>Expense</v>
      </c>
    </row>
    <row r="714" spans="1:11">
      <c r="A714" s="16">
        <v>46235</v>
      </c>
      <c r="B714" s="13">
        <v>2026</v>
      </c>
      <c r="C714" s="13">
        <v>8</v>
      </c>
      <c r="D714" s="13" t="s">
        <v>73</v>
      </c>
      <c r="E714" s="13" t="s">
        <v>74</v>
      </c>
      <c r="F714" s="13" t="s">
        <v>64</v>
      </c>
      <c r="G714" s="19">
        <v>0.94491374562965036</v>
      </c>
      <c r="H714" s="13" t="s">
        <v>86</v>
      </c>
      <c r="I714" s="13" t="s">
        <v>87</v>
      </c>
      <c r="J714" s="21" t="str">
        <f>_xlfn.XLOOKUP(F714,'04_Account_Mapping'!$A$6:$A$14,'04_Account_Mapping'!$C$6:$C$14,"Unmapped",0)</f>
        <v>JV Profit/(Loss)</v>
      </c>
      <c r="K714" s="21" t="str">
        <f>_xlfn.XLOOKUP(F714,'04_Account_Mapping'!$A$6:$A$14,'04_Account_Mapping'!$D$6:$D$14,"Unmapped",0)</f>
        <v>Income</v>
      </c>
    </row>
    <row r="715" spans="1:11">
      <c r="A715" s="16">
        <v>46235</v>
      </c>
      <c r="B715" s="13">
        <v>2026</v>
      </c>
      <c r="C715" s="13">
        <v>8</v>
      </c>
      <c r="D715" s="13" t="s">
        <v>73</v>
      </c>
      <c r="E715" s="13" t="s">
        <v>74</v>
      </c>
      <c r="F715" s="13" t="s">
        <v>65</v>
      </c>
      <c r="G715" s="19">
        <v>0</v>
      </c>
      <c r="H715" s="13" t="s">
        <v>86</v>
      </c>
      <c r="I715" s="13" t="s">
        <v>87</v>
      </c>
      <c r="J715" s="21" t="str">
        <f>_xlfn.XLOOKUP(F715,'04_Account_Mapping'!$A$6:$A$14,'04_Account_Mapping'!$C$6:$C$14,"Unmapped",0)</f>
        <v>Other Net</v>
      </c>
      <c r="K715" s="21" t="str">
        <f>_xlfn.XLOOKUP(F715,'04_Account_Mapping'!$A$6:$A$14,'04_Account_Mapping'!$D$6:$D$14,"Unmapped",0)</f>
        <v>Income</v>
      </c>
    </row>
    <row r="716" spans="1:11">
      <c r="A716" s="16">
        <v>46235</v>
      </c>
      <c r="B716" s="13">
        <v>2026</v>
      </c>
      <c r="C716" s="13">
        <v>8</v>
      </c>
      <c r="D716" s="13" t="s">
        <v>73</v>
      </c>
      <c r="E716" s="13" t="s">
        <v>74</v>
      </c>
      <c r="F716" s="13" t="s">
        <v>66</v>
      </c>
      <c r="G716" s="19">
        <v>-58.737881485086376</v>
      </c>
      <c r="H716" s="13" t="s">
        <v>86</v>
      </c>
      <c r="I716" s="13" t="s">
        <v>87</v>
      </c>
      <c r="J716" s="21" t="str">
        <f>_xlfn.XLOOKUP(F716,'04_Account_Mapping'!$A$6:$A$14,'04_Account_Mapping'!$C$6:$C$14,"Unmapped",0)</f>
        <v>Tax Expense</v>
      </c>
      <c r="K716" s="21" t="str">
        <f>_xlfn.XLOOKUP(F716,'04_Account_Mapping'!$A$6:$A$14,'04_Account_Mapping'!$D$6:$D$14,"Unmapped",0)</f>
        <v>Expense</v>
      </c>
    </row>
    <row r="717" spans="1:11">
      <c r="A717" s="16">
        <v>46235</v>
      </c>
      <c r="B717" s="13">
        <v>2026</v>
      </c>
      <c r="C717" s="13">
        <v>8</v>
      </c>
      <c r="D717" s="13" t="s">
        <v>75</v>
      </c>
      <c r="E717" s="13" t="s">
        <v>76</v>
      </c>
      <c r="F717" s="13" t="s">
        <v>55</v>
      </c>
      <c r="G717" s="19">
        <v>362.21693582469931</v>
      </c>
      <c r="H717" s="13" t="s">
        <v>86</v>
      </c>
      <c r="I717" s="13" t="s">
        <v>87</v>
      </c>
      <c r="J717" s="21" t="str">
        <f>_xlfn.XLOOKUP(F717,'04_Account_Mapping'!$A$6:$A$14,'04_Account_Mapping'!$C$6:$C$14,"Unmapped",0)</f>
        <v>Revenue</v>
      </c>
      <c r="K717" s="21" t="str">
        <f>_xlfn.XLOOKUP(F717,'04_Account_Mapping'!$A$6:$A$14,'04_Account_Mapping'!$D$6:$D$14,"Unmapped",0)</f>
        <v>Income</v>
      </c>
    </row>
    <row r="718" spans="1:11">
      <c r="A718" s="16">
        <v>46235</v>
      </c>
      <c r="B718" s="13">
        <v>2026</v>
      </c>
      <c r="C718" s="13">
        <v>8</v>
      </c>
      <c r="D718" s="13" t="s">
        <v>75</v>
      </c>
      <c r="E718" s="13" t="s">
        <v>76</v>
      </c>
      <c r="F718" s="13" t="s">
        <v>58</v>
      </c>
      <c r="G718" s="19">
        <v>-288.70060335796524</v>
      </c>
      <c r="H718" s="13" t="s">
        <v>86</v>
      </c>
      <c r="I718" s="13" t="s">
        <v>87</v>
      </c>
      <c r="J718" s="21" t="str">
        <f>_xlfn.XLOOKUP(F718,'04_Account_Mapping'!$A$6:$A$14,'04_Account_Mapping'!$C$6:$C$14,"Unmapped",0)</f>
        <v>COGS</v>
      </c>
      <c r="K718" s="21" t="str">
        <f>_xlfn.XLOOKUP(F718,'04_Account_Mapping'!$A$6:$A$14,'04_Account_Mapping'!$D$6:$D$14,"Unmapped",0)</f>
        <v>Expense</v>
      </c>
    </row>
    <row r="719" spans="1:11">
      <c r="A719" s="16">
        <v>46235</v>
      </c>
      <c r="B719" s="13">
        <v>2026</v>
      </c>
      <c r="C719" s="13">
        <v>8</v>
      </c>
      <c r="D719" s="13" t="s">
        <v>75</v>
      </c>
      <c r="E719" s="13" t="s">
        <v>76</v>
      </c>
      <c r="F719" s="13" t="s">
        <v>60</v>
      </c>
      <c r="G719" s="19">
        <v>-44.19046617061332</v>
      </c>
      <c r="H719" s="13" t="s">
        <v>86</v>
      </c>
      <c r="I719" s="13" t="s">
        <v>87</v>
      </c>
      <c r="J719" s="21" t="str">
        <f>_xlfn.XLOOKUP(F719,'04_Account_Mapping'!$A$6:$A$14,'04_Account_Mapping'!$C$6:$C$14,"Unmapped",0)</f>
        <v>Selling Expense</v>
      </c>
      <c r="K719" s="21" t="str">
        <f>_xlfn.XLOOKUP(F719,'04_Account_Mapping'!$A$6:$A$14,'04_Account_Mapping'!$D$6:$D$14,"Unmapped",0)</f>
        <v>Expense</v>
      </c>
    </row>
    <row r="720" spans="1:11">
      <c r="A720" s="16">
        <v>46235</v>
      </c>
      <c r="B720" s="13">
        <v>2026</v>
      </c>
      <c r="C720" s="13">
        <v>8</v>
      </c>
      <c r="D720" s="13" t="s">
        <v>75</v>
      </c>
      <c r="E720" s="13" t="s">
        <v>76</v>
      </c>
      <c r="F720" s="13" t="s">
        <v>61</v>
      </c>
      <c r="G720" s="19">
        <v>-10.50429113891628</v>
      </c>
      <c r="H720" s="13" t="s">
        <v>86</v>
      </c>
      <c r="I720" s="13" t="s">
        <v>87</v>
      </c>
      <c r="J720" s="21" t="str">
        <f>_xlfn.XLOOKUP(F720,'04_Account_Mapping'!$A$6:$A$14,'04_Account_Mapping'!$C$6:$C$14,"Unmapped",0)</f>
        <v>G&amp;A</v>
      </c>
      <c r="K720" s="21" t="str">
        <f>_xlfn.XLOOKUP(F720,'04_Account_Mapping'!$A$6:$A$14,'04_Account_Mapping'!$D$6:$D$14,"Unmapped",0)</f>
        <v>Expense</v>
      </c>
    </row>
    <row r="721" spans="1:11">
      <c r="A721" s="16">
        <v>46235</v>
      </c>
      <c r="B721" s="13">
        <v>2026</v>
      </c>
      <c r="C721" s="13">
        <v>8</v>
      </c>
      <c r="D721" s="13" t="s">
        <v>75</v>
      </c>
      <c r="E721" s="13" t="s">
        <v>76</v>
      </c>
      <c r="F721" s="13" t="s">
        <v>62</v>
      </c>
      <c r="G721" s="19">
        <v>7.2443387164939868</v>
      </c>
      <c r="H721" s="13" t="s">
        <v>86</v>
      </c>
      <c r="I721" s="13" t="s">
        <v>87</v>
      </c>
      <c r="J721" s="21" t="str">
        <f>_xlfn.XLOOKUP(F721,'04_Account_Mapping'!$A$6:$A$14,'04_Account_Mapping'!$C$6:$C$14,"Unmapped",0)</f>
        <v>Finance Income</v>
      </c>
      <c r="K721" s="21" t="str">
        <f>_xlfn.XLOOKUP(F721,'04_Account_Mapping'!$A$6:$A$14,'04_Account_Mapping'!$D$6:$D$14,"Unmapped",0)</f>
        <v>Income</v>
      </c>
    </row>
    <row r="722" spans="1:11">
      <c r="A722" s="16">
        <v>46235</v>
      </c>
      <c r="B722" s="13">
        <v>2026</v>
      </c>
      <c r="C722" s="13">
        <v>8</v>
      </c>
      <c r="D722" s="13" t="s">
        <v>75</v>
      </c>
      <c r="E722" s="13" t="s">
        <v>76</v>
      </c>
      <c r="F722" s="13" t="s">
        <v>63</v>
      </c>
      <c r="G722" s="19">
        <v>-3.6221693582469934</v>
      </c>
      <c r="H722" s="13" t="s">
        <v>86</v>
      </c>
      <c r="I722" s="13" t="s">
        <v>87</v>
      </c>
      <c r="J722" s="21" t="str">
        <f>_xlfn.XLOOKUP(F722,'04_Account_Mapping'!$A$6:$A$14,'04_Account_Mapping'!$C$6:$C$14,"Unmapped",0)</f>
        <v>Finance Expense</v>
      </c>
      <c r="K722" s="21" t="str">
        <f>_xlfn.XLOOKUP(F722,'04_Account_Mapping'!$A$6:$A$14,'04_Account_Mapping'!$D$6:$D$14,"Unmapped",0)</f>
        <v>Expense</v>
      </c>
    </row>
    <row r="723" spans="1:11">
      <c r="A723" s="16">
        <v>46235</v>
      </c>
      <c r="B723" s="13">
        <v>2026</v>
      </c>
      <c r="C723" s="13">
        <v>8</v>
      </c>
      <c r="D723" s="13" t="s">
        <v>75</v>
      </c>
      <c r="E723" s="13" t="s">
        <v>76</v>
      </c>
      <c r="F723" s="13" t="s">
        <v>64</v>
      </c>
      <c r="G723" s="19">
        <v>7.2443387164939865E-2</v>
      </c>
      <c r="H723" s="13" t="s">
        <v>86</v>
      </c>
      <c r="I723" s="13" t="s">
        <v>87</v>
      </c>
      <c r="J723" s="21" t="str">
        <f>_xlfn.XLOOKUP(F723,'04_Account_Mapping'!$A$6:$A$14,'04_Account_Mapping'!$C$6:$C$14,"Unmapped",0)</f>
        <v>JV Profit/(Loss)</v>
      </c>
      <c r="K723" s="21" t="str">
        <f>_xlfn.XLOOKUP(F723,'04_Account_Mapping'!$A$6:$A$14,'04_Account_Mapping'!$D$6:$D$14,"Unmapped",0)</f>
        <v>Income</v>
      </c>
    </row>
    <row r="724" spans="1:11">
      <c r="A724" s="16">
        <v>46235</v>
      </c>
      <c r="B724" s="13">
        <v>2026</v>
      </c>
      <c r="C724" s="13">
        <v>8</v>
      </c>
      <c r="D724" s="13" t="s">
        <v>75</v>
      </c>
      <c r="E724" s="13" t="s">
        <v>76</v>
      </c>
      <c r="F724" s="13" t="s">
        <v>65</v>
      </c>
      <c r="G724" s="19">
        <v>0</v>
      </c>
      <c r="H724" s="13" t="s">
        <v>86</v>
      </c>
      <c r="I724" s="13" t="s">
        <v>87</v>
      </c>
      <c r="J724" s="21" t="str">
        <f>_xlfn.XLOOKUP(F724,'04_Account_Mapping'!$A$6:$A$14,'04_Account_Mapping'!$C$6:$C$14,"Unmapped",0)</f>
        <v>Other Net</v>
      </c>
      <c r="K724" s="21" t="str">
        <f>_xlfn.XLOOKUP(F724,'04_Account_Mapping'!$A$6:$A$14,'04_Account_Mapping'!$D$6:$D$14,"Unmapped",0)</f>
        <v>Income</v>
      </c>
    </row>
    <row r="725" spans="1:11">
      <c r="A725" s="16">
        <v>46235</v>
      </c>
      <c r="B725" s="13">
        <v>2026</v>
      </c>
      <c r="C725" s="13">
        <v>8</v>
      </c>
      <c r="D725" s="13" t="s">
        <v>75</v>
      </c>
      <c r="E725" s="13" t="s">
        <v>76</v>
      </c>
      <c r="F725" s="13" t="s">
        <v>66</v>
      </c>
      <c r="G725" s="19">
        <v>-4.5032375805232885</v>
      </c>
      <c r="H725" s="13" t="s">
        <v>86</v>
      </c>
      <c r="I725" s="13" t="s">
        <v>87</v>
      </c>
      <c r="J725" s="21" t="str">
        <f>_xlfn.XLOOKUP(F725,'04_Account_Mapping'!$A$6:$A$14,'04_Account_Mapping'!$C$6:$C$14,"Unmapped",0)</f>
        <v>Tax Expense</v>
      </c>
      <c r="K725" s="21" t="str">
        <f>_xlfn.XLOOKUP(F725,'04_Account_Mapping'!$A$6:$A$14,'04_Account_Mapping'!$D$6:$D$14,"Unmapped",0)</f>
        <v>Expense</v>
      </c>
    </row>
    <row r="726" spans="1:11">
      <c r="A726" s="16">
        <v>46266</v>
      </c>
      <c r="B726" s="13">
        <v>2026</v>
      </c>
      <c r="C726" s="13">
        <v>9</v>
      </c>
      <c r="D726" s="13" t="s">
        <v>67</v>
      </c>
      <c r="E726" s="13" t="s">
        <v>68</v>
      </c>
      <c r="F726" s="13" t="s">
        <v>55</v>
      </c>
      <c r="G726" s="19">
        <v>3860.4531396078528</v>
      </c>
      <c r="H726" s="13" t="s">
        <v>86</v>
      </c>
      <c r="I726" s="13" t="s">
        <v>87</v>
      </c>
      <c r="J726" s="21" t="str">
        <f>_xlfn.XLOOKUP(F726,'04_Account_Mapping'!$A$6:$A$14,'04_Account_Mapping'!$C$6:$C$14,"Unmapped",0)</f>
        <v>Revenue</v>
      </c>
      <c r="K726" s="21" t="str">
        <f>_xlfn.XLOOKUP(F726,'04_Account_Mapping'!$A$6:$A$14,'04_Account_Mapping'!$D$6:$D$14,"Unmapped",0)</f>
        <v>Income</v>
      </c>
    </row>
    <row r="727" spans="1:11">
      <c r="A727" s="16">
        <v>46266</v>
      </c>
      <c r="B727" s="13">
        <v>2026</v>
      </c>
      <c r="C727" s="13">
        <v>9</v>
      </c>
      <c r="D727" s="13" t="s">
        <v>67</v>
      </c>
      <c r="E727" s="13" t="s">
        <v>68</v>
      </c>
      <c r="F727" s="13" t="s">
        <v>58</v>
      </c>
      <c r="G727" s="19">
        <v>-3076.9272234673358</v>
      </c>
      <c r="H727" s="13" t="s">
        <v>86</v>
      </c>
      <c r="I727" s="13" t="s">
        <v>87</v>
      </c>
      <c r="J727" s="21" t="str">
        <f>_xlfn.XLOOKUP(F727,'04_Account_Mapping'!$A$6:$A$14,'04_Account_Mapping'!$C$6:$C$14,"Unmapped",0)</f>
        <v>COGS</v>
      </c>
      <c r="K727" s="21" t="str">
        <f>_xlfn.XLOOKUP(F727,'04_Account_Mapping'!$A$6:$A$14,'04_Account_Mapping'!$D$6:$D$14,"Unmapped",0)</f>
        <v>Expense</v>
      </c>
    </row>
    <row r="728" spans="1:11">
      <c r="A728" s="16">
        <v>46266</v>
      </c>
      <c r="B728" s="13">
        <v>2026</v>
      </c>
      <c r="C728" s="13">
        <v>9</v>
      </c>
      <c r="D728" s="13" t="s">
        <v>67</v>
      </c>
      <c r="E728" s="13" t="s">
        <v>68</v>
      </c>
      <c r="F728" s="13" t="s">
        <v>60</v>
      </c>
      <c r="G728" s="19">
        <v>-470.97528303215802</v>
      </c>
      <c r="H728" s="13" t="s">
        <v>86</v>
      </c>
      <c r="I728" s="13" t="s">
        <v>87</v>
      </c>
      <c r="J728" s="21" t="str">
        <f>_xlfn.XLOOKUP(F728,'04_Account_Mapping'!$A$6:$A$14,'04_Account_Mapping'!$C$6:$C$14,"Unmapped",0)</f>
        <v>Selling Expense</v>
      </c>
      <c r="K728" s="21" t="str">
        <f>_xlfn.XLOOKUP(F728,'04_Account_Mapping'!$A$6:$A$14,'04_Account_Mapping'!$D$6:$D$14,"Unmapped",0)</f>
        <v>Expense</v>
      </c>
    </row>
    <row r="729" spans="1:11">
      <c r="A729" s="16">
        <v>46266</v>
      </c>
      <c r="B729" s="13">
        <v>2026</v>
      </c>
      <c r="C729" s="13">
        <v>9</v>
      </c>
      <c r="D729" s="13" t="s">
        <v>67</v>
      </c>
      <c r="E729" s="13" t="s">
        <v>68</v>
      </c>
      <c r="F729" s="13" t="s">
        <v>61</v>
      </c>
      <c r="G729" s="19">
        <v>-111.95314104862773</v>
      </c>
      <c r="H729" s="13" t="s">
        <v>86</v>
      </c>
      <c r="I729" s="13" t="s">
        <v>87</v>
      </c>
      <c r="J729" s="21" t="str">
        <f>_xlfn.XLOOKUP(F729,'04_Account_Mapping'!$A$6:$A$14,'04_Account_Mapping'!$C$6:$C$14,"Unmapped",0)</f>
        <v>G&amp;A</v>
      </c>
      <c r="K729" s="21" t="str">
        <f>_xlfn.XLOOKUP(F729,'04_Account_Mapping'!$A$6:$A$14,'04_Account_Mapping'!$D$6:$D$14,"Unmapped",0)</f>
        <v>Expense</v>
      </c>
    </row>
    <row r="730" spans="1:11">
      <c r="A730" s="16">
        <v>46266</v>
      </c>
      <c r="B730" s="13">
        <v>2026</v>
      </c>
      <c r="C730" s="13">
        <v>9</v>
      </c>
      <c r="D730" s="13" t="s">
        <v>67</v>
      </c>
      <c r="E730" s="13" t="s">
        <v>68</v>
      </c>
      <c r="F730" s="13" t="s">
        <v>62</v>
      </c>
      <c r="G730" s="19">
        <v>77.209062792157056</v>
      </c>
      <c r="H730" s="13" t="s">
        <v>86</v>
      </c>
      <c r="I730" s="13" t="s">
        <v>87</v>
      </c>
      <c r="J730" s="21" t="str">
        <f>_xlfn.XLOOKUP(F730,'04_Account_Mapping'!$A$6:$A$14,'04_Account_Mapping'!$C$6:$C$14,"Unmapped",0)</f>
        <v>Finance Income</v>
      </c>
      <c r="K730" s="21" t="str">
        <f>_xlfn.XLOOKUP(F730,'04_Account_Mapping'!$A$6:$A$14,'04_Account_Mapping'!$D$6:$D$14,"Unmapped",0)</f>
        <v>Income</v>
      </c>
    </row>
    <row r="731" spans="1:11">
      <c r="A731" s="16">
        <v>46266</v>
      </c>
      <c r="B731" s="13">
        <v>2026</v>
      </c>
      <c r="C731" s="13">
        <v>9</v>
      </c>
      <c r="D731" s="13" t="s">
        <v>67</v>
      </c>
      <c r="E731" s="13" t="s">
        <v>68</v>
      </c>
      <c r="F731" s="13" t="s">
        <v>63</v>
      </c>
      <c r="G731" s="19">
        <v>-38.604531396078528</v>
      </c>
      <c r="H731" s="13" t="s">
        <v>86</v>
      </c>
      <c r="I731" s="13" t="s">
        <v>87</v>
      </c>
      <c r="J731" s="21" t="str">
        <f>_xlfn.XLOOKUP(F731,'04_Account_Mapping'!$A$6:$A$14,'04_Account_Mapping'!$C$6:$C$14,"Unmapped",0)</f>
        <v>Finance Expense</v>
      </c>
      <c r="K731" s="21" t="str">
        <f>_xlfn.XLOOKUP(F731,'04_Account_Mapping'!$A$6:$A$14,'04_Account_Mapping'!$D$6:$D$14,"Unmapped",0)</f>
        <v>Expense</v>
      </c>
    </row>
    <row r="732" spans="1:11">
      <c r="A732" s="16">
        <v>46266</v>
      </c>
      <c r="B732" s="13">
        <v>2026</v>
      </c>
      <c r="C732" s="13">
        <v>9</v>
      </c>
      <c r="D732" s="13" t="s">
        <v>67</v>
      </c>
      <c r="E732" s="13" t="s">
        <v>68</v>
      </c>
      <c r="F732" s="13" t="s">
        <v>64</v>
      </c>
      <c r="G732" s="19">
        <v>0.77209062792157057</v>
      </c>
      <c r="H732" s="13" t="s">
        <v>86</v>
      </c>
      <c r="I732" s="13" t="s">
        <v>87</v>
      </c>
      <c r="J732" s="21" t="str">
        <f>_xlfn.XLOOKUP(F732,'04_Account_Mapping'!$A$6:$A$14,'04_Account_Mapping'!$C$6:$C$14,"Unmapped",0)</f>
        <v>JV Profit/(Loss)</v>
      </c>
      <c r="K732" s="21" t="str">
        <f>_xlfn.XLOOKUP(F732,'04_Account_Mapping'!$A$6:$A$14,'04_Account_Mapping'!$D$6:$D$14,"Unmapped",0)</f>
        <v>Income</v>
      </c>
    </row>
    <row r="733" spans="1:11">
      <c r="A733" s="16">
        <v>46266</v>
      </c>
      <c r="B733" s="13">
        <v>2026</v>
      </c>
      <c r="C733" s="13">
        <v>9</v>
      </c>
      <c r="D733" s="13" t="s">
        <v>67</v>
      </c>
      <c r="E733" s="13" t="s">
        <v>68</v>
      </c>
      <c r="F733" s="13" t="s">
        <v>65</v>
      </c>
      <c r="G733" s="19">
        <v>0</v>
      </c>
      <c r="H733" s="13" t="s">
        <v>86</v>
      </c>
      <c r="I733" s="13" t="s">
        <v>87</v>
      </c>
      <c r="J733" s="21" t="str">
        <f>_xlfn.XLOOKUP(F733,'04_Account_Mapping'!$A$6:$A$14,'04_Account_Mapping'!$C$6:$C$14,"Unmapped",0)</f>
        <v>Other Net</v>
      </c>
      <c r="K733" s="21" t="str">
        <f>_xlfn.XLOOKUP(F733,'04_Account_Mapping'!$A$6:$A$14,'04_Account_Mapping'!$D$6:$D$14,"Unmapped",0)</f>
        <v>Income</v>
      </c>
    </row>
    <row r="734" spans="1:11">
      <c r="A734" s="16">
        <v>46266</v>
      </c>
      <c r="B734" s="13">
        <v>2026</v>
      </c>
      <c r="C734" s="13">
        <v>9</v>
      </c>
      <c r="D734" s="13" t="s">
        <v>67</v>
      </c>
      <c r="E734" s="13" t="s">
        <v>68</v>
      </c>
      <c r="F734" s="13" t="s">
        <v>66</v>
      </c>
      <c r="G734" s="19">
        <v>-47.994822816746279</v>
      </c>
      <c r="H734" s="13" t="s">
        <v>86</v>
      </c>
      <c r="I734" s="13" t="s">
        <v>87</v>
      </c>
      <c r="J734" s="21" t="str">
        <f>_xlfn.XLOOKUP(F734,'04_Account_Mapping'!$A$6:$A$14,'04_Account_Mapping'!$C$6:$C$14,"Unmapped",0)</f>
        <v>Tax Expense</v>
      </c>
      <c r="K734" s="21" t="str">
        <f>_xlfn.XLOOKUP(F734,'04_Account_Mapping'!$A$6:$A$14,'04_Account_Mapping'!$D$6:$D$14,"Unmapped",0)</f>
        <v>Expense</v>
      </c>
    </row>
    <row r="735" spans="1:11">
      <c r="A735" s="16">
        <v>46266</v>
      </c>
      <c r="B735" s="13">
        <v>2026</v>
      </c>
      <c r="C735" s="13">
        <v>9</v>
      </c>
      <c r="D735" s="13" t="s">
        <v>72</v>
      </c>
      <c r="E735" s="13" t="s">
        <v>68</v>
      </c>
      <c r="F735" s="13" t="s">
        <v>55</v>
      </c>
      <c r="G735" s="19">
        <v>7074.8053353482837</v>
      </c>
      <c r="H735" s="13" t="s">
        <v>86</v>
      </c>
      <c r="I735" s="13" t="s">
        <v>87</v>
      </c>
      <c r="J735" s="21" t="str">
        <f>_xlfn.XLOOKUP(F735,'04_Account_Mapping'!$A$6:$A$14,'04_Account_Mapping'!$C$6:$C$14,"Unmapped",0)</f>
        <v>Revenue</v>
      </c>
      <c r="K735" s="21" t="str">
        <f>_xlfn.XLOOKUP(F735,'04_Account_Mapping'!$A$6:$A$14,'04_Account_Mapping'!$D$6:$D$14,"Unmapped",0)</f>
        <v>Income</v>
      </c>
    </row>
    <row r="736" spans="1:11">
      <c r="A736" s="16">
        <v>46266</v>
      </c>
      <c r="B736" s="13">
        <v>2026</v>
      </c>
      <c r="C736" s="13">
        <v>9</v>
      </c>
      <c r="D736" s="13" t="s">
        <v>72</v>
      </c>
      <c r="E736" s="13" t="s">
        <v>68</v>
      </c>
      <c r="F736" s="13" t="s">
        <v>58</v>
      </c>
      <c r="G736" s="19">
        <v>-5638.8875476095955</v>
      </c>
      <c r="H736" s="13" t="s">
        <v>86</v>
      </c>
      <c r="I736" s="13" t="s">
        <v>87</v>
      </c>
      <c r="J736" s="21" t="str">
        <f>_xlfn.XLOOKUP(F736,'04_Account_Mapping'!$A$6:$A$14,'04_Account_Mapping'!$C$6:$C$14,"Unmapped",0)</f>
        <v>COGS</v>
      </c>
      <c r="K736" s="21" t="str">
        <f>_xlfn.XLOOKUP(F736,'04_Account_Mapping'!$A$6:$A$14,'04_Account_Mapping'!$D$6:$D$14,"Unmapped",0)</f>
        <v>Expense</v>
      </c>
    </row>
    <row r="737" spans="1:11">
      <c r="A737" s="16">
        <v>46266</v>
      </c>
      <c r="B737" s="13">
        <v>2026</v>
      </c>
      <c r="C737" s="13">
        <v>9</v>
      </c>
      <c r="D737" s="13" t="s">
        <v>72</v>
      </c>
      <c r="E737" s="13" t="s">
        <v>68</v>
      </c>
      <c r="F737" s="13" t="s">
        <v>60</v>
      </c>
      <c r="G737" s="19">
        <v>-863.1262509124906</v>
      </c>
      <c r="H737" s="13" t="s">
        <v>86</v>
      </c>
      <c r="I737" s="13" t="s">
        <v>87</v>
      </c>
      <c r="J737" s="21" t="str">
        <f>_xlfn.XLOOKUP(F737,'04_Account_Mapping'!$A$6:$A$14,'04_Account_Mapping'!$C$6:$C$14,"Unmapped",0)</f>
        <v>Selling Expense</v>
      </c>
      <c r="K737" s="21" t="str">
        <f>_xlfn.XLOOKUP(F737,'04_Account_Mapping'!$A$6:$A$14,'04_Account_Mapping'!$D$6:$D$14,"Unmapped",0)</f>
        <v>Expense</v>
      </c>
    </row>
    <row r="738" spans="1:11">
      <c r="A738" s="16">
        <v>46266</v>
      </c>
      <c r="B738" s="13">
        <v>2026</v>
      </c>
      <c r="C738" s="13">
        <v>9</v>
      </c>
      <c r="D738" s="13" t="s">
        <v>72</v>
      </c>
      <c r="E738" s="13" t="s">
        <v>68</v>
      </c>
      <c r="F738" s="13" t="s">
        <v>61</v>
      </c>
      <c r="G738" s="19">
        <v>-205.16935472510022</v>
      </c>
      <c r="H738" s="13" t="s">
        <v>86</v>
      </c>
      <c r="I738" s="13" t="s">
        <v>87</v>
      </c>
      <c r="J738" s="21" t="str">
        <f>_xlfn.XLOOKUP(F738,'04_Account_Mapping'!$A$6:$A$14,'04_Account_Mapping'!$C$6:$C$14,"Unmapped",0)</f>
        <v>G&amp;A</v>
      </c>
      <c r="K738" s="21" t="str">
        <f>_xlfn.XLOOKUP(F738,'04_Account_Mapping'!$A$6:$A$14,'04_Account_Mapping'!$D$6:$D$14,"Unmapped",0)</f>
        <v>Expense</v>
      </c>
    </row>
    <row r="739" spans="1:11">
      <c r="A739" s="16">
        <v>46266</v>
      </c>
      <c r="B739" s="13">
        <v>2026</v>
      </c>
      <c r="C739" s="13">
        <v>9</v>
      </c>
      <c r="D739" s="13" t="s">
        <v>72</v>
      </c>
      <c r="E739" s="13" t="s">
        <v>68</v>
      </c>
      <c r="F739" s="13" t="s">
        <v>62</v>
      </c>
      <c r="G739" s="19">
        <v>141.49610670696566</v>
      </c>
      <c r="H739" s="13" t="s">
        <v>86</v>
      </c>
      <c r="I739" s="13" t="s">
        <v>87</v>
      </c>
      <c r="J739" s="21" t="str">
        <f>_xlfn.XLOOKUP(F739,'04_Account_Mapping'!$A$6:$A$14,'04_Account_Mapping'!$C$6:$C$14,"Unmapped",0)</f>
        <v>Finance Income</v>
      </c>
      <c r="K739" s="21" t="str">
        <f>_xlfn.XLOOKUP(F739,'04_Account_Mapping'!$A$6:$A$14,'04_Account_Mapping'!$D$6:$D$14,"Unmapped",0)</f>
        <v>Income</v>
      </c>
    </row>
    <row r="740" spans="1:11">
      <c r="A740" s="16">
        <v>46266</v>
      </c>
      <c r="B740" s="13">
        <v>2026</v>
      </c>
      <c r="C740" s="13">
        <v>9</v>
      </c>
      <c r="D740" s="13" t="s">
        <v>72</v>
      </c>
      <c r="E740" s="13" t="s">
        <v>68</v>
      </c>
      <c r="F740" s="13" t="s">
        <v>63</v>
      </c>
      <c r="G740" s="19">
        <v>-70.748053353482831</v>
      </c>
      <c r="H740" s="13" t="s">
        <v>86</v>
      </c>
      <c r="I740" s="13" t="s">
        <v>87</v>
      </c>
      <c r="J740" s="21" t="str">
        <f>_xlfn.XLOOKUP(F740,'04_Account_Mapping'!$A$6:$A$14,'04_Account_Mapping'!$C$6:$C$14,"Unmapped",0)</f>
        <v>Finance Expense</v>
      </c>
      <c r="K740" s="21" t="str">
        <f>_xlfn.XLOOKUP(F740,'04_Account_Mapping'!$A$6:$A$14,'04_Account_Mapping'!$D$6:$D$14,"Unmapped",0)</f>
        <v>Expense</v>
      </c>
    </row>
    <row r="741" spans="1:11">
      <c r="A741" s="16">
        <v>46266</v>
      </c>
      <c r="B741" s="13">
        <v>2026</v>
      </c>
      <c r="C741" s="13">
        <v>9</v>
      </c>
      <c r="D741" s="13" t="s">
        <v>72</v>
      </c>
      <c r="E741" s="13" t="s">
        <v>68</v>
      </c>
      <c r="F741" s="13" t="s">
        <v>64</v>
      </c>
      <c r="G741" s="19">
        <v>1.4149610670696566</v>
      </c>
      <c r="H741" s="13" t="s">
        <v>86</v>
      </c>
      <c r="I741" s="13" t="s">
        <v>87</v>
      </c>
      <c r="J741" s="21" t="str">
        <f>_xlfn.XLOOKUP(F741,'04_Account_Mapping'!$A$6:$A$14,'04_Account_Mapping'!$C$6:$C$14,"Unmapped",0)</f>
        <v>JV Profit/(Loss)</v>
      </c>
      <c r="K741" s="21" t="str">
        <f>_xlfn.XLOOKUP(F741,'04_Account_Mapping'!$A$6:$A$14,'04_Account_Mapping'!$D$6:$D$14,"Unmapped",0)</f>
        <v>Income</v>
      </c>
    </row>
    <row r="742" spans="1:11">
      <c r="A742" s="16">
        <v>46266</v>
      </c>
      <c r="B742" s="13">
        <v>2026</v>
      </c>
      <c r="C742" s="13">
        <v>9</v>
      </c>
      <c r="D742" s="13" t="s">
        <v>72</v>
      </c>
      <c r="E742" s="13" t="s">
        <v>68</v>
      </c>
      <c r="F742" s="13" t="s">
        <v>65</v>
      </c>
      <c r="G742" s="19">
        <v>0</v>
      </c>
      <c r="H742" s="13" t="s">
        <v>86</v>
      </c>
      <c r="I742" s="13" t="s">
        <v>87</v>
      </c>
      <c r="J742" s="21" t="str">
        <f>_xlfn.XLOOKUP(F742,'04_Account_Mapping'!$A$6:$A$14,'04_Account_Mapping'!$C$6:$C$14,"Unmapped",0)</f>
        <v>Other Net</v>
      </c>
      <c r="K742" s="21" t="str">
        <f>_xlfn.XLOOKUP(F742,'04_Account_Mapping'!$A$6:$A$14,'04_Account_Mapping'!$D$6:$D$14,"Unmapped",0)</f>
        <v>Income</v>
      </c>
    </row>
    <row r="743" spans="1:11">
      <c r="A743" s="16">
        <v>46266</v>
      </c>
      <c r="B743" s="13">
        <v>2026</v>
      </c>
      <c r="C743" s="13">
        <v>9</v>
      </c>
      <c r="D743" s="13" t="s">
        <v>72</v>
      </c>
      <c r="E743" s="13" t="s">
        <v>68</v>
      </c>
      <c r="F743" s="13" t="s">
        <v>66</v>
      </c>
      <c r="G743" s="19">
        <v>-87.95703930433001</v>
      </c>
      <c r="H743" s="13" t="s">
        <v>86</v>
      </c>
      <c r="I743" s="13" t="s">
        <v>87</v>
      </c>
      <c r="J743" s="21" t="str">
        <f>_xlfn.XLOOKUP(F743,'04_Account_Mapping'!$A$6:$A$14,'04_Account_Mapping'!$C$6:$C$14,"Unmapped",0)</f>
        <v>Tax Expense</v>
      </c>
      <c r="K743" s="21" t="str">
        <f>_xlfn.XLOOKUP(F743,'04_Account_Mapping'!$A$6:$A$14,'04_Account_Mapping'!$D$6:$D$14,"Unmapped",0)</f>
        <v>Expense</v>
      </c>
    </row>
    <row r="744" spans="1:11">
      <c r="A744" s="16">
        <v>46266</v>
      </c>
      <c r="B744" s="13">
        <v>2026</v>
      </c>
      <c r="C744" s="13">
        <v>9</v>
      </c>
      <c r="D744" s="13" t="s">
        <v>73</v>
      </c>
      <c r="E744" s="13" t="s">
        <v>74</v>
      </c>
      <c r="F744" s="13" t="s">
        <v>55</v>
      </c>
      <c r="G744" s="19">
        <v>4845.7570790056734</v>
      </c>
      <c r="H744" s="13" t="s">
        <v>86</v>
      </c>
      <c r="I744" s="13" t="s">
        <v>87</v>
      </c>
      <c r="J744" s="21" t="str">
        <f>_xlfn.XLOOKUP(F744,'04_Account_Mapping'!$A$6:$A$14,'04_Account_Mapping'!$C$6:$C$14,"Unmapped",0)</f>
        <v>Revenue</v>
      </c>
      <c r="K744" s="21" t="str">
        <f>_xlfn.XLOOKUP(F744,'04_Account_Mapping'!$A$6:$A$14,'04_Account_Mapping'!$D$6:$D$14,"Unmapped",0)</f>
        <v>Income</v>
      </c>
    </row>
    <row r="745" spans="1:11">
      <c r="A745" s="16">
        <v>46266</v>
      </c>
      <c r="B745" s="13">
        <v>2026</v>
      </c>
      <c r="C745" s="13">
        <v>9</v>
      </c>
      <c r="D745" s="13" t="s">
        <v>73</v>
      </c>
      <c r="E745" s="13" t="s">
        <v>74</v>
      </c>
      <c r="F745" s="13" t="s">
        <v>58</v>
      </c>
      <c r="G745" s="19">
        <v>-3862.2517449380784</v>
      </c>
      <c r="H745" s="13" t="s">
        <v>86</v>
      </c>
      <c r="I745" s="13" t="s">
        <v>87</v>
      </c>
      <c r="J745" s="21" t="str">
        <f>_xlfn.XLOOKUP(F745,'04_Account_Mapping'!$A$6:$A$14,'04_Account_Mapping'!$C$6:$C$14,"Unmapped",0)</f>
        <v>COGS</v>
      </c>
      <c r="K745" s="21" t="str">
        <f>_xlfn.XLOOKUP(F745,'04_Account_Mapping'!$A$6:$A$14,'04_Account_Mapping'!$D$6:$D$14,"Unmapped",0)</f>
        <v>Expense</v>
      </c>
    </row>
    <row r="746" spans="1:11">
      <c r="A746" s="16">
        <v>46266</v>
      </c>
      <c r="B746" s="13">
        <v>2026</v>
      </c>
      <c r="C746" s="13">
        <v>9</v>
      </c>
      <c r="D746" s="13" t="s">
        <v>73</v>
      </c>
      <c r="E746" s="13" t="s">
        <v>74</v>
      </c>
      <c r="F746" s="13" t="s">
        <v>60</v>
      </c>
      <c r="G746" s="19">
        <v>-591.1823636386921</v>
      </c>
      <c r="H746" s="13" t="s">
        <v>86</v>
      </c>
      <c r="I746" s="13" t="s">
        <v>87</v>
      </c>
      <c r="J746" s="21" t="str">
        <f>_xlfn.XLOOKUP(F746,'04_Account_Mapping'!$A$6:$A$14,'04_Account_Mapping'!$C$6:$C$14,"Unmapped",0)</f>
        <v>Selling Expense</v>
      </c>
      <c r="K746" s="21" t="str">
        <f>_xlfn.XLOOKUP(F746,'04_Account_Mapping'!$A$6:$A$14,'04_Account_Mapping'!$D$6:$D$14,"Unmapped",0)</f>
        <v>Expense</v>
      </c>
    </row>
    <row r="747" spans="1:11">
      <c r="A747" s="16">
        <v>46266</v>
      </c>
      <c r="B747" s="13">
        <v>2026</v>
      </c>
      <c r="C747" s="13">
        <v>9</v>
      </c>
      <c r="D747" s="13" t="s">
        <v>73</v>
      </c>
      <c r="E747" s="13" t="s">
        <v>74</v>
      </c>
      <c r="F747" s="13" t="s">
        <v>61</v>
      </c>
      <c r="G747" s="19">
        <v>-140.52695529116451</v>
      </c>
      <c r="H747" s="13" t="s">
        <v>86</v>
      </c>
      <c r="I747" s="13" t="s">
        <v>87</v>
      </c>
      <c r="J747" s="21" t="str">
        <f>_xlfn.XLOOKUP(F747,'04_Account_Mapping'!$A$6:$A$14,'04_Account_Mapping'!$C$6:$C$14,"Unmapped",0)</f>
        <v>G&amp;A</v>
      </c>
      <c r="K747" s="21" t="str">
        <f>_xlfn.XLOOKUP(F747,'04_Account_Mapping'!$A$6:$A$14,'04_Account_Mapping'!$D$6:$D$14,"Unmapped",0)</f>
        <v>Expense</v>
      </c>
    </row>
    <row r="748" spans="1:11">
      <c r="A748" s="16">
        <v>46266</v>
      </c>
      <c r="B748" s="13">
        <v>2026</v>
      </c>
      <c r="C748" s="13">
        <v>9</v>
      </c>
      <c r="D748" s="13" t="s">
        <v>73</v>
      </c>
      <c r="E748" s="13" t="s">
        <v>74</v>
      </c>
      <c r="F748" s="13" t="s">
        <v>62</v>
      </c>
      <c r="G748" s="19">
        <v>96.915141580113456</v>
      </c>
      <c r="H748" s="13" t="s">
        <v>86</v>
      </c>
      <c r="I748" s="13" t="s">
        <v>87</v>
      </c>
      <c r="J748" s="21" t="str">
        <f>_xlfn.XLOOKUP(F748,'04_Account_Mapping'!$A$6:$A$14,'04_Account_Mapping'!$C$6:$C$14,"Unmapped",0)</f>
        <v>Finance Income</v>
      </c>
      <c r="K748" s="21" t="str">
        <f>_xlfn.XLOOKUP(F748,'04_Account_Mapping'!$A$6:$A$14,'04_Account_Mapping'!$D$6:$D$14,"Unmapped",0)</f>
        <v>Income</v>
      </c>
    </row>
    <row r="749" spans="1:11">
      <c r="A749" s="16">
        <v>46266</v>
      </c>
      <c r="B749" s="13">
        <v>2026</v>
      </c>
      <c r="C749" s="13">
        <v>9</v>
      </c>
      <c r="D749" s="13" t="s">
        <v>73</v>
      </c>
      <c r="E749" s="13" t="s">
        <v>74</v>
      </c>
      <c r="F749" s="13" t="s">
        <v>63</v>
      </c>
      <c r="G749" s="19">
        <v>-48.457570790056728</v>
      </c>
      <c r="H749" s="13" t="s">
        <v>86</v>
      </c>
      <c r="I749" s="13" t="s">
        <v>87</v>
      </c>
      <c r="J749" s="21" t="str">
        <f>_xlfn.XLOOKUP(F749,'04_Account_Mapping'!$A$6:$A$14,'04_Account_Mapping'!$C$6:$C$14,"Unmapped",0)</f>
        <v>Finance Expense</v>
      </c>
      <c r="K749" s="21" t="str">
        <f>_xlfn.XLOOKUP(F749,'04_Account_Mapping'!$A$6:$A$14,'04_Account_Mapping'!$D$6:$D$14,"Unmapped",0)</f>
        <v>Expense</v>
      </c>
    </row>
    <row r="750" spans="1:11">
      <c r="A750" s="16">
        <v>46266</v>
      </c>
      <c r="B750" s="13">
        <v>2026</v>
      </c>
      <c r="C750" s="13">
        <v>9</v>
      </c>
      <c r="D750" s="13" t="s">
        <v>73</v>
      </c>
      <c r="E750" s="13" t="s">
        <v>74</v>
      </c>
      <c r="F750" s="13" t="s">
        <v>64</v>
      </c>
      <c r="G750" s="19">
        <v>0.96915141580113462</v>
      </c>
      <c r="H750" s="13" t="s">
        <v>86</v>
      </c>
      <c r="I750" s="13" t="s">
        <v>87</v>
      </c>
      <c r="J750" s="21" t="str">
        <f>_xlfn.XLOOKUP(F750,'04_Account_Mapping'!$A$6:$A$14,'04_Account_Mapping'!$C$6:$C$14,"Unmapped",0)</f>
        <v>JV Profit/(Loss)</v>
      </c>
      <c r="K750" s="21" t="str">
        <f>_xlfn.XLOOKUP(F750,'04_Account_Mapping'!$A$6:$A$14,'04_Account_Mapping'!$D$6:$D$14,"Unmapped",0)</f>
        <v>Income</v>
      </c>
    </row>
    <row r="751" spans="1:11">
      <c r="A751" s="16">
        <v>46266</v>
      </c>
      <c r="B751" s="13">
        <v>2026</v>
      </c>
      <c r="C751" s="13">
        <v>9</v>
      </c>
      <c r="D751" s="13" t="s">
        <v>73</v>
      </c>
      <c r="E751" s="13" t="s">
        <v>74</v>
      </c>
      <c r="F751" s="13" t="s">
        <v>65</v>
      </c>
      <c r="G751" s="19">
        <v>0</v>
      </c>
      <c r="H751" s="13" t="s">
        <v>86</v>
      </c>
      <c r="I751" s="13" t="s">
        <v>87</v>
      </c>
      <c r="J751" s="21" t="str">
        <f>_xlfn.XLOOKUP(F751,'04_Account_Mapping'!$A$6:$A$14,'04_Account_Mapping'!$C$6:$C$14,"Unmapped",0)</f>
        <v>Other Net</v>
      </c>
      <c r="K751" s="21" t="str">
        <f>_xlfn.XLOOKUP(F751,'04_Account_Mapping'!$A$6:$A$14,'04_Account_Mapping'!$D$6:$D$14,"Unmapped",0)</f>
        <v>Income</v>
      </c>
    </row>
    <row r="752" spans="1:11">
      <c r="A752" s="16">
        <v>46266</v>
      </c>
      <c r="B752" s="13">
        <v>2026</v>
      </c>
      <c r="C752" s="13">
        <v>9</v>
      </c>
      <c r="D752" s="13" t="s">
        <v>73</v>
      </c>
      <c r="E752" s="13" t="s">
        <v>74</v>
      </c>
      <c r="F752" s="13" t="s">
        <v>66</v>
      </c>
      <c r="G752" s="19">
        <v>-60.244547468719176</v>
      </c>
      <c r="H752" s="13" t="s">
        <v>86</v>
      </c>
      <c r="I752" s="13" t="s">
        <v>87</v>
      </c>
      <c r="J752" s="21" t="str">
        <f>_xlfn.XLOOKUP(F752,'04_Account_Mapping'!$A$6:$A$14,'04_Account_Mapping'!$C$6:$C$14,"Unmapped",0)</f>
        <v>Tax Expense</v>
      </c>
      <c r="K752" s="21" t="str">
        <f>_xlfn.XLOOKUP(F752,'04_Account_Mapping'!$A$6:$A$14,'04_Account_Mapping'!$D$6:$D$14,"Unmapped",0)</f>
        <v>Expense</v>
      </c>
    </row>
    <row r="753" spans="1:11">
      <c r="A753" s="16">
        <v>46266</v>
      </c>
      <c r="B753" s="13">
        <v>2026</v>
      </c>
      <c r="C753" s="13">
        <v>9</v>
      </c>
      <c r="D753" s="13" t="s">
        <v>75</v>
      </c>
      <c r="E753" s="13" t="s">
        <v>76</v>
      </c>
      <c r="F753" s="13" t="s">
        <v>55</v>
      </c>
      <c r="G753" s="19">
        <v>371.50804272376831</v>
      </c>
      <c r="H753" s="13" t="s">
        <v>86</v>
      </c>
      <c r="I753" s="13" t="s">
        <v>87</v>
      </c>
      <c r="J753" s="21" t="str">
        <f>_xlfn.XLOOKUP(F753,'04_Account_Mapping'!$A$6:$A$14,'04_Account_Mapping'!$C$6:$C$14,"Unmapped",0)</f>
        <v>Revenue</v>
      </c>
      <c r="K753" s="21" t="str">
        <f>_xlfn.XLOOKUP(F753,'04_Account_Mapping'!$A$6:$A$14,'04_Account_Mapping'!$D$6:$D$14,"Unmapped",0)</f>
        <v>Income</v>
      </c>
    </row>
    <row r="754" spans="1:11">
      <c r="A754" s="16">
        <v>46266</v>
      </c>
      <c r="B754" s="13">
        <v>2026</v>
      </c>
      <c r="C754" s="13">
        <v>9</v>
      </c>
      <c r="D754" s="13" t="s">
        <v>75</v>
      </c>
      <c r="E754" s="13" t="s">
        <v>76</v>
      </c>
      <c r="F754" s="13" t="s">
        <v>58</v>
      </c>
      <c r="G754" s="19">
        <v>-296.10596711191937</v>
      </c>
      <c r="H754" s="13" t="s">
        <v>86</v>
      </c>
      <c r="I754" s="13" t="s">
        <v>87</v>
      </c>
      <c r="J754" s="21" t="str">
        <f>_xlfn.XLOOKUP(F754,'04_Account_Mapping'!$A$6:$A$14,'04_Account_Mapping'!$C$6:$C$14,"Unmapped",0)</f>
        <v>COGS</v>
      </c>
      <c r="K754" s="21" t="str">
        <f>_xlfn.XLOOKUP(F754,'04_Account_Mapping'!$A$6:$A$14,'04_Account_Mapping'!$D$6:$D$14,"Unmapped",0)</f>
        <v>Expense</v>
      </c>
    </row>
    <row r="755" spans="1:11">
      <c r="A755" s="16">
        <v>46266</v>
      </c>
      <c r="B755" s="13">
        <v>2026</v>
      </c>
      <c r="C755" s="13">
        <v>9</v>
      </c>
      <c r="D755" s="13" t="s">
        <v>75</v>
      </c>
      <c r="E755" s="13" t="s">
        <v>76</v>
      </c>
      <c r="F755" s="13" t="s">
        <v>60</v>
      </c>
      <c r="G755" s="19">
        <v>-45.323981212299735</v>
      </c>
      <c r="H755" s="13" t="s">
        <v>86</v>
      </c>
      <c r="I755" s="13" t="s">
        <v>87</v>
      </c>
      <c r="J755" s="21" t="str">
        <f>_xlfn.XLOOKUP(F755,'04_Account_Mapping'!$A$6:$A$14,'04_Account_Mapping'!$C$6:$C$14,"Unmapped",0)</f>
        <v>Selling Expense</v>
      </c>
      <c r="K755" s="21" t="str">
        <f>_xlfn.XLOOKUP(F755,'04_Account_Mapping'!$A$6:$A$14,'04_Account_Mapping'!$D$6:$D$14,"Unmapped",0)</f>
        <v>Expense</v>
      </c>
    </row>
    <row r="756" spans="1:11">
      <c r="A756" s="16">
        <v>46266</v>
      </c>
      <c r="B756" s="13">
        <v>2026</v>
      </c>
      <c r="C756" s="13">
        <v>9</v>
      </c>
      <c r="D756" s="13" t="s">
        <v>75</v>
      </c>
      <c r="E756" s="13" t="s">
        <v>76</v>
      </c>
      <c r="F756" s="13" t="s">
        <v>61</v>
      </c>
      <c r="G756" s="19">
        <v>-10.77373323898928</v>
      </c>
      <c r="H756" s="13" t="s">
        <v>86</v>
      </c>
      <c r="I756" s="13" t="s">
        <v>87</v>
      </c>
      <c r="J756" s="21" t="str">
        <f>_xlfn.XLOOKUP(F756,'04_Account_Mapping'!$A$6:$A$14,'04_Account_Mapping'!$C$6:$C$14,"Unmapped",0)</f>
        <v>G&amp;A</v>
      </c>
      <c r="K756" s="21" t="str">
        <f>_xlfn.XLOOKUP(F756,'04_Account_Mapping'!$A$6:$A$14,'04_Account_Mapping'!$D$6:$D$14,"Unmapped",0)</f>
        <v>Expense</v>
      </c>
    </row>
    <row r="757" spans="1:11">
      <c r="A757" s="16">
        <v>46266</v>
      </c>
      <c r="B757" s="13">
        <v>2026</v>
      </c>
      <c r="C757" s="13">
        <v>9</v>
      </c>
      <c r="D757" s="13" t="s">
        <v>75</v>
      </c>
      <c r="E757" s="13" t="s">
        <v>76</v>
      </c>
      <c r="F757" s="13" t="s">
        <v>62</v>
      </c>
      <c r="G757" s="19">
        <v>7.4301608544753659</v>
      </c>
      <c r="H757" s="13" t="s">
        <v>86</v>
      </c>
      <c r="I757" s="13" t="s">
        <v>87</v>
      </c>
      <c r="J757" s="21" t="str">
        <f>_xlfn.XLOOKUP(F757,'04_Account_Mapping'!$A$6:$A$14,'04_Account_Mapping'!$C$6:$C$14,"Unmapped",0)</f>
        <v>Finance Income</v>
      </c>
      <c r="K757" s="21" t="str">
        <f>_xlfn.XLOOKUP(F757,'04_Account_Mapping'!$A$6:$A$14,'04_Account_Mapping'!$D$6:$D$14,"Unmapped",0)</f>
        <v>Income</v>
      </c>
    </row>
    <row r="758" spans="1:11">
      <c r="A758" s="16">
        <v>46266</v>
      </c>
      <c r="B758" s="13">
        <v>2026</v>
      </c>
      <c r="C758" s="13">
        <v>9</v>
      </c>
      <c r="D758" s="13" t="s">
        <v>75</v>
      </c>
      <c r="E758" s="13" t="s">
        <v>76</v>
      </c>
      <c r="F758" s="13" t="s">
        <v>63</v>
      </c>
      <c r="G758" s="19">
        <v>-3.7150804272376829</v>
      </c>
      <c r="H758" s="13" t="s">
        <v>86</v>
      </c>
      <c r="I758" s="13" t="s">
        <v>87</v>
      </c>
      <c r="J758" s="21" t="str">
        <f>_xlfn.XLOOKUP(F758,'04_Account_Mapping'!$A$6:$A$14,'04_Account_Mapping'!$C$6:$C$14,"Unmapped",0)</f>
        <v>Finance Expense</v>
      </c>
      <c r="K758" s="21" t="str">
        <f>_xlfn.XLOOKUP(F758,'04_Account_Mapping'!$A$6:$A$14,'04_Account_Mapping'!$D$6:$D$14,"Unmapped",0)</f>
        <v>Expense</v>
      </c>
    </row>
    <row r="759" spans="1:11">
      <c r="A759" s="16">
        <v>46266</v>
      </c>
      <c r="B759" s="13">
        <v>2026</v>
      </c>
      <c r="C759" s="13">
        <v>9</v>
      </c>
      <c r="D759" s="13" t="s">
        <v>75</v>
      </c>
      <c r="E759" s="13" t="s">
        <v>76</v>
      </c>
      <c r="F759" s="13" t="s">
        <v>64</v>
      </c>
      <c r="G759" s="19">
        <v>7.4301608544753664E-2</v>
      </c>
      <c r="H759" s="13" t="s">
        <v>86</v>
      </c>
      <c r="I759" s="13" t="s">
        <v>87</v>
      </c>
      <c r="J759" s="21" t="str">
        <f>_xlfn.XLOOKUP(F759,'04_Account_Mapping'!$A$6:$A$14,'04_Account_Mapping'!$C$6:$C$14,"Unmapped",0)</f>
        <v>JV Profit/(Loss)</v>
      </c>
      <c r="K759" s="21" t="str">
        <f>_xlfn.XLOOKUP(F759,'04_Account_Mapping'!$A$6:$A$14,'04_Account_Mapping'!$D$6:$D$14,"Unmapped",0)</f>
        <v>Income</v>
      </c>
    </row>
    <row r="760" spans="1:11">
      <c r="A760" s="16">
        <v>46266</v>
      </c>
      <c r="B760" s="13">
        <v>2026</v>
      </c>
      <c r="C760" s="13">
        <v>9</v>
      </c>
      <c r="D760" s="13" t="s">
        <v>75</v>
      </c>
      <c r="E760" s="13" t="s">
        <v>76</v>
      </c>
      <c r="F760" s="13" t="s">
        <v>65</v>
      </c>
      <c r="G760" s="19">
        <v>0</v>
      </c>
      <c r="H760" s="13" t="s">
        <v>86</v>
      </c>
      <c r="I760" s="13" t="s">
        <v>87</v>
      </c>
      <c r="J760" s="21" t="str">
        <f>_xlfn.XLOOKUP(F760,'04_Account_Mapping'!$A$6:$A$14,'04_Account_Mapping'!$C$6:$C$14,"Unmapped",0)</f>
        <v>Other Net</v>
      </c>
      <c r="K760" s="21" t="str">
        <f>_xlfn.XLOOKUP(F760,'04_Account_Mapping'!$A$6:$A$14,'04_Account_Mapping'!$D$6:$D$14,"Unmapped",0)</f>
        <v>Income</v>
      </c>
    </row>
    <row r="761" spans="1:11">
      <c r="A761" s="16">
        <v>46266</v>
      </c>
      <c r="B761" s="13">
        <v>2026</v>
      </c>
      <c r="C761" s="13">
        <v>9</v>
      </c>
      <c r="D761" s="13" t="s">
        <v>75</v>
      </c>
      <c r="E761" s="13" t="s">
        <v>76</v>
      </c>
      <c r="F761" s="13" t="s">
        <v>66</v>
      </c>
      <c r="G761" s="19">
        <v>-4.6187486392684711</v>
      </c>
      <c r="H761" s="13" t="s">
        <v>86</v>
      </c>
      <c r="I761" s="13" t="s">
        <v>87</v>
      </c>
      <c r="J761" s="21" t="str">
        <f>_xlfn.XLOOKUP(F761,'04_Account_Mapping'!$A$6:$A$14,'04_Account_Mapping'!$C$6:$C$14,"Unmapped",0)</f>
        <v>Tax Expense</v>
      </c>
      <c r="K761" s="21" t="str">
        <f>_xlfn.XLOOKUP(F761,'04_Account_Mapping'!$A$6:$A$14,'04_Account_Mapping'!$D$6:$D$14,"Unmapped",0)</f>
        <v>Expense</v>
      </c>
    </row>
    <row r="762" spans="1:11">
      <c r="A762" s="16">
        <v>46296</v>
      </c>
      <c r="B762" s="13">
        <v>2026</v>
      </c>
      <c r="C762" s="13">
        <v>10</v>
      </c>
      <c r="D762" s="13" t="s">
        <v>67</v>
      </c>
      <c r="E762" s="13" t="s">
        <v>68</v>
      </c>
      <c r="F762" s="13" t="s">
        <v>55</v>
      </c>
      <c r="G762" s="19">
        <v>4205.3032990535703</v>
      </c>
      <c r="H762" s="13" t="s">
        <v>86</v>
      </c>
      <c r="I762" s="13" t="s">
        <v>87</v>
      </c>
      <c r="J762" s="21" t="str">
        <f>_xlfn.XLOOKUP(F762,'04_Account_Mapping'!$A$6:$A$14,'04_Account_Mapping'!$C$6:$C$14,"Unmapped",0)</f>
        <v>Revenue</v>
      </c>
      <c r="K762" s="21" t="str">
        <f>_xlfn.XLOOKUP(F762,'04_Account_Mapping'!$A$6:$A$14,'04_Account_Mapping'!$D$6:$D$14,"Unmapped",0)</f>
        <v>Income</v>
      </c>
    </row>
    <row r="763" spans="1:11">
      <c r="A763" s="16">
        <v>46296</v>
      </c>
      <c r="B763" s="13">
        <v>2026</v>
      </c>
      <c r="C763" s="13">
        <v>10</v>
      </c>
      <c r="D763" s="13" t="s">
        <v>67</v>
      </c>
      <c r="E763" s="13" t="s">
        <v>68</v>
      </c>
      <c r="F763" s="13" t="s">
        <v>58</v>
      </c>
      <c r="G763" s="19">
        <v>-3351.7858489299842</v>
      </c>
      <c r="H763" s="13" t="s">
        <v>86</v>
      </c>
      <c r="I763" s="13" t="s">
        <v>87</v>
      </c>
      <c r="J763" s="21" t="str">
        <f>_xlfn.XLOOKUP(F763,'04_Account_Mapping'!$A$6:$A$14,'04_Account_Mapping'!$C$6:$C$14,"Unmapped",0)</f>
        <v>COGS</v>
      </c>
      <c r="K763" s="21" t="str">
        <f>_xlfn.XLOOKUP(F763,'04_Account_Mapping'!$A$6:$A$14,'04_Account_Mapping'!$D$6:$D$14,"Unmapped",0)</f>
        <v>Expense</v>
      </c>
    </row>
    <row r="764" spans="1:11">
      <c r="A764" s="16">
        <v>46296</v>
      </c>
      <c r="B764" s="13">
        <v>2026</v>
      </c>
      <c r="C764" s="13">
        <v>10</v>
      </c>
      <c r="D764" s="13" t="s">
        <v>67</v>
      </c>
      <c r="E764" s="13" t="s">
        <v>68</v>
      </c>
      <c r="F764" s="13" t="s">
        <v>60</v>
      </c>
      <c r="G764" s="19">
        <v>-513.0470024845356</v>
      </c>
      <c r="H764" s="13" t="s">
        <v>86</v>
      </c>
      <c r="I764" s="13" t="s">
        <v>87</v>
      </c>
      <c r="J764" s="21" t="str">
        <f>_xlfn.XLOOKUP(F764,'04_Account_Mapping'!$A$6:$A$14,'04_Account_Mapping'!$C$6:$C$14,"Unmapped",0)</f>
        <v>Selling Expense</v>
      </c>
      <c r="K764" s="21" t="str">
        <f>_xlfn.XLOOKUP(F764,'04_Account_Mapping'!$A$6:$A$14,'04_Account_Mapping'!$D$6:$D$14,"Unmapped",0)</f>
        <v>Expense</v>
      </c>
    </row>
    <row r="765" spans="1:11">
      <c r="A765" s="16">
        <v>46296</v>
      </c>
      <c r="B765" s="13">
        <v>2026</v>
      </c>
      <c r="C765" s="13">
        <v>10</v>
      </c>
      <c r="D765" s="13" t="s">
        <v>67</v>
      </c>
      <c r="E765" s="13" t="s">
        <v>68</v>
      </c>
      <c r="F765" s="13" t="s">
        <v>61</v>
      </c>
      <c r="G765" s="19">
        <v>-121.95379567255355</v>
      </c>
      <c r="H765" s="13" t="s">
        <v>86</v>
      </c>
      <c r="I765" s="13" t="s">
        <v>87</v>
      </c>
      <c r="J765" s="21" t="str">
        <f>_xlfn.XLOOKUP(F765,'04_Account_Mapping'!$A$6:$A$14,'04_Account_Mapping'!$C$6:$C$14,"Unmapped",0)</f>
        <v>G&amp;A</v>
      </c>
      <c r="K765" s="21" t="str">
        <f>_xlfn.XLOOKUP(F765,'04_Account_Mapping'!$A$6:$A$14,'04_Account_Mapping'!$D$6:$D$14,"Unmapped",0)</f>
        <v>Expense</v>
      </c>
    </row>
    <row r="766" spans="1:11">
      <c r="A766" s="16">
        <v>46296</v>
      </c>
      <c r="B766" s="13">
        <v>2026</v>
      </c>
      <c r="C766" s="13">
        <v>10</v>
      </c>
      <c r="D766" s="13" t="s">
        <v>67</v>
      </c>
      <c r="E766" s="13" t="s">
        <v>68</v>
      </c>
      <c r="F766" s="13" t="s">
        <v>62</v>
      </c>
      <c r="G766" s="19">
        <v>84.10606598107141</v>
      </c>
      <c r="H766" s="13" t="s">
        <v>86</v>
      </c>
      <c r="I766" s="13" t="s">
        <v>87</v>
      </c>
      <c r="J766" s="21" t="str">
        <f>_xlfn.XLOOKUP(F766,'04_Account_Mapping'!$A$6:$A$14,'04_Account_Mapping'!$C$6:$C$14,"Unmapped",0)</f>
        <v>Finance Income</v>
      </c>
      <c r="K766" s="21" t="str">
        <f>_xlfn.XLOOKUP(F766,'04_Account_Mapping'!$A$6:$A$14,'04_Account_Mapping'!$D$6:$D$14,"Unmapped",0)</f>
        <v>Income</v>
      </c>
    </row>
    <row r="767" spans="1:11">
      <c r="A767" s="16">
        <v>46296</v>
      </c>
      <c r="B767" s="13">
        <v>2026</v>
      </c>
      <c r="C767" s="13">
        <v>10</v>
      </c>
      <c r="D767" s="13" t="s">
        <v>67</v>
      </c>
      <c r="E767" s="13" t="s">
        <v>68</v>
      </c>
      <c r="F767" s="13" t="s">
        <v>63</v>
      </c>
      <c r="G767" s="19">
        <v>-42.053032990535705</v>
      </c>
      <c r="H767" s="13" t="s">
        <v>86</v>
      </c>
      <c r="I767" s="13" t="s">
        <v>87</v>
      </c>
      <c r="J767" s="21" t="str">
        <f>_xlfn.XLOOKUP(F767,'04_Account_Mapping'!$A$6:$A$14,'04_Account_Mapping'!$C$6:$C$14,"Unmapped",0)</f>
        <v>Finance Expense</v>
      </c>
      <c r="K767" s="21" t="str">
        <f>_xlfn.XLOOKUP(F767,'04_Account_Mapping'!$A$6:$A$14,'04_Account_Mapping'!$D$6:$D$14,"Unmapped",0)</f>
        <v>Expense</v>
      </c>
    </row>
    <row r="768" spans="1:11">
      <c r="A768" s="16">
        <v>46296</v>
      </c>
      <c r="B768" s="13">
        <v>2026</v>
      </c>
      <c r="C768" s="13">
        <v>10</v>
      </c>
      <c r="D768" s="13" t="s">
        <v>67</v>
      </c>
      <c r="E768" s="13" t="s">
        <v>68</v>
      </c>
      <c r="F768" s="13" t="s">
        <v>64</v>
      </c>
      <c r="G768" s="19">
        <v>0.8410606598107141</v>
      </c>
      <c r="H768" s="13" t="s">
        <v>86</v>
      </c>
      <c r="I768" s="13" t="s">
        <v>87</v>
      </c>
      <c r="J768" s="21" t="str">
        <f>_xlfn.XLOOKUP(F768,'04_Account_Mapping'!$A$6:$A$14,'04_Account_Mapping'!$C$6:$C$14,"Unmapped",0)</f>
        <v>JV Profit/(Loss)</v>
      </c>
      <c r="K768" s="21" t="str">
        <f>_xlfn.XLOOKUP(F768,'04_Account_Mapping'!$A$6:$A$14,'04_Account_Mapping'!$D$6:$D$14,"Unmapped",0)</f>
        <v>Income</v>
      </c>
    </row>
    <row r="769" spans="1:11">
      <c r="A769" s="16">
        <v>46296</v>
      </c>
      <c r="B769" s="13">
        <v>2026</v>
      </c>
      <c r="C769" s="13">
        <v>10</v>
      </c>
      <c r="D769" s="13" t="s">
        <v>67</v>
      </c>
      <c r="E769" s="13" t="s">
        <v>68</v>
      </c>
      <c r="F769" s="13" t="s">
        <v>65</v>
      </c>
      <c r="G769" s="19">
        <v>0</v>
      </c>
      <c r="H769" s="13" t="s">
        <v>86</v>
      </c>
      <c r="I769" s="13" t="s">
        <v>87</v>
      </c>
      <c r="J769" s="21" t="str">
        <f>_xlfn.XLOOKUP(F769,'04_Account_Mapping'!$A$6:$A$14,'04_Account_Mapping'!$C$6:$C$14,"Unmapped",0)</f>
        <v>Other Net</v>
      </c>
      <c r="K769" s="21" t="str">
        <f>_xlfn.XLOOKUP(F769,'04_Account_Mapping'!$A$6:$A$14,'04_Account_Mapping'!$D$6:$D$14,"Unmapped",0)</f>
        <v>Income</v>
      </c>
    </row>
    <row r="770" spans="1:11">
      <c r="A770" s="16">
        <v>46296</v>
      </c>
      <c r="B770" s="13">
        <v>2026</v>
      </c>
      <c r="C770" s="13">
        <v>10</v>
      </c>
      <c r="D770" s="13" t="s">
        <v>67</v>
      </c>
      <c r="E770" s="13" t="s">
        <v>68</v>
      </c>
      <c r="F770" s="13" t="s">
        <v>66</v>
      </c>
      <c r="G770" s="19">
        <v>-52.282149123368718</v>
      </c>
      <c r="H770" s="13" t="s">
        <v>86</v>
      </c>
      <c r="I770" s="13" t="s">
        <v>87</v>
      </c>
      <c r="J770" s="21" t="str">
        <f>_xlfn.XLOOKUP(F770,'04_Account_Mapping'!$A$6:$A$14,'04_Account_Mapping'!$C$6:$C$14,"Unmapped",0)</f>
        <v>Tax Expense</v>
      </c>
      <c r="K770" s="21" t="str">
        <f>_xlfn.XLOOKUP(F770,'04_Account_Mapping'!$A$6:$A$14,'04_Account_Mapping'!$D$6:$D$14,"Unmapped",0)</f>
        <v>Expense</v>
      </c>
    </row>
    <row r="771" spans="1:11">
      <c r="A771" s="16">
        <v>46296</v>
      </c>
      <c r="B771" s="13">
        <v>2026</v>
      </c>
      <c r="C771" s="13">
        <v>10</v>
      </c>
      <c r="D771" s="13" t="s">
        <v>72</v>
      </c>
      <c r="E771" s="13" t="s">
        <v>68</v>
      </c>
      <c r="F771" s="13" t="s">
        <v>55</v>
      </c>
      <c r="G771" s="19">
        <v>7706.7901463826956</v>
      </c>
      <c r="H771" s="13" t="s">
        <v>86</v>
      </c>
      <c r="I771" s="13" t="s">
        <v>87</v>
      </c>
      <c r="J771" s="21" t="str">
        <f>_xlfn.XLOOKUP(F771,'04_Account_Mapping'!$A$6:$A$14,'04_Account_Mapping'!$C$6:$C$14,"Unmapped",0)</f>
        <v>Revenue</v>
      </c>
      <c r="K771" s="21" t="str">
        <f>_xlfn.XLOOKUP(F771,'04_Account_Mapping'!$A$6:$A$14,'04_Account_Mapping'!$D$6:$D$14,"Unmapped",0)</f>
        <v>Income</v>
      </c>
    </row>
    <row r="772" spans="1:11">
      <c r="A772" s="16">
        <v>46296</v>
      </c>
      <c r="B772" s="13">
        <v>2026</v>
      </c>
      <c r="C772" s="13">
        <v>10</v>
      </c>
      <c r="D772" s="13" t="s">
        <v>72</v>
      </c>
      <c r="E772" s="13" t="s">
        <v>68</v>
      </c>
      <c r="F772" s="13" t="s">
        <v>58</v>
      </c>
      <c r="G772" s="19">
        <v>-6142.6033549428175</v>
      </c>
      <c r="H772" s="13" t="s">
        <v>86</v>
      </c>
      <c r="I772" s="13" t="s">
        <v>87</v>
      </c>
      <c r="J772" s="21" t="str">
        <f>_xlfn.XLOOKUP(F772,'04_Account_Mapping'!$A$6:$A$14,'04_Account_Mapping'!$C$6:$C$14,"Unmapped",0)</f>
        <v>COGS</v>
      </c>
      <c r="K772" s="21" t="str">
        <f>_xlfn.XLOOKUP(F772,'04_Account_Mapping'!$A$6:$A$14,'04_Account_Mapping'!$D$6:$D$14,"Unmapped",0)</f>
        <v>Expense</v>
      </c>
    </row>
    <row r="773" spans="1:11">
      <c r="A773" s="16">
        <v>46296</v>
      </c>
      <c r="B773" s="13">
        <v>2026</v>
      </c>
      <c r="C773" s="13">
        <v>10</v>
      </c>
      <c r="D773" s="13" t="s">
        <v>72</v>
      </c>
      <c r="E773" s="13" t="s">
        <v>68</v>
      </c>
      <c r="F773" s="13" t="s">
        <v>60</v>
      </c>
      <c r="G773" s="19">
        <v>-940.22839785868882</v>
      </c>
      <c r="H773" s="13" t="s">
        <v>86</v>
      </c>
      <c r="I773" s="13" t="s">
        <v>87</v>
      </c>
      <c r="J773" s="21" t="str">
        <f>_xlfn.XLOOKUP(F773,'04_Account_Mapping'!$A$6:$A$14,'04_Account_Mapping'!$C$6:$C$14,"Unmapped",0)</f>
        <v>Selling Expense</v>
      </c>
      <c r="K773" s="21" t="str">
        <f>_xlfn.XLOOKUP(F773,'04_Account_Mapping'!$A$6:$A$14,'04_Account_Mapping'!$D$6:$D$14,"Unmapped",0)</f>
        <v>Expense</v>
      </c>
    </row>
    <row r="774" spans="1:11">
      <c r="A774" s="16">
        <v>46296</v>
      </c>
      <c r="B774" s="13">
        <v>2026</v>
      </c>
      <c r="C774" s="13">
        <v>10</v>
      </c>
      <c r="D774" s="13" t="s">
        <v>72</v>
      </c>
      <c r="E774" s="13" t="s">
        <v>68</v>
      </c>
      <c r="F774" s="13" t="s">
        <v>61</v>
      </c>
      <c r="G774" s="19">
        <v>-223.49691424509817</v>
      </c>
      <c r="H774" s="13" t="s">
        <v>86</v>
      </c>
      <c r="I774" s="13" t="s">
        <v>87</v>
      </c>
      <c r="J774" s="21" t="str">
        <f>_xlfn.XLOOKUP(F774,'04_Account_Mapping'!$A$6:$A$14,'04_Account_Mapping'!$C$6:$C$14,"Unmapped",0)</f>
        <v>G&amp;A</v>
      </c>
      <c r="K774" s="21" t="str">
        <f>_xlfn.XLOOKUP(F774,'04_Account_Mapping'!$A$6:$A$14,'04_Account_Mapping'!$D$6:$D$14,"Unmapped",0)</f>
        <v>Expense</v>
      </c>
    </row>
    <row r="775" spans="1:11">
      <c r="A775" s="16">
        <v>46296</v>
      </c>
      <c r="B775" s="13">
        <v>2026</v>
      </c>
      <c r="C775" s="13">
        <v>10</v>
      </c>
      <c r="D775" s="13" t="s">
        <v>72</v>
      </c>
      <c r="E775" s="13" t="s">
        <v>68</v>
      </c>
      <c r="F775" s="13" t="s">
        <v>62</v>
      </c>
      <c r="G775" s="19">
        <v>154.13580292765391</v>
      </c>
      <c r="H775" s="13" t="s">
        <v>86</v>
      </c>
      <c r="I775" s="13" t="s">
        <v>87</v>
      </c>
      <c r="J775" s="21" t="str">
        <f>_xlfn.XLOOKUP(F775,'04_Account_Mapping'!$A$6:$A$14,'04_Account_Mapping'!$C$6:$C$14,"Unmapped",0)</f>
        <v>Finance Income</v>
      </c>
      <c r="K775" s="21" t="str">
        <f>_xlfn.XLOOKUP(F775,'04_Account_Mapping'!$A$6:$A$14,'04_Account_Mapping'!$D$6:$D$14,"Unmapped",0)</f>
        <v>Income</v>
      </c>
    </row>
    <row r="776" spans="1:11">
      <c r="A776" s="16">
        <v>46296</v>
      </c>
      <c r="B776" s="13">
        <v>2026</v>
      </c>
      <c r="C776" s="13">
        <v>10</v>
      </c>
      <c r="D776" s="13" t="s">
        <v>72</v>
      </c>
      <c r="E776" s="13" t="s">
        <v>68</v>
      </c>
      <c r="F776" s="13" t="s">
        <v>63</v>
      </c>
      <c r="G776" s="19">
        <v>-77.067901463826956</v>
      </c>
      <c r="H776" s="13" t="s">
        <v>86</v>
      </c>
      <c r="I776" s="13" t="s">
        <v>87</v>
      </c>
      <c r="J776" s="21" t="str">
        <f>_xlfn.XLOOKUP(F776,'04_Account_Mapping'!$A$6:$A$14,'04_Account_Mapping'!$C$6:$C$14,"Unmapped",0)</f>
        <v>Finance Expense</v>
      </c>
      <c r="K776" s="21" t="str">
        <f>_xlfn.XLOOKUP(F776,'04_Account_Mapping'!$A$6:$A$14,'04_Account_Mapping'!$D$6:$D$14,"Unmapped",0)</f>
        <v>Expense</v>
      </c>
    </row>
    <row r="777" spans="1:11">
      <c r="A777" s="16">
        <v>46296</v>
      </c>
      <c r="B777" s="13">
        <v>2026</v>
      </c>
      <c r="C777" s="13">
        <v>10</v>
      </c>
      <c r="D777" s="13" t="s">
        <v>72</v>
      </c>
      <c r="E777" s="13" t="s">
        <v>68</v>
      </c>
      <c r="F777" s="13" t="s">
        <v>64</v>
      </c>
      <c r="G777" s="19">
        <v>1.541358029276539</v>
      </c>
      <c r="H777" s="13" t="s">
        <v>86</v>
      </c>
      <c r="I777" s="13" t="s">
        <v>87</v>
      </c>
      <c r="J777" s="21" t="str">
        <f>_xlfn.XLOOKUP(F777,'04_Account_Mapping'!$A$6:$A$14,'04_Account_Mapping'!$C$6:$C$14,"Unmapped",0)</f>
        <v>JV Profit/(Loss)</v>
      </c>
      <c r="K777" s="21" t="str">
        <f>_xlfn.XLOOKUP(F777,'04_Account_Mapping'!$A$6:$A$14,'04_Account_Mapping'!$D$6:$D$14,"Unmapped",0)</f>
        <v>Income</v>
      </c>
    </row>
    <row r="778" spans="1:11">
      <c r="A778" s="16">
        <v>46296</v>
      </c>
      <c r="B778" s="13">
        <v>2026</v>
      </c>
      <c r="C778" s="13">
        <v>10</v>
      </c>
      <c r="D778" s="13" t="s">
        <v>72</v>
      </c>
      <c r="E778" s="13" t="s">
        <v>68</v>
      </c>
      <c r="F778" s="13" t="s">
        <v>65</v>
      </c>
      <c r="G778" s="19">
        <v>0</v>
      </c>
      <c r="H778" s="13" t="s">
        <v>86</v>
      </c>
      <c r="I778" s="13" t="s">
        <v>87</v>
      </c>
      <c r="J778" s="21" t="str">
        <f>_xlfn.XLOOKUP(F778,'04_Account_Mapping'!$A$6:$A$14,'04_Account_Mapping'!$C$6:$C$14,"Unmapped",0)</f>
        <v>Other Net</v>
      </c>
      <c r="K778" s="21" t="str">
        <f>_xlfn.XLOOKUP(F778,'04_Account_Mapping'!$A$6:$A$14,'04_Account_Mapping'!$D$6:$D$14,"Unmapped",0)</f>
        <v>Income</v>
      </c>
    </row>
    <row r="779" spans="1:11">
      <c r="A779" s="16">
        <v>46296</v>
      </c>
      <c r="B779" s="13">
        <v>2026</v>
      </c>
      <c r="C779" s="13">
        <v>10</v>
      </c>
      <c r="D779" s="13" t="s">
        <v>72</v>
      </c>
      <c r="E779" s="13" t="s">
        <v>68</v>
      </c>
      <c r="F779" s="13" t="s">
        <v>66</v>
      </c>
      <c r="G779" s="19">
        <v>-95.814147765838911</v>
      </c>
      <c r="H779" s="13" t="s">
        <v>86</v>
      </c>
      <c r="I779" s="13" t="s">
        <v>87</v>
      </c>
      <c r="J779" s="21" t="str">
        <f>_xlfn.XLOOKUP(F779,'04_Account_Mapping'!$A$6:$A$14,'04_Account_Mapping'!$C$6:$C$14,"Unmapped",0)</f>
        <v>Tax Expense</v>
      </c>
      <c r="K779" s="21" t="str">
        <f>_xlfn.XLOOKUP(F779,'04_Account_Mapping'!$A$6:$A$14,'04_Account_Mapping'!$D$6:$D$14,"Unmapped",0)</f>
        <v>Expense</v>
      </c>
    </row>
    <row r="780" spans="1:11">
      <c r="A780" s="16">
        <v>46296</v>
      </c>
      <c r="B780" s="13">
        <v>2026</v>
      </c>
      <c r="C780" s="13">
        <v>10</v>
      </c>
      <c r="D780" s="13" t="s">
        <v>73</v>
      </c>
      <c r="E780" s="13" t="s">
        <v>74</v>
      </c>
      <c r="F780" s="13" t="s">
        <v>55</v>
      </c>
      <c r="G780" s="19">
        <v>5278.6233879333531</v>
      </c>
      <c r="H780" s="13" t="s">
        <v>86</v>
      </c>
      <c r="I780" s="13" t="s">
        <v>87</v>
      </c>
      <c r="J780" s="21" t="str">
        <f>_xlfn.XLOOKUP(F780,'04_Account_Mapping'!$A$6:$A$14,'04_Account_Mapping'!$C$6:$C$14,"Unmapped",0)</f>
        <v>Revenue</v>
      </c>
      <c r="K780" s="21" t="str">
        <f>_xlfn.XLOOKUP(F780,'04_Account_Mapping'!$A$6:$A$14,'04_Account_Mapping'!$D$6:$D$14,"Unmapped",0)</f>
        <v>Income</v>
      </c>
    </row>
    <row r="781" spans="1:11">
      <c r="A781" s="16">
        <v>46296</v>
      </c>
      <c r="B781" s="13">
        <v>2026</v>
      </c>
      <c r="C781" s="13">
        <v>10</v>
      </c>
      <c r="D781" s="13" t="s">
        <v>73</v>
      </c>
      <c r="E781" s="13" t="s">
        <v>74</v>
      </c>
      <c r="F781" s="13" t="s">
        <v>58</v>
      </c>
      <c r="G781" s="19">
        <v>-4207.2625718786421</v>
      </c>
      <c r="H781" s="13" t="s">
        <v>86</v>
      </c>
      <c r="I781" s="13" t="s">
        <v>87</v>
      </c>
      <c r="J781" s="21" t="str">
        <f>_xlfn.XLOOKUP(F781,'04_Account_Mapping'!$A$6:$A$14,'04_Account_Mapping'!$C$6:$C$14,"Unmapped",0)</f>
        <v>COGS</v>
      </c>
      <c r="K781" s="21" t="str">
        <f>_xlfn.XLOOKUP(F781,'04_Account_Mapping'!$A$6:$A$14,'04_Account_Mapping'!$D$6:$D$14,"Unmapped",0)</f>
        <v>Expense</v>
      </c>
    </row>
    <row r="782" spans="1:11">
      <c r="A782" s="16">
        <v>46296</v>
      </c>
      <c r="B782" s="13">
        <v>2026</v>
      </c>
      <c r="C782" s="13">
        <v>10</v>
      </c>
      <c r="D782" s="13" t="s">
        <v>73</v>
      </c>
      <c r="E782" s="13" t="s">
        <v>74</v>
      </c>
      <c r="F782" s="13" t="s">
        <v>60</v>
      </c>
      <c r="G782" s="19">
        <v>-643.99205332786903</v>
      </c>
      <c r="H782" s="13" t="s">
        <v>86</v>
      </c>
      <c r="I782" s="13" t="s">
        <v>87</v>
      </c>
      <c r="J782" s="21" t="str">
        <f>_xlfn.XLOOKUP(F782,'04_Account_Mapping'!$A$6:$A$14,'04_Account_Mapping'!$C$6:$C$14,"Unmapped",0)</f>
        <v>Selling Expense</v>
      </c>
      <c r="K782" s="21" t="str">
        <f>_xlfn.XLOOKUP(F782,'04_Account_Mapping'!$A$6:$A$14,'04_Account_Mapping'!$D$6:$D$14,"Unmapped",0)</f>
        <v>Expense</v>
      </c>
    </row>
    <row r="783" spans="1:11">
      <c r="A783" s="16">
        <v>46296</v>
      </c>
      <c r="B783" s="13">
        <v>2026</v>
      </c>
      <c r="C783" s="13">
        <v>10</v>
      </c>
      <c r="D783" s="13" t="s">
        <v>73</v>
      </c>
      <c r="E783" s="13" t="s">
        <v>74</v>
      </c>
      <c r="F783" s="13" t="s">
        <v>61</v>
      </c>
      <c r="G783" s="19">
        <v>-153.08007825006723</v>
      </c>
      <c r="H783" s="13" t="s">
        <v>86</v>
      </c>
      <c r="I783" s="13" t="s">
        <v>87</v>
      </c>
      <c r="J783" s="21" t="str">
        <f>_xlfn.XLOOKUP(F783,'04_Account_Mapping'!$A$6:$A$14,'04_Account_Mapping'!$C$6:$C$14,"Unmapped",0)</f>
        <v>G&amp;A</v>
      </c>
      <c r="K783" s="21" t="str">
        <f>_xlfn.XLOOKUP(F783,'04_Account_Mapping'!$A$6:$A$14,'04_Account_Mapping'!$D$6:$D$14,"Unmapped",0)</f>
        <v>Expense</v>
      </c>
    </row>
    <row r="784" spans="1:11">
      <c r="A784" s="16">
        <v>46296</v>
      </c>
      <c r="B784" s="13">
        <v>2026</v>
      </c>
      <c r="C784" s="13">
        <v>10</v>
      </c>
      <c r="D784" s="13" t="s">
        <v>73</v>
      </c>
      <c r="E784" s="13" t="s">
        <v>74</v>
      </c>
      <c r="F784" s="13" t="s">
        <v>62</v>
      </c>
      <c r="G784" s="19">
        <v>105.57246775866706</v>
      </c>
      <c r="H784" s="13" t="s">
        <v>86</v>
      </c>
      <c r="I784" s="13" t="s">
        <v>87</v>
      </c>
      <c r="J784" s="21" t="str">
        <f>_xlfn.XLOOKUP(F784,'04_Account_Mapping'!$A$6:$A$14,'04_Account_Mapping'!$C$6:$C$14,"Unmapped",0)</f>
        <v>Finance Income</v>
      </c>
      <c r="K784" s="21" t="str">
        <f>_xlfn.XLOOKUP(F784,'04_Account_Mapping'!$A$6:$A$14,'04_Account_Mapping'!$D$6:$D$14,"Unmapped",0)</f>
        <v>Income</v>
      </c>
    </row>
    <row r="785" spans="1:11">
      <c r="A785" s="16">
        <v>46296</v>
      </c>
      <c r="B785" s="13">
        <v>2026</v>
      </c>
      <c r="C785" s="13">
        <v>10</v>
      </c>
      <c r="D785" s="13" t="s">
        <v>73</v>
      </c>
      <c r="E785" s="13" t="s">
        <v>74</v>
      </c>
      <c r="F785" s="13" t="s">
        <v>63</v>
      </c>
      <c r="G785" s="19">
        <v>-52.78623387933353</v>
      </c>
      <c r="H785" s="13" t="s">
        <v>86</v>
      </c>
      <c r="I785" s="13" t="s">
        <v>87</v>
      </c>
      <c r="J785" s="21" t="str">
        <f>_xlfn.XLOOKUP(F785,'04_Account_Mapping'!$A$6:$A$14,'04_Account_Mapping'!$C$6:$C$14,"Unmapped",0)</f>
        <v>Finance Expense</v>
      </c>
      <c r="K785" s="21" t="str">
        <f>_xlfn.XLOOKUP(F785,'04_Account_Mapping'!$A$6:$A$14,'04_Account_Mapping'!$D$6:$D$14,"Unmapped",0)</f>
        <v>Expense</v>
      </c>
    </row>
    <row r="786" spans="1:11">
      <c r="A786" s="16">
        <v>46296</v>
      </c>
      <c r="B786" s="13">
        <v>2026</v>
      </c>
      <c r="C786" s="13">
        <v>10</v>
      </c>
      <c r="D786" s="13" t="s">
        <v>73</v>
      </c>
      <c r="E786" s="13" t="s">
        <v>74</v>
      </c>
      <c r="F786" s="13" t="s">
        <v>64</v>
      </c>
      <c r="G786" s="19">
        <v>1.0557246775866704</v>
      </c>
      <c r="H786" s="13" t="s">
        <v>86</v>
      </c>
      <c r="I786" s="13" t="s">
        <v>87</v>
      </c>
      <c r="J786" s="21" t="str">
        <f>_xlfn.XLOOKUP(F786,'04_Account_Mapping'!$A$6:$A$14,'04_Account_Mapping'!$C$6:$C$14,"Unmapped",0)</f>
        <v>JV Profit/(Loss)</v>
      </c>
      <c r="K786" s="21" t="str">
        <f>_xlfn.XLOOKUP(F786,'04_Account_Mapping'!$A$6:$A$14,'04_Account_Mapping'!$D$6:$D$14,"Unmapped",0)</f>
        <v>Income</v>
      </c>
    </row>
    <row r="787" spans="1:11">
      <c r="A787" s="16">
        <v>46296</v>
      </c>
      <c r="B787" s="13">
        <v>2026</v>
      </c>
      <c r="C787" s="13">
        <v>10</v>
      </c>
      <c r="D787" s="13" t="s">
        <v>73</v>
      </c>
      <c r="E787" s="13" t="s">
        <v>74</v>
      </c>
      <c r="F787" s="13" t="s">
        <v>65</v>
      </c>
      <c r="G787" s="19">
        <v>0</v>
      </c>
      <c r="H787" s="13" t="s">
        <v>86</v>
      </c>
      <c r="I787" s="13" t="s">
        <v>87</v>
      </c>
      <c r="J787" s="21" t="str">
        <f>_xlfn.XLOOKUP(F787,'04_Account_Mapping'!$A$6:$A$14,'04_Account_Mapping'!$C$6:$C$14,"Unmapped",0)</f>
        <v>Other Net</v>
      </c>
      <c r="K787" s="21" t="str">
        <f>_xlfn.XLOOKUP(F787,'04_Account_Mapping'!$A$6:$A$14,'04_Account_Mapping'!$D$6:$D$14,"Unmapped",0)</f>
        <v>Income</v>
      </c>
    </row>
    <row r="788" spans="1:11">
      <c r="A788" s="16">
        <v>46296</v>
      </c>
      <c r="B788" s="13">
        <v>2026</v>
      </c>
      <c r="C788" s="13">
        <v>10</v>
      </c>
      <c r="D788" s="13" t="s">
        <v>73</v>
      </c>
      <c r="E788" s="13" t="s">
        <v>74</v>
      </c>
      <c r="F788" s="13" t="s">
        <v>66</v>
      </c>
      <c r="G788" s="19">
        <v>-65.626128606738973</v>
      </c>
      <c r="H788" s="13" t="s">
        <v>86</v>
      </c>
      <c r="I788" s="13" t="s">
        <v>87</v>
      </c>
      <c r="J788" s="21" t="str">
        <f>_xlfn.XLOOKUP(F788,'04_Account_Mapping'!$A$6:$A$14,'04_Account_Mapping'!$C$6:$C$14,"Unmapped",0)</f>
        <v>Tax Expense</v>
      </c>
      <c r="K788" s="21" t="str">
        <f>_xlfn.XLOOKUP(F788,'04_Account_Mapping'!$A$6:$A$14,'04_Account_Mapping'!$D$6:$D$14,"Unmapped",0)</f>
        <v>Expense</v>
      </c>
    </row>
    <row r="789" spans="1:11">
      <c r="A789" s="16">
        <v>46296</v>
      </c>
      <c r="B789" s="13">
        <v>2026</v>
      </c>
      <c r="C789" s="13">
        <v>10</v>
      </c>
      <c r="D789" s="13" t="s">
        <v>75</v>
      </c>
      <c r="E789" s="13" t="s">
        <v>76</v>
      </c>
      <c r="F789" s="13" t="s">
        <v>55</v>
      </c>
      <c r="G789" s="19">
        <v>404.69445974155707</v>
      </c>
      <c r="H789" s="13" t="s">
        <v>86</v>
      </c>
      <c r="I789" s="13" t="s">
        <v>87</v>
      </c>
      <c r="J789" s="21" t="str">
        <f>_xlfn.XLOOKUP(F789,'04_Account_Mapping'!$A$6:$A$14,'04_Account_Mapping'!$C$6:$C$14,"Unmapped",0)</f>
        <v>Revenue</v>
      </c>
      <c r="K789" s="21" t="str">
        <f>_xlfn.XLOOKUP(F789,'04_Account_Mapping'!$A$6:$A$14,'04_Account_Mapping'!$D$6:$D$14,"Unmapped",0)</f>
        <v>Income</v>
      </c>
    </row>
    <row r="790" spans="1:11">
      <c r="A790" s="16">
        <v>46296</v>
      </c>
      <c r="B790" s="13">
        <v>2026</v>
      </c>
      <c r="C790" s="13">
        <v>10</v>
      </c>
      <c r="D790" s="13" t="s">
        <v>75</v>
      </c>
      <c r="E790" s="13" t="s">
        <v>76</v>
      </c>
      <c r="F790" s="13" t="s">
        <v>58</v>
      </c>
      <c r="G790" s="19">
        <v>-322.55679717736257</v>
      </c>
      <c r="H790" s="13" t="s">
        <v>86</v>
      </c>
      <c r="I790" s="13" t="s">
        <v>87</v>
      </c>
      <c r="J790" s="21" t="str">
        <f>_xlfn.XLOOKUP(F790,'04_Account_Mapping'!$A$6:$A$14,'04_Account_Mapping'!$C$6:$C$14,"Unmapped",0)</f>
        <v>COGS</v>
      </c>
      <c r="K790" s="21" t="str">
        <f>_xlfn.XLOOKUP(F790,'04_Account_Mapping'!$A$6:$A$14,'04_Account_Mapping'!$D$6:$D$14,"Unmapped",0)</f>
        <v>Expense</v>
      </c>
    </row>
    <row r="791" spans="1:11">
      <c r="A791" s="16">
        <v>46296</v>
      </c>
      <c r="B791" s="13">
        <v>2026</v>
      </c>
      <c r="C791" s="13">
        <v>10</v>
      </c>
      <c r="D791" s="13" t="s">
        <v>75</v>
      </c>
      <c r="E791" s="13" t="s">
        <v>76</v>
      </c>
      <c r="F791" s="13" t="s">
        <v>60</v>
      </c>
      <c r="G791" s="19">
        <v>-49.372724088469958</v>
      </c>
      <c r="H791" s="13" t="s">
        <v>86</v>
      </c>
      <c r="I791" s="13" t="s">
        <v>87</v>
      </c>
      <c r="J791" s="21" t="str">
        <f>_xlfn.XLOOKUP(F791,'04_Account_Mapping'!$A$6:$A$14,'04_Account_Mapping'!$C$6:$C$14,"Unmapped",0)</f>
        <v>Selling Expense</v>
      </c>
      <c r="K791" s="21" t="str">
        <f>_xlfn.XLOOKUP(F791,'04_Account_Mapping'!$A$6:$A$14,'04_Account_Mapping'!$D$6:$D$14,"Unmapped",0)</f>
        <v>Expense</v>
      </c>
    </row>
    <row r="792" spans="1:11">
      <c r="A792" s="16">
        <v>46296</v>
      </c>
      <c r="B792" s="13">
        <v>2026</v>
      </c>
      <c r="C792" s="13">
        <v>10</v>
      </c>
      <c r="D792" s="13" t="s">
        <v>75</v>
      </c>
      <c r="E792" s="13" t="s">
        <v>76</v>
      </c>
      <c r="F792" s="13" t="s">
        <v>61</v>
      </c>
      <c r="G792" s="19">
        <v>-11.736139332505156</v>
      </c>
      <c r="H792" s="13" t="s">
        <v>86</v>
      </c>
      <c r="I792" s="13" t="s">
        <v>87</v>
      </c>
      <c r="J792" s="21" t="str">
        <f>_xlfn.XLOOKUP(F792,'04_Account_Mapping'!$A$6:$A$14,'04_Account_Mapping'!$C$6:$C$14,"Unmapped",0)</f>
        <v>G&amp;A</v>
      </c>
      <c r="K792" s="21" t="str">
        <f>_xlfn.XLOOKUP(F792,'04_Account_Mapping'!$A$6:$A$14,'04_Account_Mapping'!$D$6:$D$14,"Unmapped",0)</f>
        <v>Expense</v>
      </c>
    </row>
    <row r="793" spans="1:11">
      <c r="A793" s="16">
        <v>46296</v>
      </c>
      <c r="B793" s="13">
        <v>2026</v>
      </c>
      <c r="C793" s="13">
        <v>10</v>
      </c>
      <c r="D793" s="13" t="s">
        <v>75</v>
      </c>
      <c r="E793" s="13" t="s">
        <v>76</v>
      </c>
      <c r="F793" s="13" t="s">
        <v>62</v>
      </c>
      <c r="G793" s="19">
        <v>8.0938891948311404</v>
      </c>
      <c r="H793" s="13" t="s">
        <v>86</v>
      </c>
      <c r="I793" s="13" t="s">
        <v>87</v>
      </c>
      <c r="J793" s="21" t="str">
        <f>_xlfn.XLOOKUP(F793,'04_Account_Mapping'!$A$6:$A$14,'04_Account_Mapping'!$C$6:$C$14,"Unmapped",0)</f>
        <v>Finance Income</v>
      </c>
      <c r="K793" s="21" t="str">
        <f>_xlfn.XLOOKUP(F793,'04_Account_Mapping'!$A$6:$A$14,'04_Account_Mapping'!$D$6:$D$14,"Unmapped",0)</f>
        <v>Income</v>
      </c>
    </row>
    <row r="794" spans="1:11">
      <c r="A794" s="16">
        <v>46296</v>
      </c>
      <c r="B794" s="13">
        <v>2026</v>
      </c>
      <c r="C794" s="13">
        <v>10</v>
      </c>
      <c r="D794" s="13" t="s">
        <v>75</v>
      </c>
      <c r="E794" s="13" t="s">
        <v>76</v>
      </c>
      <c r="F794" s="13" t="s">
        <v>63</v>
      </c>
      <c r="G794" s="19">
        <v>-4.0469445974155702</v>
      </c>
      <c r="H794" s="13" t="s">
        <v>86</v>
      </c>
      <c r="I794" s="13" t="s">
        <v>87</v>
      </c>
      <c r="J794" s="21" t="str">
        <f>_xlfn.XLOOKUP(F794,'04_Account_Mapping'!$A$6:$A$14,'04_Account_Mapping'!$C$6:$C$14,"Unmapped",0)</f>
        <v>Finance Expense</v>
      </c>
      <c r="K794" s="21" t="str">
        <f>_xlfn.XLOOKUP(F794,'04_Account_Mapping'!$A$6:$A$14,'04_Account_Mapping'!$D$6:$D$14,"Unmapped",0)</f>
        <v>Expense</v>
      </c>
    </row>
    <row r="795" spans="1:11">
      <c r="A795" s="16">
        <v>46296</v>
      </c>
      <c r="B795" s="13">
        <v>2026</v>
      </c>
      <c r="C795" s="13">
        <v>10</v>
      </c>
      <c r="D795" s="13" t="s">
        <v>75</v>
      </c>
      <c r="E795" s="13" t="s">
        <v>76</v>
      </c>
      <c r="F795" s="13" t="s">
        <v>64</v>
      </c>
      <c r="G795" s="19">
        <v>8.0938891948311414E-2</v>
      </c>
      <c r="H795" s="13" t="s">
        <v>86</v>
      </c>
      <c r="I795" s="13" t="s">
        <v>87</v>
      </c>
      <c r="J795" s="21" t="str">
        <f>_xlfn.XLOOKUP(F795,'04_Account_Mapping'!$A$6:$A$14,'04_Account_Mapping'!$C$6:$C$14,"Unmapped",0)</f>
        <v>JV Profit/(Loss)</v>
      </c>
      <c r="K795" s="21" t="str">
        <f>_xlfn.XLOOKUP(F795,'04_Account_Mapping'!$A$6:$A$14,'04_Account_Mapping'!$D$6:$D$14,"Unmapped",0)</f>
        <v>Income</v>
      </c>
    </row>
    <row r="796" spans="1:11">
      <c r="A796" s="16">
        <v>46296</v>
      </c>
      <c r="B796" s="13">
        <v>2026</v>
      </c>
      <c r="C796" s="13">
        <v>10</v>
      </c>
      <c r="D796" s="13" t="s">
        <v>75</v>
      </c>
      <c r="E796" s="13" t="s">
        <v>76</v>
      </c>
      <c r="F796" s="13" t="s">
        <v>65</v>
      </c>
      <c r="G796" s="19">
        <v>0</v>
      </c>
      <c r="H796" s="13" t="s">
        <v>86</v>
      </c>
      <c r="I796" s="13" t="s">
        <v>87</v>
      </c>
      <c r="J796" s="21" t="str">
        <f>_xlfn.XLOOKUP(F796,'04_Account_Mapping'!$A$6:$A$14,'04_Account_Mapping'!$C$6:$C$14,"Unmapped",0)</f>
        <v>Other Net</v>
      </c>
      <c r="K796" s="21" t="str">
        <f>_xlfn.XLOOKUP(F796,'04_Account_Mapping'!$A$6:$A$14,'04_Account_Mapping'!$D$6:$D$14,"Unmapped",0)</f>
        <v>Income</v>
      </c>
    </row>
    <row r="797" spans="1:11">
      <c r="A797" s="16">
        <v>46296</v>
      </c>
      <c r="B797" s="13">
        <v>2026</v>
      </c>
      <c r="C797" s="13">
        <v>10</v>
      </c>
      <c r="D797" s="13" t="s">
        <v>75</v>
      </c>
      <c r="E797" s="13" t="s">
        <v>76</v>
      </c>
      <c r="F797" s="13" t="s">
        <v>66</v>
      </c>
      <c r="G797" s="19">
        <v>-5.0313365265166556</v>
      </c>
      <c r="H797" s="13" t="s">
        <v>86</v>
      </c>
      <c r="I797" s="13" t="s">
        <v>87</v>
      </c>
      <c r="J797" s="21" t="str">
        <f>_xlfn.XLOOKUP(F797,'04_Account_Mapping'!$A$6:$A$14,'04_Account_Mapping'!$C$6:$C$14,"Unmapped",0)</f>
        <v>Tax Expense</v>
      </c>
      <c r="K797" s="21" t="str">
        <f>_xlfn.XLOOKUP(F797,'04_Account_Mapping'!$A$6:$A$14,'04_Account_Mapping'!$D$6:$D$14,"Unmapped",0)</f>
        <v>Expense</v>
      </c>
    </row>
    <row r="798" spans="1:11">
      <c r="A798" s="16">
        <v>46327</v>
      </c>
      <c r="B798" s="13">
        <v>2026</v>
      </c>
      <c r="C798" s="13">
        <v>11</v>
      </c>
      <c r="D798" s="13" t="s">
        <v>67</v>
      </c>
      <c r="E798" s="13" t="s">
        <v>68</v>
      </c>
      <c r="F798" s="13" t="s">
        <v>55</v>
      </c>
      <c r="G798" s="19">
        <v>3967.4756028841102</v>
      </c>
      <c r="H798" s="13" t="s">
        <v>86</v>
      </c>
      <c r="I798" s="13" t="s">
        <v>87</v>
      </c>
      <c r="J798" s="21" t="str">
        <f>_xlfn.XLOOKUP(F798,'04_Account_Mapping'!$A$6:$A$14,'04_Account_Mapping'!$C$6:$C$14,"Unmapped",0)</f>
        <v>Revenue</v>
      </c>
      <c r="K798" s="21" t="str">
        <f>_xlfn.XLOOKUP(F798,'04_Account_Mapping'!$A$6:$A$14,'04_Account_Mapping'!$D$6:$D$14,"Unmapped",0)</f>
        <v>Income</v>
      </c>
    </row>
    <row r="799" spans="1:11">
      <c r="A799" s="16">
        <v>46327</v>
      </c>
      <c r="B799" s="13">
        <v>2026</v>
      </c>
      <c r="C799" s="13">
        <v>11</v>
      </c>
      <c r="D799" s="13" t="s">
        <v>67</v>
      </c>
      <c r="E799" s="13" t="s">
        <v>68</v>
      </c>
      <c r="F799" s="13" t="s">
        <v>58</v>
      </c>
      <c r="G799" s="19">
        <v>-3162.2281761971235</v>
      </c>
      <c r="H799" s="13" t="s">
        <v>86</v>
      </c>
      <c r="I799" s="13" t="s">
        <v>87</v>
      </c>
      <c r="J799" s="21" t="str">
        <f>_xlfn.XLOOKUP(F799,'04_Account_Mapping'!$A$6:$A$14,'04_Account_Mapping'!$C$6:$C$14,"Unmapped",0)</f>
        <v>COGS</v>
      </c>
      <c r="K799" s="21" t="str">
        <f>_xlfn.XLOOKUP(F799,'04_Account_Mapping'!$A$6:$A$14,'04_Account_Mapping'!$D$6:$D$14,"Unmapped",0)</f>
        <v>Expense</v>
      </c>
    </row>
    <row r="800" spans="1:11">
      <c r="A800" s="16">
        <v>46327</v>
      </c>
      <c r="B800" s="13">
        <v>2026</v>
      </c>
      <c r="C800" s="13">
        <v>11</v>
      </c>
      <c r="D800" s="13" t="s">
        <v>67</v>
      </c>
      <c r="E800" s="13" t="s">
        <v>68</v>
      </c>
      <c r="F800" s="13" t="s">
        <v>60</v>
      </c>
      <c r="G800" s="19">
        <v>-484.03202355186147</v>
      </c>
      <c r="H800" s="13" t="s">
        <v>86</v>
      </c>
      <c r="I800" s="13" t="s">
        <v>87</v>
      </c>
      <c r="J800" s="21" t="str">
        <f>_xlfn.XLOOKUP(F800,'04_Account_Mapping'!$A$6:$A$14,'04_Account_Mapping'!$C$6:$C$14,"Unmapped",0)</f>
        <v>Selling Expense</v>
      </c>
      <c r="K800" s="21" t="str">
        <f>_xlfn.XLOOKUP(F800,'04_Account_Mapping'!$A$6:$A$14,'04_Account_Mapping'!$D$6:$D$14,"Unmapped",0)</f>
        <v>Expense</v>
      </c>
    </row>
    <row r="801" spans="1:11">
      <c r="A801" s="16">
        <v>46327</v>
      </c>
      <c r="B801" s="13">
        <v>2026</v>
      </c>
      <c r="C801" s="13">
        <v>11</v>
      </c>
      <c r="D801" s="13" t="s">
        <v>67</v>
      </c>
      <c r="E801" s="13" t="s">
        <v>68</v>
      </c>
      <c r="F801" s="13" t="s">
        <v>61</v>
      </c>
      <c r="G801" s="19">
        <v>-115.0567924836392</v>
      </c>
      <c r="H801" s="13" t="s">
        <v>86</v>
      </c>
      <c r="I801" s="13" t="s">
        <v>87</v>
      </c>
      <c r="J801" s="21" t="str">
        <f>_xlfn.XLOOKUP(F801,'04_Account_Mapping'!$A$6:$A$14,'04_Account_Mapping'!$C$6:$C$14,"Unmapped",0)</f>
        <v>G&amp;A</v>
      </c>
      <c r="K801" s="21" t="str">
        <f>_xlfn.XLOOKUP(F801,'04_Account_Mapping'!$A$6:$A$14,'04_Account_Mapping'!$D$6:$D$14,"Unmapped",0)</f>
        <v>Expense</v>
      </c>
    </row>
    <row r="802" spans="1:11">
      <c r="A802" s="16">
        <v>46327</v>
      </c>
      <c r="B802" s="13">
        <v>2026</v>
      </c>
      <c r="C802" s="13">
        <v>11</v>
      </c>
      <c r="D802" s="13" t="s">
        <v>67</v>
      </c>
      <c r="E802" s="13" t="s">
        <v>68</v>
      </c>
      <c r="F802" s="13" t="s">
        <v>62</v>
      </c>
      <c r="G802" s="19">
        <v>79.349512057682205</v>
      </c>
      <c r="H802" s="13" t="s">
        <v>86</v>
      </c>
      <c r="I802" s="13" t="s">
        <v>87</v>
      </c>
      <c r="J802" s="21" t="str">
        <f>_xlfn.XLOOKUP(F802,'04_Account_Mapping'!$A$6:$A$14,'04_Account_Mapping'!$C$6:$C$14,"Unmapped",0)</f>
        <v>Finance Income</v>
      </c>
      <c r="K802" s="21" t="str">
        <f>_xlfn.XLOOKUP(F802,'04_Account_Mapping'!$A$6:$A$14,'04_Account_Mapping'!$D$6:$D$14,"Unmapped",0)</f>
        <v>Income</v>
      </c>
    </row>
    <row r="803" spans="1:11">
      <c r="A803" s="16">
        <v>46327</v>
      </c>
      <c r="B803" s="13">
        <v>2026</v>
      </c>
      <c r="C803" s="13">
        <v>11</v>
      </c>
      <c r="D803" s="13" t="s">
        <v>67</v>
      </c>
      <c r="E803" s="13" t="s">
        <v>68</v>
      </c>
      <c r="F803" s="13" t="s">
        <v>63</v>
      </c>
      <c r="G803" s="19">
        <v>-39.674756028841102</v>
      </c>
      <c r="H803" s="13" t="s">
        <v>86</v>
      </c>
      <c r="I803" s="13" t="s">
        <v>87</v>
      </c>
      <c r="J803" s="21" t="str">
        <f>_xlfn.XLOOKUP(F803,'04_Account_Mapping'!$A$6:$A$14,'04_Account_Mapping'!$C$6:$C$14,"Unmapped",0)</f>
        <v>Finance Expense</v>
      </c>
      <c r="K803" s="21" t="str">
        <f>_xlfn.XLOOKUP(F803,'04_Account_Mapping'!$A$6:$A$14,'04_Account_Mapping'!$D$6:$D$14,"Unmapped",0)</f>
        <v>Expense</v>
      </c>
    </row>
    <row r="804" spans="1:11">
      <c r="A804" s="16">
        <v>46327</v>
      </c>
      <c r="B804" s="13">
        <v>2026</v>
      </c>
      <c r="C804" s="13">
        <v>11</v>
      </c>
      <c r="D804" s="13" t="s">
        <v>67</v>
      </c>
      <c r="E804" s="13" t="s">
        <v>68</v>
      </c>
      <c r="F804" s="13" t="s">
        <v>64</v>
      </c>
      <c r="G804" s="19">
        <v>0.79349512057682203</v>
      </c>
      <c r="H804" s="13" t="s">
        <v>86</v>
      </c>
      <c r="I804" s="13" t="s">
        <v>87</v>
      </c>
      <c r="J804" s="21" t="str">
        <f>_xlfn.XLOOKUP(F804,'04_Account_Mapping'!$A$6:$A$14,'04_Account_Mapping'!$C$6:$C$14,"Unmapped",0)</f>
        <v>JV Profit/(Loss)</v>
      </c>
      <c r="K804" s="21" t="str">
        <f>_xlfn.XLOOKUP(F804,'04_Account_Mapping'!$A$6:$A$14,'04_Account_Mapping'!$D$6:$D$14,"Unmapped",0)</f>
        <v>Income</v>
      </c>
    </row>
    <row r="805" spans="1:11">
      <c r="A805" s="16">
        <v>46327</v>
      </c>
      <c r="B805" s="13">
        <v>2026</v>
      </c>
      <c r="C805" s="13">
        <v>11</v>
      </c>
      <c r="D805" s="13" t="s">
        <v>67</v>
      </c>
      <c r="E805" s="13" t="s">
        <v>68</v>
      </c>
      <c r="F805" s="13" t="s">
        <v>65</v>
      </c>
      <c r="G805" s="19">
        <v>0</v>
      </c>
      <c r="H805" s="13" t="s">
        <v>86</v>
      </c>
      <c r="I805" s="13" t="s">
        <v>87</v>
      </c>
      <c r="J805" s="21" t="str">
        <f>_xlfn.XLOOKUP(F805,'04_Account_Mapping'!$A$6:$A$14,'04_Account_Mapping'!$C$6:$C$14,"Unmapped",0)</f>
        <v>Other Net</v>
      </c>
      <c r="K805" s="21" t="str">
        <f>_xlfn.XLOOKUP(F805,'04_Account_Mapping'!$A$6:$A$14,'04_Account_Mapping'!$D$6:$D$14,"Unmapped",0)</f>
        <v>Income</v>
      </c>
    </row>
    <row r="806" spans="1:11">
      <c r="A806" s="16">
        <v>46327</v>
      </c>
      <c r="B806" s="13">
        <v>2026</v>
      </c>
      <c r="C806" s="13">
        <v>11</v>
      </c>
      <c r="D806" s="13" t="s">
        <v>67</v>
      </c>
      <c r="E806" s="13" t="s">
        <v>68</v>
      </c>
      <c r="F806" s="13" t="s">
        <v>66</v>
      </c>
      <c r="G806" s="19">
        <v>-49.325372360180829</v>
      </c>
      <c r="H806" s="13" t="s">
        <v>86</v>
      </c>
      <c r="I806" s="13" t="s">
        <v>87</v>
      </c>
      <c r="J806" s="21" t="str">
        <f>_xlfn.XLOOKUP(F806,'04_Account_Mapping'!$A$6:$A$14,'04_Account_Mapping'!$C$6:$C$14,"Unmapped",0)</f>
        <v>Tax Expense</v>
      </c>
      <c r="K806" s="21" t="str">
        <f>_xlfn.XLOOKUP(F806,'04_Account_Mapping'!$A$6:$A$14,'04_Account_Mapping'!$D$6:$D$14,"Unmapped",0)</f>
        <v>Expense</v>
      </c>
    </row>
    <row r="807" spans="1:11">
      <c r="A807" s="16">
        <v>46327</v>
      </c>
      <c r="B807" s="13">
        <v>2026</v>
      </c>
      <c r="C807" s="13">
        <v>11</v>
      </c>
      <c r="D807" s="13" t="s">
        <v>72</v>
      </c>
      <c r="E807" s="13" t="s">
        <v>68</v>
      </c>
      <c r="F807" s="13" t="s">
        <v>55</v>
      </c>
      <c r="G807" s="19">
        <v>7270.9385525658599</v>
      </c>
      <c r="H807" s="13" t="s">
        <v>86</v>
      </c>
      <c r="I807" s="13" t="s">
        <v>87</v>
      </c>
      <c r="J807" s="21" t="str">
        <f>_xlfn.XLOOKUP(F807,'04_Account_Mapping'!$A$6:$A$14,'04_Account_Mapping'!$C$6:$C$14,"Unmapped",0)</f>
        <v>Revenue</v>
      </c>
      <c r="K807" s="21" t="str">
        <f>_xlfn.XLOOKUP(F807,'04_Account_Mapping'!$A$6:$A$14,'04_Account_Mapping'!$D$6:$D$14,"Unmapped",0)</f>
        <v>Income</v>
      </c>
    </row>
    <row r="808" spans="1:11">
      <c r="A808" s="16">
        <v>46327</v>
      </c>
      <c r="B808" s="13">
        <v>2026</v>
      </c>
      <c r="C808" s="13">
        <v>11</v>
      </c>
      <c r="D808" s="13" t="s">
        <v>72</v>
      </c>
      <c r="E808" s="13" t="s">
        <v>68</v>
      </c>
      <c r="F808" s="13" t="s">
        <v>58</v>
      </c>
      <c r="G808" s="19">
        <v>-5795.2131429888714</v>
      </c>
      <c r="H808" s="13" t="s">
        <v>86</v>
      </c>
      <c r="I808" s="13" t="s">
        <v>87</v>
      </c>
      <c r="J808" s="21" t="str">
        <f>_xlfn.XLOOKUP(F808,'04_Account_Mapping'!$A$6:$A$14,'04_Account_Mapping'!$C$6:$C$14,"Unmapped",0)</f>
        <v>COGS</v>
      </c>
      <c r="K808" s="21" t="str">
        <f>_xlfn.XLOOKUP(F808,'04_Account_Mapping'!$A$6:$A$14,'04_Account_Mapping'!$D$6:$D$14,"Unmapped",0)</f>
        <v>Expense</v>
      </c>
    </row>
    <row r="809" spans="1:11">
      <c r="A809" s="16">
        <v>46327</v>
      </c>
      <c r="B809" s="13">
        <v>2026</v>
      </c>
      <c r="C809" s="13">
        <v>11</v>
      </c>
      <c r="D809" s="13" t="s">
        <v>72</v>
      </c>
      <c r="E809" s="13" t="s">
        <v>68</v>
      </c>
      <c r="F809" s="13" t="s">
        <v>60</v>
      </c>
      <c r="G809" s="19">
        <v>-887.05450341303492</v>
      </c>
      <c r="H809" s="13" t="s">
        <v>86</v>
      </c>
      <c r="I809" s="13" t="s">
        <v>87</v>
      </c>
      <c r="J809" s="21" t="str">
        <f>_xlfn.XLOOKUP(F809,'04_Account_Mapping'!$A$6:$A$14,'04_Account_Mapping'!$C$6:$C$14,"Unmapped",0)</f>
        <v>Selling Expense</v>
      </c>
      <c r="K809" s="21" t="str">
        <f>_xlfn.XLOOKUP(F809,'04_Account_Mapping'!$A$6:$A$14,'04_Account_Mapping'!$D$6:$D$14,"Unmapped",0)</f>
        <v>Expense</v>
      </c>
    </row>
    <row r="810" spans="1:11">
      <c r="A810" s="16">
        <v>46327</v>
      </c>
      <c r="B810" s="13">
        <v>2026</v>
      </c>
      <c r="C810" s="13">
        <v>11</v>
      </c>
      <c r="D810" s="13" t="s">
        <v>72</v>
      </c>
      <c r="E810" s="13" t="s">
        <v>68</v>
      </c>
      <c r="F810" s="13" t="s">
        <v>61</v>
      </c>
      <c r="G810" s="19">
        <v>-210.85721802440995</v>
      </c>
      <c r="H810" s="13" t="s">
        <v>86</v>
      </c>
      <c r="I810" s="13" t="s">
        <v>87</v>
      </c>
      <c r="J810" s="21" t="str">
        <f>_xlfn.XLOOKUP(F810,'04_Account_Mapping'!$A$6:$A$14,'04_Account_Mapping'!$C$6:$C$14,"Unmapped",0)</f>
        <v>G&amp;A</v>
      </c>
      <c r="K810" s="21" t="str">
        <f>_xlfn.XLOOKUP(F810,'04_Account_Mapping'!$A$6:$A$14,'04_Account_Mapping'!$D$6:$D$14,"Unmapped",0)</f>
        <v>Expense</v>
      </c>
    </row>
    <row r="811" spans="1:11">
      <c r="A811" s="16">
        <v>46327</v>
      </c>
      <c r="B811" s="13">
        <v>2026</v>
      </c>
      <c r="C811" s="13">
        <v>11</v>
      </c>
      <c r="D811" s="13" t="s">
        <v>72</v>
      </c>
      <c r="E811" s="13" t="s">
        <v>68</v>
      </c>
      <c r="F811" s="13" t="s">
        <v>62</v>
      </c>
      <c r="G811" s="19">
        <v>145.41877105131721</v>
      </c>
      <c r="H811" s="13" t="s">
        <v>86</v>
      </c>
      <c r="I811" s="13" t="s">
        <v>87</v>
      </c>
      <c r="J811" s="21" t="str">
        <f>_xlfn.XLOOKUP(F811,'04_Account_Mapping'!$A$6:$A$14,'04_Account_Mapping'!$C$6:$C$14,"Unmapped",0)</f>
        <v>Finance Income</v>
      </c>
      <c r="K811" s="21" t="str">
        <f>_xlfn.XLOOKUP(F811,'04_Account_Mapping'!$A$6:$A$14,'04_Account_Mapping'!$D$6:$D$14,"Unmapped",0)</f>
        <v>Income</v>
      </c>
    </row>
    <row r="812" spans="1:11">
      <c r="A812" s="16">
        <v>46327</v>
      </c>
      <c r="B812" s="13">
        <v>2026</v>
      </c>
      <c r="C812" s="13">
        <v>11</v>
      </c>
      <c r="D812" s="13" t="s">
        <v>72</v>
      </c>
      <c r="E812" s="13" t="s">
        <v>68</v>
      </c>
      <c r="F812" s="13" t="s">
        <v>63</v>
      </c>
      <c r="G812" s="19">
        <v>-72.709385525658604</v>
      </c>
      <c r="H812" s="13" t="s">
        <v>86</v>
      </c>
      <c r="I812" s="13" t="s">
        <v>87</v>
      </c>
      <c r="J812" s="21" t="str">
        <f>_xlfn.XLOOKUP(F812,'04_Account_Mapping'!$A$6:$A$14,'04_Account_Mapping'!$C$6:$C$14,"Unmapped",0)</f>
        <v>Finance Expense</v>
      </c>
      <c r="K812" s="21" t="str">
        <f>_xlfn.XLOOKUP(F812,'04_Account_Mapping'!$A$6:$A$14,'04_Account_Mapping'!$D$6:$D$14,"Unmapped",0)</f>
        <v>Expense</v>
      </c>
    </row>
    <row r="813" spans="1:11">
      <c r="A813" s="16">
        <v>46327</v>
      </c>
      <c r="B813" s="13">
        <v>2026</v>
      </c>
      <c r="C813" s="13">
        <v>11</v>
      </c>
      <c r="D813" s="13" t="s">
        <v>72</v>
      </c>
      <c r="E813" s="13" t="s">
        <v>68</v>
      </c>
      <c r="F813" s="13" t="s">
        <v>64</v>
      </c>
      <c r="G813" s="19">
        <v>1.454187710513172</v>
      </c>
      <c r="H813" s="13" t="s">
        <v>86</v>
      </c>
      <c r="I813" s="13" t="s">
        <v>87</v>
      </c>
      <c r="J813" s="21" t="str">
        <f>_xlfn.XLOOKUP(F813,'04_Account_Mapping'!$A$6:$A$14,'04_Account_Mapping'!$C$6:$C$14,"Unmapped",0)</f>
        <v>JV Profit/(Loss)</v>
      </c>
      <c r="K813" s="21" t="str">
        <f>_xlfn.XLOOKUP(F813,'04_Account_Mapping'!$A$6:$A$14,'04_Account_Mapping'!$D$6:$D$14,"Unmapped",0)</f>
        <v>Income</v>
      </c>
    </row>
    <row r="814" spans="1:11">
      <c r="A814" s="16">
        <v>46327</v>
      </c>
      <c r="B814" s="13">
        <v>2026</v>
      </c>
      <c r="C814" s="13">
        <v>11</v>
      </c>
      <c r="D814" s="13" t="s">
        <v>72</v>
      </c>
      <c r="E814" s="13" t="s">
        <v>68</v>
      </c>
      <c r="F814" s="13" t="s">
        <v>65</v>
      </c>
      <c r="G814" s="19">
        <v>0</v>
      </c>
      <c r="H814" s="13" t="s">
        <v>86</v>
      </c>
      <c r="I814" s="13" t="s">
        <v>87</v>
      </c>
      <c r="J814" s="21" t="str">
        <f>_xlfn.XLOOKUP(F814,'04_Account_Mapping'!$A$6:$A$14,'04_Account_Mapping'!$C$6:$C$14,"Unmapped",0)</f>
        <v>Other Net</v>
      </c>
      <c r="K814" s="21" t="str">
        <f>_xlfn.XLOOKUP(F814,'04_Account_Mapping'!$A$6:$A$14,'04_Account_Mapping'!$D$6:$D$14,"Unmapped",0)</f>
        <v>Income</v>
      </c>
    </row>
    <row r="815" spans="1:11">
      <c r="A815" s="16">
        <v>46327</v>
      </c>
      <c r="B815" s="13">
        <v>2026</v>
      </c>
      <c r="C815" s="13">
        <v>11</v>
      </c>
      <c r="D815" s="13" t="s">
        <v>72</v>
      </c>
      <c r="E815" s="13" t="s">
        <v>68</v>
      </c>
      <c r="F815" s="13" t="s">
        <v>66</v>
      </c>
      <c r="G815" s="19">
        <v>-90.395452275143128</v>
      </c>
      <c r="H815" s="13" t="s">
        <v>86</v>
      </c>
      <c r="I815" s="13" t="s">
        <v>87</v>
      </c>
      <c r="J815" s="21" t="str">
        <f>_xlfn.XLOOKUP(F815,'04_Account_Mapping'!$A$6:$A$14,'04_Account_Mapping'!$C$6:$C$14,"Unmapped",0)</f>
        <v>Tax Expense</v>
      </c>
      <c r="K815" s="21" t="str">
        <f>_xlfn.XLOOKUP(F815,'04_Account_Mapping'!$A$6:$A$14,'04_Account_Mapping'!$D$6:$D$14,"Unmapped",0)</f>
        <v>Expense</v>
      </c>
    </row>
    <row r="816" spans="1:11">
      <c r="A816" s="16">
        <v>46327</v>
      </c>
      <c r="B816" s="13">
        <v>2026</v>
      </c>
      <c r="C816" s="13">
        <v>11</v>
      </c>
      <c r="D816" s="13" t="s">
        <v>73</v>
      </c>
      <c r="E816" s="13" t="s">
        <v>74</v>
      </c>
      <c r="F816" s="13" t="s">
        <v>55</v>
      </c>
      <c r="G816" s="19">
        <v>4980.0948990177121</v>
      </c>
      <c r="H816" s="13" t="s">
        <v>86</v>
      </c>
      <c r="I816" s="13" t="s">
        <v>87</v>
      </c>
      <c r="J816" s="21" t="str">
        <f>_xlfn.XLOOKUP(F816,'04_Account_Mapping'!$A$6:$A$14,'04_Account_Mapping'!$C$6:$C$14,"Unmapped",0)</f>
        <v>Revenue</v>
      </c>
      <c r="K816" s="21" t="str">
        <f>_xlfn.XLOOKUP(F816,'04_Account_Mapping'!$A$6:$A$14,'04_Account_Mapping'!$D$6:$D$14,"Unmapped",0)</f>
        <v>Income</v>
      </c>
    </row>
    <row r="817" spans="1:11">
      <c r="A817" s="16">
        <v>46327</v>
      </c>
      <c r="B817" s="13">
        <v>2026</v>
      </c>
      <c r="C817" s="13">
        <v>11</v>
      </c>
      <c r="D817" s="13" t="s">
        <v>73</v>
      </c>
      <c r="E817" s="13" t="s">
        <v>74</v>
      </c>
      <c r="F817" s="13" t="s">
        <v>58</v>
      </c>
      <c r="G817" s="19">
        <v>-3969.3240705403227</v>
      </c>
      <c r="H817" s="13" t="s">
        <v>86</v>
      </c>
      <c r="I817" s="13" t="s">
        <v>87</v>
      </c>
      <c r="J817" s="21" t="str">
        <f>_xlfn.XLOOKUP(F817,'04_Account_Mapping'!$A$6:$A$14,'04_Account_Mapping'!$C$6:$C$14,"Unmapped",0)</f>
        <v>COGS</v>
      </c>
      <c r="K817" s="21" t="str">
        <f>_xlfn.XLOOKUP(F817,'04_Account_Mapping'!$A$6:$A$14,'04_Account_Mapping'!$D$6:$D$14,"Unmapped",0)</f>
        <v>Expense</v>
      </c>
    </row>
    <row r="818" spans="1:11">
      <c r="A818" s="16">
        <v>46327</v>
      </c>
      <c r="B818" s="13">
        <v>2026</v>
      </c>
      <c r="C818" s="13">
        <v>11</v>
      </c>
      <c r="D818" s="13" t="s">
        <v>73</v>
      </c>
      <c r="E818" s="13" t="s">
        <v>74</v>
      </c>
      <c r="F818" s="13" t="s">
        <v>60</v>
      </c>
      <c r="G818" s="19">
        <v>-607.57157768016089</v>
      </c>
      <c r="H818" s="13" t="s">
        <v>86</v>
      </c>
      <c r="I818" s="13" t="s">
        <v>87</v>
      </c>
      <c r="J818" s="21" t="str">
        <f>_xlfn.XLOOKUP(F818,'04_Account_Mapping'!$A$6:$A$14,'04_Account_Mapping'!$C$6:$C$14,"Unmapped",0)</f>
        <v>Selling Expense</v>
      </c>
      <c r="K818" s="21" t="str">
        <f>_xlfn.XLOOKUP(F818,'04_Account_Mapping'!$A$6:$A$14,'04_Account_Mapping'!$D$6:$D$14,"Unmapped",0)</f>
        <v>Expense</v>
      </c>
    </row>
    <row r="819" spans="1:11">
      <c r="A819" s="16">
        <v>46327</v>
      </c>
      <c r="B819" s="13">
        <v>2026</v>
      </c>
      <c r="C819" s="13">
        <v>11</v>
      </c>
      <c r="D819" s="13" t="s">
        <v>73</v>
      </c>
      <c r="E819" s="13" t="s">
        <v>74</v>
      </c>
      <c r="F819" s="13" t="s">
        <v>61</v>
      </c>
      <c r="G819" s="19">
        <v>-144.42275207151366</v>
      </c>
      <c r="H819" s="13" t="s">
        <v>86</v>
      </c>
      <c r="I819" s="13" t="s">
        <v>87</v>
      </c>
      <c r="J819" s="21" t="str">
        <f>_xlfn.XLOOKUP(F819,'04_Account_Mapping'!$A$6:$A$14,'04_Account_Mapping'!$C$6:$C$14,"Unmapped",0)</f>
        <v>G&amp;A</v>
      </c>
      <c r="K819" s="21" t="str">
        <f>_xlfn.XLOOKUP(F819,'04_Account_Mapping'!$A$6:$A$14,'04_Account_Mapping'!$D$6:$D$14,"Unmapped",0)</f>
        <v>Expense</v>
      </c>
    </row>
    <row r="820" spans="1:11">
      <c r="A820" s="16">
        <v>46327</v>
      </c>
      <c r="B820" s="13">
        <v>2026</v>
      </c>
      <c r="C820" s="13">
        <v>11</v>
      </c>
      <c r="D820" s="13" t="s">
        <v>73</v>
      </c>
      <c r="E820" s="13" t="s">
        <v>74</v>
      </c>
      <c r="F820" s="13" t="s">
        <v>62</v>
      </c>
      <c r="G820" s="19">
        <v>99.601897980354238</v>
      </c>
      <c r="H820" s="13" t="s">
        <v>86</v>
      </c>
      <c r="I820" s="13" t="s">
        <v>87</v>
      </c>
      <c r="J820" s="21" t="str">
        <f>_xlfn.XLOOKUP(F820,'04_Account_Mapping'!$A$6:$A$14,'04_Account_Mapping'!$C$6:$C$14,"Unmapped",0)</f>
        <v>Finance Income</v>
      </c>
      <c r="K820" s="21" t="str">
        <f>_xlfn.XLOOKUP(F820,'04_Account_Mapping'!$A$6:$A$14,'04_Account_Mapping'!$D$6:$D$14,"Unmapped",0)</f>
        <v>Income</v>
      </c>
    </row>
    <row r="821" spans="1:11">
      <c r="A821" s="16">
        <v>46327</v>
      </c>
      <c r="B821" s="13">
        <v>2026</v>
      </c>
      <c r="C821" s="13">
        <v>11</v>
      </c>
      <c r="D821" s="13" t="s">
        <v>73</v>
      </c>
      <c r="E821" s="13" t="s">
        <v>74</v>
      </c>
      <c r="F821" s="13" t="s">
        <v>63</v>
      </c>
      <c r="G821" s="19">
        <v>-49.800948990177119</v>
      </c>
      <c r="H821" s="13" t="s">
        <v>86</v>
      </c>
      <c r="I821" s="13" t="s">
        <v>87</v>
      </c>
      <c r="J821" s="21" t="str">
        <f>_xlfn.XLOOKUP(F821,'04_Account_Mapping'!$A$6:$A$14,'04_Account_Mapping'!$C$6:$C$14,"Unmapped",0)</f>
        <v>Finance Expense</v>
      </c>
      <c r="K821" s="21" t="str">
        <f>_xlfn.XLOOKUP(F821,'04_Account_Mapping'!$A$6:$A$14,'04_Account_Mapping'!$D$6:$D$14,"Unmapped",0)</f>
        <v>Expense</v>
      </c>
    </row>
    <row r="822" spans="1:11">
      <c r="A822" s="16">
        <v>46327</v>
      </c>
      <c r="B822" s="13">
        <v>2026</v>
      </c>
      <c r="C822" s="13">
        <v>11</v>
      </c>
      <c r="D822" s="13" t="s">
        <v>73</v>
      </c>
      <c r="E822" s="13" t="s">
        <v>74</v>
      </c>
      <c r="F822" s="13" t="s">
        <v>64</v>
      </c>
      <c r="G822" s="19">
        <v>0.99601897980354248</v>
      </c>
      <c r="H822" s="13" t="s">
        <v>86</v>
      </c>
      <c r="I822" s="13" t="s">
        <v>87</v>
      </c>
      <c r="J822" s="21" t="str">
        <f>_xlfn.XLOOKUP(F822,'04_Account_Mapping'!$A$6:$A$14,'04_Account_Mapping'!$C$6:$C$14,"Unmapped",0)</f>
        <v>JV Profit/(Loss)</v>
      </c>
      <c r="K822" s="21" t="str">
        <f>_xlfn.XLOOKUP(F822,'04_Account_Mapping'!$A$6:$A$14,'04_Account_Mapping'!$D$6:$D$14,"Unmapped",0)</f>
        <v>Income</v>
      </c>
    </row>
    <row r="823" spans="1:11">
      <c r="A823" s="16">
        <v>46327</v>
      </c>
      <c r="B823" s="13">
        <v>2026</v>
      </c>
      <c r="C823" s="13">
        <v>11</v>
      </c>
      <c r="D823" s="13" t="s">
        <v>73</v>
      </c>
      <c r="E823" s="13" t="s">
        <v>74</v>
      </c>
      <c r="F823" s="13" t="s">
        <v>65</v>
      </c>
      <c r="G823" s="19">
        <v>0</v>
      </c>
      <c r="H823" s="13" t="s">
        <v>86</v>
      </c>
      <c r="I823" s="13" t="s">
        <v>87</v>
      </c>
      <c r="J823" s="21" t="str">
        <f>_xlfn.XLOOKUP(F823,'04_Account_Mapping'!$A$6:$A$14,'04_Account_Mapping'!$C$6:$C$14,"Unmapped",0)</f>
        <v>Other Net</v>
      </c>
      <c r="K823" s="21" t="str">
        <f>_xlfn.XLOOKUP(F823,'04_Account_Mapping'!$A$6:$A$14,'04_Account_Mapping'!$D$6:$D$14,"Unmapped",0)</f>
        <v>Income</v>
      </c>
    </row>
    <row r="824" spans="1:11">
      <c r="A824" s="16">
        <v>46327</v>
      </c>
      <c r="B824" s="13">
        <v>2026</v>
      </c>
      <c r="C824" s="13">
        <v>11</v>
      </c>
      <c r="D824" s="13" t="s">
        <v>73</v>
      </c>
      <c r="E824" s="13" t="s">
        <v>74</v>
      </c>
      <c r="F824" s="13" t="s">
        <v>66</v>
      </c>
      <c r="G824" s="19">
        <v>-61.914693339139127</v>
      </c>
      <c r="H824" s="13" t="s">
        <v>86</v>
      </c>
      <c r="I824" s="13" t="s">
        <v>87</v>
      </c>
      <c r="J824" s="21" t="str">
        <f>_xlfn.XLOOKUP(F824,'04_Account_Mapping'!$A$6:$A$14,'04_Account_Mapping'!$C$6:$C$14,"Unmapped",0)</f>
        <v>Tax Expense</v>
      </c>
      <c r="K824" s="21" t="str">
        <f>_xlfn.XLOOKUP(F824,'04_Account_Mapping'!$A$6:$A$14,'04_Account_Mapping'!$D$6:$D$14,"Unmapped",0)</f>
        <v>Expense</v>
      </c>
    </row>
    <row r="825" spans="1:11">
      <c r="A825" s="16">
        <v>46327</v>
      </c>
      <c r="B825" s="13">
        <v>2026</v>
      </c>
      <c r="C825" s="13">
        <v>11</v>
      </c>
      <c r="D825" s="13" t="s">
        <v>75</v>
      </c>
      <c r="E825" s="13" t="s">
        <v>76</v>
      </c>
      <c r="F825" s="13" t="s">
        <v>55</v>
      </c>
      <c r="G825" s="19">
        <v>381.80727559135795</v>
      </c>
      <c r="H825" s="13" t="s">
        <v>86</v>
      </c>
      <c r="I825" s="13" t="s">
        <v>87</v>
      </c>
      <c r="J825" s="21" t="str">
        <f>_xlfn.XLOOKUP(F825,'04_Account_Mapping'!$A$6:$A$14,'04_Account_Mapping'!$C$6:$C$14,"Unmapped",0)</f>
        <v>Revenue</v>
      </c>
      <c r="K825" s="21" t="str">
        <f>_xlfn.XLOOKUP(F825,'04_Account_Mapping'!$A$6:$A$14,'04_Account_Mapping'!$D$6:$D$14,"Unmapped",0)</f>
        <v>Income</v>
      </c>
    </row>
    <row r="826" spans="1:11">
      <c r="A826" s="16">
        <v>46327</v>
      </c>
      <c r="B826" s="13">
        <v>2026</v>
      </c>
      <c r="C826" s="13">
        <v>11</v>
      </c>
      <c r="D826" s="13" t="s">
        <v>75</v>
      </c>
      <c r="E826" s="13" t="s">
        <v>76</v>
      </c>
      <c r="F826" s="13" t="s">
        <v>58</v>
      </c>
      <c r="G826" s="19">
        <v>-304.3148454080914</v>
      </c>
      <c r="H826" s="13" t="s">
        <v>86</v>
      </c>
      <c r="I826" s="13" t="s">
        <v>87</v>
      </c>
      <c r="J826" s="21" t="str">
        <f>_xlfn.XLOOKUP(F826,'04_Account_Mapping'!$A$6:$A$14,'04_Account_Mapping'!$C$6:$C$14,"Unmapped",0)</f>
        <v>COGS</v>
      </c>
      <c r="K826" s="21" t="str">
        <f>_xlfn.XLOOKUP(F826,'04_Account_Mapping'!$A$6:$A$14,'04_Account_Mapping'!$D$6:$D$14,"Unmapped",0)</f>
        <v>Expense</v>
      </c>
    </row>
    <row r="827" spans="1:11">
      <c r="A827" s="16">
        <v>46327</v>
      </c>
      <c r="B827" s="13">
        <v>2026</v>
      </c>
      <c r="C827" s="13">
        <v>11</v>
      </c>
      <c r="D827" s="13" t="s">
        <v>75</v>
      </c>
      <c r="E827" s="13" t="s">
        <v>76</v>
      </c>
      <c r="F827" s="13" t="s">
        <v>60</v>
      </c>
      <c r="G827" s="19">
        <v>-46.580487622145668</v>
      </c>
      <c r="H827" s="13" t="s">
        <v>86</v>
      </c>
      <c r="I827" s="13" t="s">
        <v>87</v>
      </c>
      <c r="J827" s="21" t="str">
        <f>_xlfn.XLOOKUP(F827,'04_Account_Mapping'!$A$6:$A$14,'04_Account_Mapping'!$C$6:$C$14,"Unmapped",0)</f>
        <v>Selling Expense</v>
      </c>
      <c r="K827" s="21" t="str">
        <f>_xlfn.XLOOKUP(F827,'04_Account_Mapping'!$A$6:$A$14,'04_Account_Mapping'!$D$6:$D$14,"Unmapped",0)</f>
        <v>Expense</v>
      </c>
    </row>
    <row r="828" spans="1:11">
      <c r="A828" s="16">
        <v>46327</v>
      </c>
      <c r="B828" s="13">
        <v>2026</v>
      </c>
      <c r="C828" s="13">
        <v>11</v>
      </c>
      <c r="D828" s="13" t="s">
        <v>75</v>
      </c>
      <c r="E828" s="13" t="s">
        <v>76</v>
      </c>
      <c r="F828" s="13" t="s">
        <v>61</v>
      </c>
      <c r="G828" s="19">
        <v>-11.072410992149381</v>
      </c>
      <c r="H828" s="13" t="s">
        <v>86</v>
      </c>
      <c r="I828" s="13" t="s">
        <v>87</v>
      </c>
      <c r="J828" s="21" t="str">
        <f>_xlfn.XLOOKUP(F828,'04_Account_Mapping'!$A$6:$A$14,'04_Account_Mapping'!$C$6:$C$14,"Unmapped",0)</f>
        <v>G&amp;A</v>
      </c>
      <c r="K828" s="21" t="str">
        <f>_xlfn.XLOOKUP(F828,'04_Account_Mapping'!$A$6:$A$14,'04_Account_Mapping'!$D$6:$D$14,"Unmapped",0)</f>
        <v>Expense</v>
      </c>
    </row>
    <row r="829" spans="1:11">
      <c r="A829" s="16">
        <v>46327</v>
      </c>
      <c r="B829" s="13">
        <v>2026</v>
      </c>
      <c r="C829" s="13">
        <v>11</v>
      </c>
      <c r="D829" s="13" t="s">
        <v>75</v>
      </c>
      <c r="E829" s="13" t="s">
        <v>76</v>
      </c>
      <c r="F829" s="13" t="s">
        <v>62</v>
      </c>
      <c r="G829" s="19">
        <v>7.6361455118271593</v>
      </c>
      <c r="H829" s="13" t="s">
        <v>86</v>
      </c>
      <c r="I829" s="13" t="s">
        <v>87</v>
      </c>
      <c r="J829" s="21" t="str">
        <f>_xlfn.XLOOKUP(F829,'04_Account_Mapping'!$A$6:$A$14,'04_Account_Mapping'!$C$6:$C$14,"Unmapped",0)</f>
        <v>Finance Income</v>
      </c>
      <c r="K829" s="21" t="str">
        <f>_xlfn.XLOOKUP(F829,'04_Account_Mapping'!$A$6:$A$14,'04_Account_Mapping'!$D$6:$D$14,"Unmapped",0)</f>
        <v>Income</v>
      </c>
    </row>
    <row r="830" spans="1:11">
      <c r="A830" s="16">
        <v>46327</v>
      </c>
      <c r="B830" s="13">
        <v>2026</v>
      </c>
      <c r="C830" s="13">
        <v>11</v>
      </c>
      <c r="D830" s="13" t="s">
        <v>75</v>
      </c>
      <c r="E830" s="13" t="s">
        <v>76</v>
      </c>
      <c r="F830" s="13" t="s">
        <v>63</v>
      </c>
      <c r="G830" s="19">
        <v>-3.8180727559135796</v>
      </c>
      <c r="H830" s="13" t="s">
        <v>86</v>
      </c>
      <c r="I830" s="13" t="s">
        <v>87</v>
      </c>
      <c r="J830" s="21" t="str">
        <f>_xlfn.XLOOKUP(F830,'04_Account_Mapping'!$A$6:$A$14,'04_Account_Mapping'!$C$6:$C$14,"Unmapped",0)</f>
        <v>Finance Expense</v>
      </c>
      <c r="K830" s="21" t="str">
        <f>_xlfn.XLOOKUP(F830,'04_Account_Mapping'!$A$6:$A$14,'04_Account_Mapping'!$D$6:$D$14,"Unmapped",0)</f>
        <v>Expense</v>
      </c>
    </row>
    <row r="831" spans="1:11">
      <c r="A831" s="16">
        <v>46327</v>
      </c>
      <c r="B831" s="13">
        <v>2026</v>
      </c>
      <c r="C831" s="13">
        <v>11</v>
      </c>
      <c r="D831" s="13" t="s">
        <v>75</v>
      </c>
      <c r="E831" s="13" t="s">
        <v>76</v>
      </c>
      <c r="F831" s="13" t="s">
        <v>64</v>
      </c>
      <c r="G831" s="19">
        <v>7.6361455118271596E-2</v>
      </c>
      <c r="H831" s="13" t="s">
        <v>86</v>
      </c>
      <c r="I831" s="13" t="s">
        <v>87</v>
      </c>
      <c r="J831" s="21" t="str">
        <f>_xlfn.XLOOKUP(F831,'04_Account_Mapping'!$A$6:$A$14,'04_Account_Mapping'!$C$6:$C$14,"Unmapped",0)</f>
        <v>JV Profit/(Loss)</v>
      </c>
      <c r="K831" s="21" t="str">
        <f>_xlfn.XLOOKUP(F831,'04_Account_Mapping'!$A$6:$A$14,'04_Account_Mapping'!$D$6:$D$14,"Unmapped",0)</f>
        <v>Income</v>
      </c>
    </row>
    <row r="832" spans="1:11">
      <c r="A832" s="16">
        <v>46327</v>
      </c>
      <c r="B832" s="13">
        <v>2026</v>
      </c>
      <c r="C832" s="13">
        <v>11</v>
      </c>
      <c r="D832" s="13" t="s">
        <v>75</v>
      </c>
      <c r="E832" s="13" t="s">
        <v>76</v>
      </c>
      <c r="F832" s="13" t="s">
        <v>65</v>
      </c>
      <c r="G832" s="19">
        <v>0</v>
      </c>
      <c r="H832" s="13" t="s">
        <v>86</v>
      </c>
      <c r="I832" s="13" t="s">
        <v>87</v>
      </c>
      <c r="J832" s="21" t="str">
        <f>_xlfn.XLOOKUP(F832,'04_Account_Mapping'!$A$6:$A$14,'04_Account_Mapping'!$C$6:$C$14,"Unmapped",0)</f>
        <v>Other Net</v>
      </c>
      <c r="K832" s="21" t="str">
        <f>_xlfn.XLOOKUP(F832,'04_Account_Mapping'!$A$6:$A$14,'04_Account_Mapping'!$D$6:$D$14,"Unmapped",0)</f>
        <v>Income</v>
      </c>
    </row>
    <row r="833" spans="1:11">
      <c r="A833" s="16">
        <v>46327</v>
      </c>
      <c r="B833" s="13">
        <v>2026</v>
      </c>
      <c r="C833" s="13">
        <v>11</v>
      </c>
      <c r="D833" s="13" t="s">
        <v>75</v>
      </c>
      <c r="E833" s="13" t="s">
        <v>76</v>
      </c>
      <c r="F833" s="13" t="s">
        <v>66</v>
      </c>
      <c r="G833" s="19">
        <v>-4.7467931560006669</v>
      </c>
      <c r="H833" s="13" t="s">
        <v>86</v>
      </c>
      <c r="I833" s="13" t="s">
        <v>87</v>
      </c>
      <c r="J833" s="21" t="str">
        <f>_xlfn.XLOOKUP(F833,'04_Account_Mapping'!$A$6:$A$14,'04_Account_Mapping'!$C$6:$C$14,"Unmapped",0)</f>
        <v>Tax Expense</v>
      </c>
      <c r="K833" s="21" t="str">
        <f>_xlfn.XLOOKUP(F833,'04_Account_Mapping'!$A$6:$A$14,'04_Account_Mapping'!$D$6:$D$14,"Unmapped",0)</f>
        <v>Expense</v>
      </c>
    </row>
    <row r="834" spans="1:11">
      <c r="A834" s="16">
        <v>46357</v>
      </c>
      <c r="B834" s="13">
        <v>2026</v>
      </c>
      <c r="C834" s="13">
        <v>12</v>
      </c>
      <c r="D834" s="13" t="s">
        <v>67</v>
      </c>
      <c r="E834" s="13" t="s">
        <v>68</v>
      </c>
      <c r="F834" s="13" t="s">
        <v>55</v>
      </c>
      <c r="G834" s="19">
        <v>3925.2894996350037</v>
      </c>
      <c r="H834" s="13" t="s">
        <v>86</v>
      </c>
      <c r="I834" s="13" t="s">
        <v>87</v>
      </c>
      <c r="J834" s="21" t="str">
        <f>_xlfn.XLOOKUP(F834,'04_Account_Mapping'!$A$6:$A$14,'04_Account_Mapping'!$C$6:$C$14,"Unmapped",0)</f>
        <v>Revenue</v>
      </c>
      <c r="K834" s="21" t="str">
        <f>_xlfn.XLOOKUP(F834,'04_Account_Mapping'!$A$6:$A$14,'04_Account_Mapping'!$D$6:$D$14,"Unmapped",0)</f>
        <v>Income</v>
      </c>
    </row>
    <row r="835" spans="1:11">
      <c r="A835" s="16">
        <v>46357</v>
      </c>
      <c r="B835" s="13">
        <v>2026</v>
      </c>
      <c r="C835" s="13">
        <v>12</v>
      </c>
      <c r="D835" s="13" t="s">
        <v>67</v>
      </c>
      <c r="E835" s="13" t="s">
        <v>68</v>
      </c>
      <c r="F835" s="13" t="s">
        <v>58</v>
      </c>
      <c r="G835" s="19">
        <v>-3128.6042556766515</v>
      </c>
      <c r="H835" s="13" t="s">
        <v>86</v>
      </c>
      <c r="I835" s="13" t="s">
        <v>87</v>
      </c>
      <c r="J835" s="21" t="str">
        <f>_xlfn.XLOOKUP(F835,'04_Account_Mapping'!$A$6:$A$14,'04_Account_Mapping'!$C$6:$C$14,"Unmapped",0)</f>
        <v>COGS</v>
      </c>
      <c r="K835" s="21" t="str">
        <f>_xlfn.XLOOKUP(F835,'04_Account_Mapping'!$A$6:$A$14,'04_Account_Mapping'!$D$6:$D$14,"Unmapped",0)</f>
        <v>Expense</v>
      </c>
    </row>
    <row r="836" spans="1:11">
      <c r="A836" s="16">
        <v>46357</v>
      </c>
      <c r="B836" s="13">
        <v>2026</v>
      </c>
      <c r="C836" s="13">
        <v>12</v>
      </c>
      <c r="D836" s="13" t="s">
        <v>67</v>
      </c>
      <c r="E836" s="13" t="s">
        <v>68</v>
      </c>
      <c r="F836" s="13" t="s">
        <v>60</v>
      </c>
      <c r="G836" s="19">
        <v>-478.88531895547044</v>
      </c>
      <c r="H836" s="13" t="s">
        <v>86</v>
      </c>
      <c r="I836" s="13" t="s">
        <v>87</v>
      </c>
      <c r="J836" s="21" t="str">
        <f>_xlfn.XLOOKUP(F836,'04_Account_Mapping'!$A$6:$A$14,'04_Account_Mapping'!$C$6:$C$14,"Unmapped",0)</f>
        <v>Selling Expense</v>
      </c>
      <c r="K836" s="21" t="str">
        <f>_xlfn.XLOOKUP(F836,'04_Account_Mapping'!$A$6:$A$14,'04_Account_Mapping'!$D$6:$D$14,"Unmapped",0)</f>
        <v>Expense</v>
      </c>
    </row>
    <row r="837" spans="1:11">
      <c r="A837" s="16">
        <v>46357</v>
      </c>
      <c r="B837" s="13">
        <v>2026</v>
      </c>
      <c r="C837" s="13">
        <v>12</v>
      </c>
      <c r="D837" s="13" t="s">
        <v>67</v>
      </c>
      <c r="E837" s="13" t="s">
        <v>68</v>
      </c>
      <c r="F837" s="13" t="s">
        <v>61</v>
      </c>
      <c r="G837" s="19">
        <v>-113.83339548941511</v>
      </c>
      <c r="H837" s="13" t="s">
        <v>86</v>
      </c>
      <c r="I837" s="13" t="s">
        <v>87</v>
      </c>
      <c r="J837" s="21" t="str">
        <f>_xlfn.XLOOKUP(F837,'04_Account_Mapping'!$A$6:$A$14,'04_Account_Mapping'!$C$6:$C$14,"Unmapped",0)</f>
        <v>G&amp;A</v>
      </c>
      <c r="K837" s="21" t="str">
        <f>_xlfn.XLOOKUP(F837,'04_Account_Mapping'!$A$6:$A$14,'04_Account_Mapping'!$D$6:$D$14,"Unmapped",0)</f>
        <v>Expense</v>
      </c>
    </row>
    <row r="838" spans="1:11">
      <c r="A838" s="16">
        <v>46357</v>
      </c>
      <c r="B838" s="13">
        <v>2026</v>
      </c>
      <c r="C838" s="13">
        <v>12</v>
      </c>
      <c r="D838" s="13" t="s">
        <v>67</v>
      </c>
      <c r="E838" s="13" t="s">
        <v>68</v>
      </c>
      <c r="F838" s="13" t="s">
        <v>62</v>
      </c>
      <c r="G838" s="19">
        <v>78.505789992700073</v>
      </c>
      <c r="H838" s="13" t="s">
        <v>86</v>
      </c>
      <c r="I838" s="13" t="s">
        <v>87</v>
      </c>
      <c r="J838" s="21" t="str">
        <f>_xlfn.XLOOKUP(F838,'04_Account_Mapping'!$A$6:$A$14,'04_Account_Mapping'!$C$6:$C$14,"Unmapped",0)</f>
        <v>Finance Income</v>
      </c>
      <c r="K838" s="21" t="str">
        <f>_xlfn.XLOOKUP(F838,'04_Account_Mapping'!$A$6:$A$14,'04_Account_Mapping'!$D$6:$D$14,"Unmapped",0)</f>
        <v>Income</v>
      </c>
    </row>
    <row r="839" spans="1:11">
      <c r="A839" s="16">
        <v>46357</v>
      </c>
      <c r="B839" s="13">
        <v>2026</v>
      </c>
      <c r="C839" s="13">
        <v>12</v>
      </c>
      <c r="D839" s="13" t="s">
        <v>67</v>
      </c>
      <c r="E839" s="13" t="s">
        <v>68</v>
      </c>
      <c r="F839" s="13" t="s">
        <v>63</v>
      </c>
      <c r="G839" s="19">
        <v>-39.252894996350037</v>
      </c>
      <c r="H839" s="13" t="s">
        <v>86</v>
      </c>
      <c r="I839" s="13" t="s">
        <v>87</v>
      </c>
      <c r="J839" s="21" t="str">
        <f>_xlfn.XLOOKUP(F839,'04_Account_Mapping'!$A$6:$A$14,'04_Account_Mapping'!$C$6:$C$14,"Unmapped",0)</f>
        <v>Finance Expense</v>
      </c>
      <c r="K839" s="21" t="str">
        <f>_xlfn.XLOOKUP(F839,'04_Account_Mapping'!$A$6:$A$14,'04_Account_Mapping'!$D$6:$D$14,"Unmapped",0)</f>
        <v>Expense</v>
      </c>
    </row>
    <row r="840" spans="1:11">
      <c r="A840" s="16">
        <v>46357</v>
      </c>
      <c r="B840" s="13">
        <v>2026</v>
      </c>
      <c r="C840" s="13">
        <v>12</v>
      </c>
      <c r="D840" s="13" t="s">
        <v>67</v>
      </c>
      <c r="E840" s="13" t="s">
        <v>68</v>
      </c>
      <c r="F840" s="13" t="s">
        <v>64</v>
      </c>
      <c r="G840" s="19">
        <v>0.7850578999270007</v>
      </c>
      <c r="H840" s="13" t="s">
        <v>86</v>
      </c>
      <c r="I840" s="13" t="s">
        <v>87</v>
      </c>
      <c r="J840" s="21" t="str">
        <f>_xlfn.XLOOKUP(F840,'04_Account_Mapping'!$A$6:$A$14,'04_Account_Mapping'!$C$6:$C$14,"Unmapped",0)</f>
        <v>JV Profit/(Loss)</v>
      </c>
      <c r="K840" s="21" t="str">
        <f>_xlfn.XLOOKUP(F840,'04_Account_Mapping'!$A$6:$A$14,'04_Account_Mapping'!$D$6:$D$14,"Unmapped",0)</f>
        <v>Income</v>
      </c>
    </row>
    <row r="841" spans="1:11">
      <c r="A841" s="16">
        <v>46357</v>
      </c>
      <c r="B841" s="13">
        <v>2026</v>
      </c>
      <c r="C841" s="13">
        <v>12</v>
      </c>
      <c r="D841" s="13" t="s">
        <v>67</v>
      </c>
      <c r="E841" s="13" t="s">
        <v>68</v>
      </c>
      <c r="F841" s="13" t="s">
        <v>65</v>
      </c>
      <c r="G841" s="19">
        <v>0</v>
      </c>
      <c r="H841" s="13" t="s">
        <v>86</v>
      </c>
      <c r="I841" s="13" t="s">
        <v>87</v>
      </c>
      <c r="J841" s="21" t="str">
        <f>_xlfn.XLOOKUP(F841,'04_Account_Mapping'!$A$6:$A$14,'04_Account_Mapping'!$C$6:$C$14,"Unmapped",0)</f>
        <v>Other Net</v>
      </c>
      <c r="K841" s="21" t="str">
        <f>_xlfn.XLOOKUP(F841,'04_Account_Mapping'!$A$6:$A$14,'04_Account_Mapping'!$D$6:$D$14,"Unmapped",0)</f>
        <v>Income</v>
      </c>
    </row>
    <row r="842" spans="1:11">
      <c r="A842" s="16">
        <v>46357</v>
      </c>
      <c r="B842" s="13">
        <v>2026</v>
      </c>
      <c r="C842" s="13">
        <v>12</v>
      </c>
      <c r="D842" s="13" t="s">
        <v>67</v>
      </c>
      <c r="E842" s="13" t="s">
        <v>68</v>
      </c>
      <c r="F842" s="13" t="s">
        <v>66</v>
      </c>
      <c r="G842" s="19">
        <v>-48.800896481948691</v>
      </c>
      <c r="H842" s="13" t="s">
        <v>86</v>
      </c>
      <c r="I842" s="13" t="s">
        <v>87</v>
      </c>
      <c r="J842" s="21" t="str">
        <f>_xlfn.XLOOKUP(F842,'04_Account_Mapping'!$A$6:$A$14,'04_Account_Mapping'!$C$6:$C$14,"Unmapped",0)</f>
        <v>Tax Expense</v>
      </c>
      <c r="K842" s="21" t="str">
        <f>_xlfn.XLOOKUP(F842,'04_Account_Mapping'!$A$6:$A$14,'04_Account_Mapping'!$D$6:$D$14,"Unmapped",0)</f>
        <v>Expense</v>
      </c>
    </row>
    <row r="843" spans="1:11">
      <c r="A843" s="16">
        <v>46357</v>
      </c>
      <c r="B843" s="13">
        <v>2026</v>
      </c>
      <c r="C843" s="13">
        <v>12</v>
      </c>
      <c r="D843" s="13" t="s">
        <v>72</v>
      </c>
      <c r="E843" s="13" t="s">
        <v>68</v>
      </c>
      <c r="F843" s="13" t="s">
        <v>55</v>
      </c>
      <c r="G843" s="19">
        <v>7193.6267817578737</v>
      </c>
      <c r="H843" s="13" t="s">
        <v>86</v>
      </c>
      <c r="I843" s="13" t="s">
        <v>87</v>
      </c>
      <c r="J843" s="21" t="str">
        <f>_xlfn.XLOOKUP(F843,'04_Account_Mapping'!$A$6:$A$14,'04_Account_Mapping'!$C$6:$C$14,"Unmapped",0)</f>
        <v>Revenue</v>
      </c>
      <c r="K843" s="21" t="str">
        <f>_xlfn.XLOOKUP(F843,'04_Account_Mapping'!$A$6:$A$14,'04_Account_Mapping'!$D$6:$D$14,"Unmapped",0)</f>
        <v>Income</v>
      </c>
    </row>
    <row r="844" spans="1:11">
      <c r="A844" s="16">
        <v>46357</v>
      </c>
      <c r="B844" s="13">
        <v>2026</v>
      </c>
      <c r="C844" s="13">
        <v>12</v>
      </c>
      <c r="D844" s="13" t="s">
        <v>72</v>
      </c>
      <c r="E844" s="13" t="s">
        <v>68</v>
      </c>
      <c r="F844" s="13" t="s">
        <v>58</v>
      </c>
      <c r="G844" s="19">
        <v>-5733.5927363446599</v>
      </c>
      <c r="H844" s="13" t="s">
        <v>86</v>
      </c>
      <c r="I844" s="13" t="s">
        <v>87</v>
      </c>
      <c r="J844" s="21" t="str">
        <f>_xlfn.XLOOKUP(F844,'04_Account_Mapping'!$A$6:$A$14,'04_Account_Mapping'!$C$6:$C$14,"Unmapped",0)</f>
        <v>COGS</v>
      </c>
      <c r="K844" s="21" t="str">
        <f>_xlfn.XLOOKUP(F844,'04_Account_Mapping'!$A$6:$A$14,'04_Account_Mapping'!$D$6:$D$14,"Unmapped",0)</f>
        <v>Expense</v>
      </c>
    </row>
    <row r="845" spans="1:11">
      <c r="A845" s="16">
        <v>46357</v>
      </c>
      <c r="B845" s="13">
        <v>2026</v>
      </c>
      <c r="C845" s="13">
        <v>12</v>
      </c>
      <c r="D845" s="13" t="s">
        <v>72</v>
      </c>
      <c r="E845" s="13" t="s">
        <v>68</v>
      </c>
      <c r="F845" s="13" t="s">
        <v>60</v>
      </c>
      <c r="G845" s="19">
        <v>-877.6224673744606</v>
      </c>
      <c r="H845" s="13" t="s">
        <v>86</v>
      </c>
      <c r="I845" s="13" t="s">
        <v>87</v>
      </c>
      <c r="J845" s="21" t="str">
        <f>_xlfn.XLOOKUP(F845,'04_Account_Mapping'!$A$6:$A$14,'04_Account_Mapping'!$C$6:$C$14,"Unmapped",0)</f>
        <v>Selling Expense</v>
      </c>
      <c r="K845" s="21" t="str">
        <f>_xlfn.XLOOKUP(F845,'04_Account_Mapping'!$A$6:$A$14,'04_Account_Mapping'!$D$6:$D$14,"Unmapped",0)</f>
        <v>Expense</v>
      </c>
    </row>
    <row r="846" spans="1:11">
      <c r="A846" s="16">
        <v>46357</v>
      </c>
      <c r="B846" s="13">
        <v>2026</v>
      </c>
      <c r="C846" s="13">
        <v>12</v>
      </c>
      <c r="D846" s="13" t="s">
        <v>72</v>
      </c>
      <c r="E846" s="13" t="s">
        <v>68</v>
      </c>
      <c r="F846" s="13" t="s">
        <v>61</v>
      </c>
      <c r="G846" s="19">
        <v>-208.61517667097834</v>
      </c>
      <c r="H846" s="13" t="s">
        <v>86</v>
      </c>
      <c r="I846" s="13" t="s">
        <v>87</v>
      </c>
      <c r="J846" s="21" t="str">
        <f>_xlfn.XLOOKUP(F846,'04_Account_Mapping'!$A$6:$A$14,'04_Account_Mapping'!$C$6:$C$14,"Unmapped",0)</f>
        <v>G&amp;A</v>
      </c>
      <c r="K846" s="21" t="str">
        <f>_xlfn.XLOOKUP(F846,'04_Account_Mapping'!$A$6:$A$14,'04_Account_Mapping'!$D$6:$D$14,"Unmapped",0)</f>
        <v>Expense</v>
      </c>
    </row>
    <row r="847" spans="1:11">
      <c r="A847" s="16">
        <v>46357</v>
      </c>
      <c r="B847" s="13">
        <v>2026</v>
      </c>
      <c r="C847" s="13">
        <v>12</v>
      </c>
      <c r="D847" s="13" t="s">
        <v>72</v>
      </c>
      <c r="E847" s="13" t="s">
        <v>68</v>
      </c>
      <c r="F847" s="13" t="s">
        <v>62</v>
      </c>
      <c r="G847" s="19">
        <v>143.87253563515748</v>
      </c>
      <c r="H847" s="13" t="s">
        <v>86</v>
      </c>
      <c r="I847" s="13" t="s">
        <v>87</v>
      </c>
      <c r="J847" s="21" t="str">
        <f>_xlfn.XLOOKUP(F847,'04_Account_Mapping'!$A$6:$A$14,'04_Account_Mapping'!$C$6:$C$14,"Unmapped",0)</f>
        <v>Finance Income</v>
      </c>
      <c r="K847" s="21" t="str">
        <f>_xlfn.XLOOKUP(F847,'04_Account_Mapping'!$A$6:$A$14,'04_Account_Mapping'!$D$6:$D$14,"Unmapped",0)</f>
        <v>Income</v>
      </c>
    </row>
    <row r="848" spans="1:11">
      <c r="A848" s="16">
        <v>46357</v>
      </c>
      <c r="B848" s="13">
        <v>2026</v>
      </c>
      <c r="C848" s="13">
        <v>12</v>
      </c>
      <c r="D848" s="13" t="s">
        <v>72</v>
      </c>
      <c r="E848" s="13" t="s">
        <v>68</v>
      </c>
      <c r="F848" s="13" t="s">
        <v>63</v>
      </c>
      <c r="G848" s="19">
        <v>-71.936267817578738</v>
      </c>
      <c r="H848" s="13" t="s">
        <v>86</v>
      </c>
      <c r="I848" s="13" t="s">
        <v>87</v>
      </c>
      <c r="J848" s="21" t="str">
        <f>_xlfn.XLOOKUP(F848,'04_Account_Mapping'!$A$6:$A$14,'04_Account_Mapping'!$C$6:$C$14,"Unmapped",0)</f>
        <v>Finance Expense</v>
      </c>
      <c r="K848" s="21" t="str">
        <f>_xlfn.XLOOKUP(F848,'04_Account_Mapping'!$A$6:$A$14,'04_Account_Mapping'!$D$6:$D$14,"Unmapped",0)</f>
        <v>Expense</v>
      </c>
    </row>
    <row r="849" spans="1:11">
      <c r="A849" s="16">
        <v>46357</v>
      </c>
      <c r="B849" s="13">
        <v>2026</v>
      </c>
      <c r="C849" s="13">
        <v>12</v>
      </c>
      <c r="D849" s="13" t="s">
        <v>72</v>
      </c>
      <c r="E849" s="13" t="s">
        <v>68</v>
      </c>
      <c r="F849" s="13" t="s">
        <v>64</v>
      </c>
      <c r="G849" s="19">
        <v>1.4387253563515747</v>
      </c>
      <c r="H849" s="13" t="s">
        <v>86</v>
      </c>
      <c r="I849" s="13" t="s">
        <v>87</v>
      </c>
      <c r="J849" s="21" t="str">
        <f>_xlfn.XLOOKUP(F849,'04_Account_Mapping'!$A$6:$A$14,'04_Account_Mapping'!$C$6:$C$14,"Unmapped",0)</f>
        <v>JV Profit/(Loss)</v>
      </c>
      <c r="K849" s="21" t="str">
        <f>_xlfn.XLOOKUP(F849,'04_Account_Mapping'!$A$6:$A$14,'04_Account_Mapping'!$D$6:$D$14,"Unmapped",0)</f>
        <v>Income</v>
      </c>
    </row>
    <row r="850" spans="1:11">
      <c r="A850" s="16">
        <v>46357</v>
      </c>
      <c r="B850" s="13">
        <v>2026</v>
      </c>
      <c r="C850" s="13">
        <v>12</v>
      </c>
      <c r="D850" s="13" t="s">
        <v>72</v>
      </c>
      <c r="E850" s="13" t="s">
        <v>68</v>
      </c>
      <c r="F850" s="13" t="s">
        <v>65</v>
      </c>
      <c r="G850" s="19">
        <v>0</v>
      </c>
      <c r="H850" s="13" t="s">
        <v>86</v>
      </c>
      <c r="I850" s="13" t="s">
        <v>87</v>
      </c>
      <c r="J850" s="21" t="str">
        <f>_xlfn.XLOOKUP(F850,'04_Account_Mapping'!$A$6:$A$14,'04_Account_Mapping'!$C$6:$C$14,"Unmapped",0)</f>
        <v>Other Net</v>
      </c>
      <c r="K850" s="21" t="str">
        <f>_xlfn.XLOOKUP(F850,'04_Account_Mapping'!$A$6:$A$14,'04_Account_Mapping'!$D$6:$D$14,"Unmapped",0)</f>
        <v>Income</v>
      </c>
    </row>
    <row r="851" spans="1:11">
      <c r="A851" s="16">
        <v>46357</v>
      </c>
      <c r="B851" s="13">
        <v>2026</v>
      </c>
      <c r="C851" s="13">
        <v>12</v>
      </c>
      <c r="D851" s="13" t="s">
        <v>72</v>
      </c>
      <c r="E851" s="13" t="s">
        <v>68</v>
      </c>
      <c r="F851" s="13" t="s">
        <v>66</v>
      </c>
      <c r="G851" s="19">
        <v>-89.434278908341128</v>
      </c>
      <c r="H851" s="13" t="s">
        <v>86</v>
      </c>
      <c r="I851" s="13" t="s">
        <v>87</v>
      </c>
      <c r="J851" s="21" t="str">
        <f>_xlfn.XLOOKUP(F851,'04_Account_Mapping'!$A$6:$A$14,'04_Account_Mapping'!$C$6:$C$14,"Unmapped",0)</f>
        <v>Tax Expense</v>
      </c>
      <c r="K851" s="21" t="str">
        <f>_xlfn.XLOOKUP(F851,'04_Account_Mapping'!$A$6:$A$14,'04_Account_Mapping'!$D$6:$D$14,"Unmapped",0)</f>
        <v>Expense</v>
      </c>
    </row>
    <row r="852" spans="1:11">
      <c r="A852" s="16">
        <v>46357</v>
      </c>
      <c r="B852" s="13">
        <v>2026</v>
      </c>
      <c r="C852" s="13">
        <v>12</v>
      </c>
      <c r="D852" s="13" t="s">
        <v>73</v>
      </c>
      <c r="E852" s="13" t="s">
        <v>74</v>
      </c>
      <c r="F852" s="13" t="s">
        <v>55</v>
      </c>
      <c r="G852" s="19">
        <v>4927.1416313410091</v>
      </c>
      <c r="H852" s="13" t="s">
        <v>86</v>
      </c>
      <c r="I852" s="13" t="s">
        <v>87</v>
      </c>
      <c r="J852" s="21" t="str">
        <f>_xlfn.XLOOKUP(F852,'04_Account_Mapping'!$A$6:$A$14,'04_Account_Mapping'!$C$6:$C$14,"Unmapped",0)</f>
        <v>Revenue</v>
      </c>
      <c r="K852" s="21" t="str">
        <f>_xlfn.XLOOKUP(F852,'04_Account_Mapping'!$A$6:$A$14,'04_Account_Mapping'!$D$6:$D$14,"Unmapped",0)</f>
        <v>Income</v>
      </c>
    </row>
    <row r="853" spans="1:11">
      <c r="A853" s="16">
        <v>46357</v>
      </c>
      <c r="B853" s="13">
        <v>2026</v>
      </c>
      <c r="C853" s="13">
        <v>12</v>
      </c>
      <c r="D853" s="13" t="s">
        <v>73</v>
      </c>
      <c r="E853" s="13" t="s">
        <v>74</v>
      </c>
      <c r="F853" s="13" t="s">
        <v>58</v>
      </c>
      <c r="G853" s="19">
        <v>-3927.1183125648349</v>
      </c>
      <c r="H853" s="13" t="s">
        <v>86</v>
      </c>
      <c r="I853" s="13" t="s">
        <v>87</v>
      </c>
      <c r="J853" s="21" t="str">
        <f>_xlfn.XLOOKUP(F853,'04_Account_Mapping'!$A$6:$A$14,'04_Account_Mapping'!$C$6:$C$14,"Unmapped",0)</f>
        <v>COGS</v>
      </c>
      <c r="K853" s="21" t="str">
        <f>_xlfn.XLOOKUP(F853,'04_Account_Mapping'!$A$6:$A$14,'04_Account_Mapping'!$D$6:$D$14,"Unmapped",0)</f>
        <v>Expense</v>
      </c>
    </row>
    <row r="854" spans="1:11">
      <c r="A854" s="16">
        <v>46357</v>
      </c>
      <c r="B854" s="13">
        <v>2026</v>
      </c>
      <c r="C854" s="13">
        <v>12</v>
      </c>
      <c r="D854" s="13" t="s">
        <v>73</v>
      </c>
      <c r="E854" s="13" t="s">
        <v>74</v>
      </c>
      <c r="F854" s="13" t="s">
        <v>60</v>
      </c>
      <c r="G854" s="19">
        <v>-601.11127902360317</v>
      </c>
      <c r="H854" s="13" t="s">
        <v>86</v>
      </c>
      <c r="I854" s="13" t="s">
        <v>87</v>
      </c>
      <c r="J854" s="21" t="str">
        <f>_xlfn.XLOOKUP(F854,'04_Account_Mapping'!$A$6:$A$14,'04_Account_Mapping'!$C$6:$C$14,"Unmapped",0)</f>
        <v>Selling Expense</v>
      </c>
      <c r="K854" s="21" t="str">
        <f>_xlfn.XLOOKUP(F854,'04_Account_Mapping'!$A$6:$A$14,'04_Account_Mapping'!$D$6:$D$14,"Unmapped",0)</f>
        <v>Expense</v>
      </c>
    </row>
    <row r="855" spans="1:11">
      <c r="A855" s="16">
        <v>46357</v>
      </c>
      <c r="B855" s="13">
        <v>2026</v>
      </c>
      <c r="C855" s="13">
        <v>12</v>
      </c>
      <c r="D855" s="13" t="s">
        <v>73</v>
      </c>
      <c r="E855" s="13" t="s">
        <v>74</v>
      </c>
      <c r="F855" s="13" t="s">
        <v>61</v>
      </c>
      <c r="G855" s="19">
        <v>-142.88710730888926</v>
      </c>
      <c r="H855" s="13" t="s">
        <v>86</v>
      </c>
      <c r="I855" s="13" t="s">
        <v>87</v>
      </c>
      <c r="J855" s="21" t="str">
        <f>_xlfn.XLOOKUP(F855,'04_Account_Mapping'!$A$6:$A$14,'04_Account_Mapping'!$C$6:$C$14,"Unmapped",0)</f>
        <v>G&amp;A</v>
      </c>
      <c r="K855" s="21" t="str">
        <f>_xlfn.XLOOKUP(F855,'04_Account_Mapping'!$A$6:$A$14,'04_Account_Mapping'!$D$6:$D$14,"Unmapped",0)</f>
        <v>Expense</v>
      </c>
    </row>
    <row r="856" spans="1:11">
      <c r="A856" s="16">
        <v>46357</v>
      </c>
      <c r="B856" s="13">
        <v>2026</v>
      </c>
      <c r="C856" s="13">
        <v>12</v>
      </c>
      <c r="D856" s="13" t="s">
        <v>73</v>
      </c>
      <c r="E856" s="13" t="s">
        <v>74</v>
      </c>
      <c r="F856" s="13" t="s">
        <v>62</v>
      </c>
      <c r="G856" s="19">
        <v>98.542832626820186</v>
      </c>
      <c r="H856" s="13" t="s">
        <v>86</v>
      </c>
      <c r="I856" s="13" t="s">
        <v>87</v>
      </c>
      <c r="J856" s="21" t="str">
        <f>_xlfn.XLOOKUP(F856,'04_Account_Mapping'!$A$6:$A$14,'04_Account_Mapping'!$C$6:$C$14,"Unmapped",0)</f>
        <v>Finance Income</v>
      </c>
      <c r="K856" s="21" t="str">
        <f>_xlfn.XLOOKUP(F856,'04_Account_Mapping'!$A$6:$A$14,'04_Account_Mapping'!$D$6:$D$14,"Unmapped",0)</f>
        <v>Income</v>
      </c>
    </row>
    <row r="857" spans="1:11">
      <c r="A857" s="16">
        <v>46357</v>
      </c>
      <c r="B857" s="13">
        <v>2026</v>
      </c>
      <c r="C857" s="13">
        <v>12</v>
      </c>
      <c r="D857" s="13" t="s">
        <v>73</v>
      </c>
      <c r="E857" s="13" t="s">
        <v>74</v>
      </c>
      <c r="F857" s="13" t="s">
        <v>63</v>
      </c>
      <c r="G857" s="19">
        <v>-49.271416313410093</v>
      </c>
      <c r="H857" s="13" t="s">
        <v>86</v>
      </c>
      <c r="I857" s="13" t="s">
        <v>87</v>
      </c>
      <c r="J857" s="21" t="str">
        <f>_xlfn.XLOOKUP(F857,'04_Account_Mapping'!$A$6:$A$14,'04_Account_Mapping'!$C$6:$C$14,"Unmapped",0)</f>
        <v>Finance Expense</v>
      </c>
      <c r="K857" s="21" t="str">
        <f>_xlfn.XLOOKUP(F857,'04_Account_Mapping'!$A$6:$A$14,'04_Account_Mapping'!$D$6:$D$14,"Unmapped",0)</f>
        <v>Expense</v>
      </c>
    </row>
    <row r="858" spans="1:11">
      <c r="A858" s="16">
        <v>46357</v>
      </c>
      <c r="B858" s="13">
        <v>2026</v>
      </c>
      <c r="C858" s="13">
        <v>12</v>
      </c>
      <c r="D858" s="13" t="s">
        <v>73</v>
      </c>
      <c r="E858" s="13" t="s">
        <v>74</v>
      </c>
      <c r="F858" s="13" t="s">
        <v>64</v>
      </c>
      <c r="G858" s="19">
        <v>0.98542832626820187</v>
      </c>
      <c r="H858" s="13" t="s">
        <v>86</v>
      </c>
      <c r="I858" s="13" t="s">
        <v>87</v>
      </c>
      <c r="J858" s="21" t="str">
        <f>_xlfn.XLOOKUP(F858,'04_Account_Mapping'!$A$6:$A$14,'04_Account_Mapping'!$C$6:$C$14,"Unmapped",0)</f>
        <v>JV Profit/(Loss)</v>
      </c>
      <c r="K858" s="21" t="str">
        <f>_xlfn.XLOOKUP(F858,'04_Account_Mapping'!$A$6:$A$14,'04_Account_Mapping'!$D$6:$D$14,"Unmapped",0)</f>
        <v>Income</v>
      </c>
    </row>
    <row r="859" spans="1:11">
      <c r="A859" s="16">
        <v>46357</v>
      </c>
      <c r="B859" s="13">
        <v>2026</v>
      </c>
      <c r="C859" s="13">
        <v>12</v>
      </c>
      <c r="D859" s="13" t="s">
        <v>73</v>
      </c>
      <c r="E859" s="13" t="s">
        <v>74</v>
      </c>
      <c r="F859" s="13" t="s">
        <v>65</v>
      </c>
      <c r="G859" s="19">
        <v>0</v>
      </c>
      <c r="H859" s="13" t="s">
        <v>86</v>
      </c>
      <c r="I859" s="13" t="s">
        <v>87</v>
      </c>
      <c r="J859" s="21" t="str">
        <f>_xlfn.XLOOKUP(F859,'04_Account_Mapping'!$A$6:$A$14,'04_Account_Mapping'!$C$6:$C$14,"Unmapped",0)</f>
        <v>Other Net</v>
      </c>
      <c r="K859" s="21" t="str">
        <f>_xlfn.XLOOKUP(F859,'04_Account_Mapping'!$A$6:$A$14,'04_Account_Mapping'!$D$6:$D$14,"Unmapped",0)</f>
        <v>Income</v>
      </c>
    </row>
    <row r="860" spans="1:11">
      <c r="A860" s="16">
        <v>46357</v>
      </c>
      <c r="B860" s="13">
        <v>2026</v>
      </c>
      <c r="C860" s="13">
        <v>12</v>
      </c>
      <c r="D860" s="13" t="s">
        <v>73</v>
      </c>
      <c r="E860" s="13" t="s">
        <v>74</v>
      </c>
      <c r="F860" s="13" t="s">
        <v>66</v>
      </c>
      <c r="G860" s="19">
        <v>-61.256355416672008</v>
      </c>
      <c r="H860" s="13" t="s">
        <v>86</v>
      </c>
      <c r="I860" s="13" t="s">
        <v>87</v>
      </c>
      <c r="J860" s="21" t="str">
        <f>_xlfn.XLOOKUP(F860,'04_Account_Mapping'!$A$6:$A$14,'04_Account_Mapping'!$C$6:$C$14,"Unmapped",0)</f>
        <v>Tax Expense</v>
      </c>
      <c r="K860" s="21" t="str">
        <f>_xlfn.XLOOKUP(F860,'04_Account_Mapping'!$A$6:$A$14,'04_Account_Mapping'!$D$6:$D$14,"Unmapped",0)</f>
        <v>Expense</v>
      </c>
    </row>
    <row r="861" spans="1:11">
      <c r="A861" s="16">
        <v>46357</v>
      </c>
      <c r="B861" s="13">
        <v>2026</v>
      </c>
      <c r="C861" s="13">
        <v>12</v>
      </c>
      <c r="D861" s="13" t="s">
        <v>75</v>
      </c>
      <c r="E861" s="13" t="s">
        <v>76</v>
      </c>
      <c r="F861" s="13" t="s">
        <v>55</v>
      </c>
      <c r="G861" s="19">
        <v>377.74752506947732</v>
      </c>
      <c r="H861" s="13" t="s">
        <v>86</v>
      </c>
      <c r="I861" s="13" t="s">
        <v>87</v>
      </c>
      <c r="J861" s="21" t="str">
        <f>_xlfn.XLOOKUP(F861,'04_Account_Mapping'!$A$6:$A$14,'04_Account_Mapping'!$C$6:$C$14,"Unmapped",0)</f>
        <v>Revenue</v>
      </c>
      <c r="K861" s="21" t="str">
        <f>_xlfn.XLOOKUP(F861,'04_Account_Mapping'!$A$6:$A$14,'04_Account_Mapping'!$D$6:$D$14,"Unmapped",0)</f>
        <v>Income</v>
      </c>
    </row>
    <row r="862" spans="1:11">
      <c r="A862" s="16">
        <v>46357</v>
      </c>
      <c r="B862" s="13">
        <v>2026</v>
      </c>
      <c r="C862" s="13">
        <v>12</v>
      </c>
      <c r="D862" s="13" t="s">
        <v>75</v>
      </c>
      <c r="E862" s="13" t="s">
        <v>76</v>
      </c>
      <c r="F862" s="13" t="s">
        <v>58</v>
      </c>
      <c r="G862" s="19">
        <v>-301.07907062997066</v>
      </c>
      <c r="H862" s="13" t="s">
        <v>86</v>
      </c>
      <c r="I862" s="13" t="s">
        <v>87</v>
      </c>
      <c r="J862" s="21" t="str">
        <f>_xlfn.XLOOKUP(F862,'04_Account_Mapping'!$A$6:$A$14,'04_Account_Mapping'!$C$6:$C$14,"Unmapped",0)</f>
        <v>COGS</v>
      </c>
      <c r="K862" s="21" t="str">
        <f>_xlfn.XLOOKUP(F862,'04_Account_Mapping'!$A$6:$A$14,'04_Account_Mapping'!$D$6:$D$14,"Unmapped",0)</f>
        <v>Expense</v>
      </c>
    </row>
    <row r="863" spans="1:11">
      <c r="A863" s="16">
        <v>46357</v>
      </c>
      <c r="B863" s="13">
        <v>2026</v>
      </c>
      <c r="C863" s="13">
        <v>12</v>
      </c>
      <c r="D863" s="13" t="s">
        <v>75</v>
      </c>
      <c r="E863" s="13" t="s">
        <v>76</v>
      </c>
      <c r="F863" s="13" t="s">
        <v>60</v>
      </c>
      <c r="G863" s="19">
        <v>-46.085198058476237</v>
      </c>
      <c r="H863" s="13" t="s">
        <v>86</v>
      </c>
      <c r="I863" s="13" t="s">
        <v>87</v>
      </c>
      <c r="J863" s="21" t="str">
        <f>_xlfn.XLOOKUP(F863,'04_Account_Mapping'!$A$6:$A$14,'04_Account_Mapping'!$C$6:$C$14,"Unmapped",0)</f>
        <v>Selling Expense</v>
      </c>
      <c r="K863" s="21" t="str">
        <f>_xlfn.XLOOKUP(F863,'04_Account_Mapping'!$A$6:$A$14,'04_Account_Mapping'!$D$6:$D$14,"Unmapped",0)</f>
        <v>Expense</v>
      </c>
    </row>
    <row r="864" spans="1:11">
      <c r="A864" s="16">
        <v>46357</v>
      </c>
      <c r="B864" s="13">
        <v>2026</v>
      </c>
      <c r="C864" s="13">
        <v>12</v>
      </c>
      <c r="D864" s="13" t="s">
        <v>75</v>
      </c>
      <c r="E864" s="13" t="s">
        <v>76</v>
      </c>
      <c r="F864" s="13" t="s">
        <v>61</v>
      </c>
      <c r="G864" s="19">
        <v>-10.954678227014844</v>
      </c>
      <c r="H864" s="13" t="s">
        <v>86</v>
      </c>
      <c r="I864" s="13" t="s">
        <v>87</v>
      </c>
      <c r="J864" s="21" t="str">
        <f>_xlfn.XLOOKUP(F864,'04_Account_Mapping'!$A$6:$A$14,'04_Account_Mapping'!$C$6:$C$14,"Unmapped",0)</f>
        <v>G&amp;A</v>
      </c>
      <c r="K864" s="21" t="str">
        <f>_xlfn.XLOOKUP(F864,'04_Account_Mapping'!$A$6:$A$14,'04_Account_Mapping'!$D$6:$D$14,"Unmapped",0)</f>
        <v>Expense</v>
      </c>
    </row>
    <row r="865" spans="1:11">
      <c r="A865" s="16">
        <v>46357</v>
      </c>
      <c r="B865" s="13">
        <v>2026</v>
      </c>
      <c r="C865" s="13">
        <v>12</v>
      </c>
      <c r="D865" s="13" t="s">
        <v>75</v>
      </c>
      <c r="E865" s="13" t="s">
        <v>76</v>
      </c>
      <c r="F865" s="13" t="s">
        <v>62</v>
      </c>
      <c r="G865" s="19">
        <v>7.5549505013895466</v>
      </c>
      <c r="H865" s="13" t="s">
        <v>86</v>
      </c>
      <c r="I865" s="13" t="s">
        <v>87</v>
      </c>
      <c r="J865" s="21" t="str">
        <f>_xlfn.XLOOKUP(F865,'04_Account_Mapping'!$A$6:$A$14,'04_Account_Mapping'!$C$6:$C$14,"Unmapped",0)</f>
        <v>Finance Income</v>
      </c>
      <c r="K865" s="21" t="str">
        <f>_xlfn.XLOOKUP(F865,'04_Account_Mapping'!$A$6:$A$14,'04_Account_Mapping'!$D$6:$D$14,"Unmapped",0)</f>
        <v>Income</v>
      </c>
    </row>
    <row r="866" spans="1:11">
      <c r="A866" s="16">
        <v>46357</v>
      </c>
      <c r="B866" s="13">
        <v>2026</v>
      </c>
      <c r="C866" s="13">
        <v>12</v>
      </c>
      <c r="D866" s="13" t="s">
        <v>75</v>
      </c>
      <c r="E866" s="13" t="s">
        <v>76</v>
      </c>
      <c r="F866" s="13" t="s">
        <v>63</v>
      </c>
      <c r="G866" s="19">
        <v>-3.7774752506947733</v>
      </c>
      <c r="H866" s="13" t="s">
        <v>86</v>
      </c>
      <c r="I866" s="13" t="s">
        <v>87</v>
      </c>
      <c r="J866" s="21" t="str">
        <f>_xlfn.XLOOKUP(F866,'04_Account_Mapping'!$A$6:$A$14,'04_Account_Mapping'!$C$6:$C$14,"Unmapped",0)</f>
        <v>Finance Expense</v>
      </c>
      <c r="K866" s="21" t="str">
        <f>_xlfn.XLOOKUP(F866,'04_Account_Mapping'!$A$6:$A$14,'04_Account_Mapping'!$D$6:$D$14,"Unmapped",0)</f>
        <v>Expense</v>
      </c>
    </row>
    <row r="867" spans="1:11">
      <c r="A867" s="16">
        <v>46357</v>
      </c>
      <c r="B867" s="13">
        <v>2026</v>
      </c>
      <c r="C867" s="13">
        <v>12</v>
      </c>
      <c r="D867" s="13" t="s">
        <v>75</v>
      </c>
      <c r="E867" s="13" t="s">
        <v>76</v>
      </c>
      <c r="F867" s="13" t="s">
        <v>64</v>
      </c>
      <c r="G867" s="19">
        <v>7.5549505013895471E-2</v>
      </c>
      <c r="H867" s="13" t="s">
        <v>86</v>
      </c>
      <c r="I867" s="13" t="s">
        <v>87</v>
      </c>
      <c r="J867" s="21" t="str">
        <f>_xlfn.XLOOKUP(F867,'04_Account_Mapping'!$A$6:$A$14,'04_Account_Mapping'!$C$6:$C$14,"Unmapped",0)</f>
        <v>JV Profit/(Loss)</v>
      </c>
      <c r="K867" s="21" t="str">
        <f>_xlfn.XLOOKUP(F867,'04_Account_Mapping'!$A$6:$A$14,'04_Account_Mapping'!$D$6:$D$14,"Unmapped",0)</f>
        <v>Income</v>
      </c>
    </row>
    <row r="868" spans="1:11">
      <c r="A868" s="16">
        <v>46357</v>
      </c>
      <c r="B868" s="13">
        <v>2026</v>
      </c>
      <c r="C868" s="13">
        <v>12</v>
      </c>
      <c r="D868" s="13" t="s">
        <v>75</v>
      </c>
      <c r="E868" s="13" t="s">
        <v>76</v>
      </c>
      <c r="F868" s="13" t="s">
        <v>65</v>
      </c>
      <c r="G868" s="19">
        <v>0</v>
      </c>
      <c r="H868" s="13" t="s">
        <v>86</v>
      </c>
      <c r="I868" s="13" t="s">
        <v>87</v>
      </c>
      <c r="J868" s="21" t="str">
        <f>_xlfn.XLOOKUP(F868,'04_Account_Mapping'!$A$6:$A$14,'04_Account_Mapping'!$C$6:$C$14,"Unmapped",0)</f>
        <v>Other Net</v>
      </c>
      <c r="K868" s="21" t="str">
        <f>_xlfn.XLOOKUP(F868,'04_Account_Mapping'!$A$6:$A$14,'04_Account_Mapping'!$D$6:$D$14,"Unmapped",0)</f>
        <v>Income</v>
      </c>
    </row>
    <row r="869" spans="1:11">
      <c r="A869" s="17">
        <v>46357</v>
      </c>
      <c r="B869" s="14">
        <v>2026</v>
      </c>
      <c r="C869" s="14">
        <v>12</v>
      </c>
      <c r="D869" s="14" t="s">
        <v>75</v>
      </c>
      <c r="E869" s="14" t="s">
        <v>76</v>
      </c>
      <c r="F869" s="14" t="s">
        <v>66</v>
      </c>
      <c r="G869" s="20">
        <v>-4.6963205819448532</v>
      </c>
      <c r="H869" s="14" t="s">
        <v>86</v>
      </c>
      <c r="I869" s="14" t="s">
        <v>87</v>
      </c>
      <c r="J869" s="21" t="str">
        <f>_xlfn.XLOOKUP(F869,'04_Account_Mapping'!$A$6:$A$14,'04_Account_Mapping'!$C$6:$C$14,"Unmapped",0)</f>
        <v>Tax Expense</v>
      </c>
      <c r="K869" s="21" t="str">
        <f>_xlfn.XLOOKUP(F869,'04_Account_Mapping'!$A$6:$A$14,'04_Account_Mapping'!$D$6:$D$14,"Unmapped",0)</f>
        <v>Expense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showGridLines="0" workbookViewId="0"/>
  </sheetViews>
  <sheetFormatPr defaultRowHeight="14.25"/>
  <cols>
    <col min="1" max="1" width="30" customWidth="1"/>
    <col min="2" max="2" width="18" customWidth="1"/>
    <col min="3" max="3" width="45" customWidth="1"/>
    <col min="5" max="5" width="30" customWidth="1"/>
    <col min="6" max="6" width="18" customWidth="1"/>
    <col min="7" max="7" width="38" customWidth="1"/>
  </cols>
  <sheetData>
    <row r="1" spans="1:8" ht="30" customHeight="1">
      <c r="A1" s="115" t="s">
        <v>88</v>
      </c>
      <c r="B1" s="115" t="s">
        <v>88</v>
      </c>
      <c r="C1" s="115" t="s">
        <v>88</v>
      </c>
      <c r="D1" s="115" t="s">
        <v>88</v>
      </c>
      <c r="E1" s="115" t="s">
        <v>88</v>
      </c>
      <c r="F1" s="115" t="s">
        <v>88</v>
      </c>
      <c r="G1" s="115" t="s">
        <v>88</v>
      </c>
      <c r="H1" s="115" t="s">
        <v>88</v>
      </c>
    </row>
    <row r="2" spans="1:8" ht="33.950000000000003" customHeight="1">
      <c r="A2" s="116" t="s">
        <v>89</v>
      </c>
      <c r="B2" s="116" t="s">
        <v>89</v>
      </c>
      <c r="C2" s="116" t="s">
        <v>89</v>
      </c>
      <c r="D2" s="116" t="s">
        <v>89</v>
      </c>
      <c r="E2" s="116" t="s">
        <v>89</v>
      </c>
      <c r="F2" s="116" t="s">
        <v>89</v>
      </c>
      <c r="G2" s="116" t="s">
        <v>89</v>
      </c>
      <c r="H2" s="116" t="s">
        <v>89</v>
      </c>
    </row>
    <row r="4" spans="1:8" ht="21.95" customHeight="1">
      <c r="A4" s="105" t="s">
        <v>90</v>
      </c>
      <c r="B4" s="105" t="s">
        <v>90</v>
      </c>
      <c r="C4" s="105" t="s">
        <v>90</v>
      </c>
      <c r="D4" s="105" t="s">
        <v>90</v>
      </c>
      <c r="E4" s="105" t="s">
        <v>90</v>
      </c>
      <c r="F4" s="105" t="s">
        <v>90</v>
      </c>
      <c r="G4" s="105" t="s">
        <v>90</v>
      </c>
      <c r="H4" s="105" t="s">
        <v>90</v>
      </c>
    </row>
    <row r="6" spans="1:8" ht="30" customHeight="1">
      <c r="A6" s="11" t="s">
        <v>45</v>
      </c>
      <c r="B6" s="11" t="s">
        <v>46</v>
      </c>
      <c r="C6" s="11" t="s">
        <v>91</v>
      </c>
      <c r="D6" s="11" t="s">
        <v>92</v>
      </c>
    </row>
    <row r="7" spans="1:8">
      <c r="A7" s="12" t="s">
        <v>67</v>
      </c>
      <c r="B7" s="12" t="s">
        <v>68</v>
      </c>
      <c r="C7" s="12" t="s">
        <v>93</v>
      </c>
      <c r="D7" s="22">
        <v>0.23899999999999999</v>
      </c>
    </row>
    <row r="8" spans="1:8">
      <c r="A8" s="13" t="s">
        <v>72</v>
      </c>
      <c r="B8" s="13" t="s">
        <v>68</v>
      </c>
      <c r="C8" s="13" t="s">
        <v>94</v>
      </c>
      <c r="D8" s="23">
        <v>0.438</v>
      </c>
    </row>
    <row r="9" spans="1:8">
      <c r="A9" s="13" t="s">
        <v>73</v>
      </c>
      <c r="B9" s="13" t="s">
        <v>74</v>
      </c>
      <c r="C9" s="13" t="s">
        <v>95</v>
      </c>
      <c r="D9" s="23">
        <v>0.3</v>
      </c>
    </row>
    <row r="10" spans="1:8">
      <c r="A10" s="13" t="s">
        <v>75</v>
      </c>
      <c r="B10" s="13" t="s">
        <v>76</v>
      </c>
      <c r="C10" s="13" t="s">
        <v>96</v>
      </c>
      <c r="D10" s="23">
        <v>2.3E-2</v>
      </c>
    </row>
    <row r="11" spans="1:8">
      <c r="A11" s="14" t="s">
        <v>53</v>
      </c>
      <c r="B11" s="14" t="s">
        <v>54</v>
      </c>
      <c r="C11" s="14" t="s">
        <v>97</v>
      </c>
      <c r="D11" s="24"/>
    </row>
    <row r="12" spans="1:8" ht="21.95" customHeight="1">
      <c r="A12" s="105" t="s">
        <v>98</v>
      </c>
      <c r="B12" s="105" t="s">
        <v>98</v>
      </c>
      <c r="C12" s="105" t="s">
        <v>98</v>
      </c>
      <c r="D12" s="105" t="s">
        <v>98</v>
      </c>
      <c r="E12" s="105" t="s">
        <v>99</v>
      </c>
      <c r="F12" s="105" t="s">
        <v>99</v>
      </c>
      <c r="G12" s="105" t="s">
        <v>99</v>
      </c>
      <c r="H12" s="105" t="s">
        <v>99</v>
      </c>
    </row>
    <row r="14" spans="1:8" ht="30" customHeight="1">
      <c r="A14" s="11" t="s">
        <v>100</v>
      </c>
      <c r="B14" s="11" t="s">
        <v>101</v>
      </c>
      <c r="C14" s="11" t="s">
        <v>102</v>
      </c>
      <c r="E14" s="11" t="s">
        <v>100</v>
      </c>
      <c r="F14" s="11" t="s">
        <v>101</v>
      </c>
      <c r="G14" s="11" t="s">
        <v>102</v>
      </c>
    </row>
    <row r="15" spans="1:8">
      <c r="A15" s="12" t="s">
        <v>103</v>
      </c>
      <c r="B15" s="25">
        <v>150000</v>
      </c>
      <c r="C15" s="12" t="s">
        <v>104</v>
      </c>
      <c r="E15" s="12" t="s">
        <v>103</v>
      </c>
      <c r="F15" s="25">
        <v>185000</v>
      </c>
      <c r="G15" s="12" t="s">
        <v>105</v>
      </c>
    </row>
    <row r="16" spans="1:8">
      <c r="A16" s="13" t="s">
        <v>106</v>
      </c>
      <c r="B16" s="26">
        <v>4850</v>
      </c>
      <c r="C16" s="13" t="s">
        <v>104</v>
      </c>
      <c r="E16" s="13" t="s">
        <v>106</v>
      </c>
      <c r="F16" s="26">
        <v>9200</v>
      </c>
      <c r="G16" s="13" t="s">
        <v>105</v>
      </c>
    </row>
    <row r="17" spans="1:8">
      <c r="A17" s="13" t="s">
        <v>107</v>
      </c>
      <c r="B17" s="27">
        <v>0.14199999999999999</v>
      </c>
      <c r="C17" s="13" t="s">
        <v>108</v>
      </c>
      <c r="E17" s="13" t="s">
        <v>107</v>
      </c>
      <c r="F17" s="27">
        <v>0.122</v>
      </c>
      <c r="G17" s="13" t="s">
        <v>108</v>
      </c>
    </row>
    <row r="18" spans="1:8">
      <c r="A18" s="13" t="s">
        <v>109</v>
      </c>
      <c r="B18" s="27">
        <v>2.7E-2</v>
      </c>
      <c r="C18" s="13" t="s">
        <v>108</v>
      </c>
      <c r="E18" s="13" t="s">
        <v>109</v>
      </c>
      <c r="F18" s="27">
        <v>2.9000000000000001E-2</v>
      </c>
      <c r="G18" s="13" t="s">
        <v>108</v>
      </c>
    </row>
    <row r="19" spans="1:8">
      <c r="A19" s="13" t="s">
        <v>110</v>
      </c>
      <c r="B19" s="27">
        <v>1.4999999999999999E-2</v>
      </c>
      <c r="C19" s="13" t="s">
        <v>108</v>
      </c>
      <c r="E19" s="13" t="s">
        <v>110</v>
      </c>
      <c r="F19" s="27">
        <v>0.02</v>
      </c>
      <c r="G19" s="13" t="s">
        <v>108</v>
      </c>
    </row>
    <row r="20" spans="1:8">
      <c r="A20" s="13" t="s">
        <v>111</v>
      </c>
      <c r="B20" s="27">
        <v>8.0000000000000002E-3</v>
      </c>
      <c r="C20" s="13" t="s">
        <v>108</v>
      </c>
      <c r="E20" s="13" t="s">
        <v>111</v>
      </c>
      <c r="F20" s="27">
        <v>0.01</v>
      </c>
      <c r="G20" s="13" t="s">
        <v>108</v>
      </c>
    </row>
    <row r="21" spans="1:8">
      <c r="A21" s="13" t="s">
        <v>112</v>
      </c>
      <c r="B21" s="27">
        <v>0</v>
      </c>
      <c r="C21" s="13" t="s">
        <v>108</v>
      </c>
      <c r="E21" s="13" t="s">
        <v>112</v>
      </c>
      <c r="F21" s="27">
        <v>2.0000000000000001E-4</v>
      </c>
      <c r="G21" s="13" t="s">
        <v>108</v>
      </c>
    </row>
    <row r="22" spans="1:8">
      <c r="A22" s="13" t="s">
        <v>113</v>
      </c>
      <c r="B22" s="27">
        <v>-1.6000000000000001E-3</v>
      </c>
      <c r="C22" s="13" t="s">
        <v>108</v>
      </c>
      <c r="E22" s="13" t="s">
        <v>113</v>
      </c>
      <c r="F22" s="27">
        <v>0</v>
      </c>
      <c r="G22" s="13" t="s">
        <v>108</v>
      </c>
    </row>
    <row r="23" spans="1:8">
      <c r="A23" s="13" t="s">
        <v>114</v>
      </c>
      <c r="B23" s="27">
        <v>0.2</v>
      </c>
      <c r="C23" s="13" t="s">
        <v>108</v>
      </c>
      <c r="E23" s="13" t="s">
        <v>114</v>
      </c>
      <c r="F23" s="27">
        <v>0.2</v>
      </c>
      <c r="G23" s="13" t="s">
        <v>108</v>
      </c>
    </row>
    <row r="24" spans="1:8">
      <c r="A24" s="28" t="s">
        <v>115</v>
      </c>
      <c r="B24" s="29">
        <f>B16/(B15*(1-B23))+B17+B18-B19+B20-B21-B22</f>
        <v>0.20401666666666662</v>
      </c>
      <c r="C24" s="28" t="s">
        <v>116</v>
      </c>
      <c r="E24" s="13" t="s">
        <v>117</v>
      </c>
      <c r="F24" s="27">
        <v>0.05</v>
      </c>
      <c r="G24" s="13" t="s">
        <v>118</v>
      </c>
    </row>
    <row r="25" spans="1:8">
      <c r="E25" s="13" t="s">
        <v>119</v>
      </c>
      <c r="F25" s="30">
        <v>6</v>
      </c>
      <c r="G25" s="13" t="s">
        <v>120</v>
      </c>
    </row>
    <row r="26" spans="1:8">
      <c r="E26" s="28" t="s">
        <v>115</v>
      </c>
      <c r="F26" s="31">
        <f>F16/(F15*(1-F23))+F17+F18-F19+F20-F21-F22</f>
        <v>0.20296216216216217</v>
      </c>
      <c r="G26" s="28" t="s">
        <v>121</v>
      </c>
    </row>
    <row r="28" spans="1:8" ht="21.95" customHeight="1">
      <c r="A28" s="105" t="s">
        <v>122</v>
      </c>
      <c r="B28" s="105" t="s">
        <v>122</v>
      </c>
      <c r="C28" s="105" t="s">
        <v>122</v>
      </c>
      <c r="D28" s="105" t="s">
        <v>122</v>
      </c>
      <c r="E28" s="105" t="s">
        <v>122</v>
      </c>
      <c r="F28" s="105" t="s">
        <v>122</v>
      </c>
      <c r="G28" s="105" t="s">
        <v>122</v>
      </c>
      <c r="H28" s="105" t="s">
        <v>122</v>
      </c>
    </row>
    <row r="30" spans="1:8" ht="30" customHeight="1">
      <c r="A30" s="11" t="s">
        <v>123</v>
      </c>
      <c r="B30" s="11" t="s">
        <v>3</v>
      </c>
      <c r="C30" s="11" t="s">
        <v>124</v>
      </c>
      <c r="D30" s="11" t="s">
        <v>125</v>
      </c>
    </row>
    <row r="31" spans="1:8">
      <c r="A31" s="12" t="s">
        <v>126</v>
      </c>
      <c r="B31" s="12" t="s">
        <v>127</v>
      </c>
      <c r="C31" s="12" t="s">
        <v>128</v>
      </c>
      <c r="D31" s="99" t="s">
        <v>842</v>
      </c>
    </row>
    <row r="32" spans="1:8">
      <c r="A32" s="13" t="s">
        <v>129</v>
      </c>
      <c r="B32" s="13" t="s">
        <v>130</v>
      </c>
      <c r="C32" s="13" t="s">
        <v>128</v>
      </c>
      <c r="D32" s="100" t="s">
        <v>842</v>
      </c>
    </row>
    <row r="33" spans="1:4">
      <c r="A33" s="13" t="s">
        <v>131</v>
      </c>
      <c r="B33" s="13" t="s">
        <v>132</v>
      </c>
      <c r="C33" s="13" t="s">
        <v>128</v>
      </c>
      <c r="D33" s="100" t="s">
        <v>842</v>
      </c>
    </row>
    <row r="34" spans="1:4">
      <c r="A34" s="13" t="s">
        <v>133</v>
      </c>
      <c r="B34" s="13" t="s">
        <v>134</v>
      </c>
      <c r="C34" s="13" t="s">
        <v>128</v>
      </c>
      <c r="D34" s="100" t="s">
        <v>842</v>
      </c>
    </row>
    <row r="35" spans="1:4">
      <c r="A35" s="14" t="s">
        <v>135</v>
      </c>
      <c r="B35" s="14" t="s">
        <v>136</v>
      </c>
      <c r="C35" s="14" t="s">
        <v>128</v>
      </c>
      <c r="D35" s="101" t="s">
        <v>842</v>
      </c>
    </row>
  </sheetData>
  <mergeCells count="5">
    <mergeCell ref="A1:H1"/>
    <mergeCell ref="A2:H2"/>
    <mergeCell ref="A4:H4"/>
    <mergeCell ref="A12:H12"/>
    <mergeCell ref="A28:H28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/>
  </sheetViews>
  <sheetFormatPr defaultRowHeight="14.25"/>
  <cols>
    <col min="1" max="1" width="16" customWidth="1"/>
    <col min="2" max="2" width="38" customWidth="1"/>
    <col min="3" max="3" width="22" customWidth="1"/>
    <col min="4" max="6" width="20" customWidth="1"/>
  </cols>
  <sheetData>
    <row r="1" spans="1:6" ht="30" customHeight="1">
      <c r="A1" s="115" t="s">
        <v>137</v>
      </c>
      <c r="B1" s="115" t="s">
        <v>137</v>
      </c>
      <c r="C1" s="115" t="s">
        <v>137</v>
      </c>
      <c r="D1" s="115" t="s">
        <v>137</v>
      </c>
      <c r="E1" s="115" t="s">
        <v>137</v>
      </c>
      <c r="F1" s="115" t="s">
        <v>137</v>
      </c>
    </row>
    <row r="2" spans="1:6" ht="33.950000000000003" customHeight="1">
      <c r="A2" s="116" t="s">
        <v>138</v>
      </c>
      <c r="B2" s="116" t="s">
        <v>138</v>
      </c>
      <c r="C2" s="116" t="s">
        <v>138</v>
      </c>
      <c r="D2" s="116" t="s">
        <v>138</v>
      </c>
      <c r="E2" s="116" t="s">
        <v>138</v>
      </c>
      <c r="F2" s="116" t="s">
        <v>138</v>
      </c>
    </row>
    <row r="5" spans="1:6" ht="30" customHeight="1">
      <c r="A5" s="11" t="s">
        <v>47</v>
      </c>
      <c r="B5" s="11" t="s">
        <v>139</v>
      </c>
      <c r="C5" s="11" t="s">
        <v>140</v>
      </c>
      <c r="D5" s="11" t="s">
        <v>52</v>
      </c>
      <c r="E5" s="11" t="s">
        <v>141</v>
      </c>
      <c r="F5" s="11" t="s">
        <v>142</v>
      </c>
    </row>
    <row r="6" spans="1:6">
      <c r="A6" s="12" t="s">
        <v>55</v>
      </c>
      <c r="B6" s="12" t="s">
        <v>143</v>
      </c>
      <c r="C6" s="12" t="s">
        <v>144</v>
      </c>
      <c r="D6" s="12" t="s">
        <v>145</v>
      </c>
      <c r="E6" s="32">
        <v>1</v>
      </c>
      <c r="F6" s="12" t="s">
        <v>146</v>
      </c>
    </row>
    <row r="7" spans="1:6">
      <c r="A7" s="13" t="s">
        <v>58</v>
      </c>
      <c r="B7" s="13" t="s">
        <v>147</v>
      </c>
      <c r="C7" s="13" t="s">
        <v>58</v>
      </c>
      <c r="D7" s="13" t="s">
        <v>148</v>
      </c>
      <c r="E7" s="33">
        <v>-1</v>
      </c>
      <c r="F7" s="13" t="s">
        <v>149</v>
      </c>
    </row>
    <row r="8" spans="1:6">
      <c r="A8" s="13" t="s">
        <v>60</v>
      </c>
      <c r="B8" s="13" t="s">
        <v>150</v>
      </c>
      <c r="C8" s="13" t="s">
        <v>151</v>
      </c>
      <c r="D8" s="13" t="s">
        <v>148</v>
      </c>
      <c r="E8" s="33">
        <v>-1</v>
      </c>
      <c r="F8" s="13" t="s">
        <v>149</v>
      </c>
    </row>
    <row r="9" spans="1:6">
      <c r="A9" s="13" t="s">
        <v>61</v>
      </c>
      <c r="B9" s="13" t="s">
        <v>152</v>
      </c>
      <c r="C9" s="13" t="s">
        <v>153</v>
      </c>
      <c r="D9" s="13" t="s">
        <v>148</v>
      </c>
      <c r="E9" s="33">
        <v>-1</v>
      </c>
      <c r="F9" s="13" t="s">
        <v>149</v>
      </c>
    </row>
    <row r="10" spans="1:6">
      <c r="A10" s="13" t="s">
        <v>62</v>
      </c>
      <c r="B10" s="13" t="s">
        <v>154</v>
      </c>
      <c r="C10" s="13" t="s">
        <v>155</v>
      </c>
      <c r="D10" s="13" t="s">
        <v>145</v>
      </c>
      <c r="E10" s="33">
        <v>1</v>
      </c>
      <c r="F10" s="13" t="s">
        <v>146</v>
      </c>
    </row>
    <row r="11" spans="1:6">
      <c r="A11" s="13" t="s">
        <v>63</v>
      </c>
      <c r="B11" s="13" t="s">
        <v>156</v>
      </c>
      <c r="C11" s="13" t="s">
        <v>157</v>
      </c>
      <c r="D11" s="13" t="s">
        <v>148</v>
      </c>
      <c r="E11" s="33">
        <v>-1</v>
      </c>
      <c r="F11" s="13" t="s">
        <v>149</v>
      </c>
    </row>
    <row r="12" spans="1:6">
      <c r="A12" s="13" t="s">
        <v>64</v>
      </c>
      <c r="B12" s="13" t="s">
        <v>158</v>
      </c>
      <c r="C12" s="13" t="s">
        <v>159</v>
      </c>
      <c r="D12" s="13" t="s">
        <v>145</v>
      </c>
      <c r="E12" s="33">
        <v>1</v>
      </c>
      <c r="F12" s="13" t="s">
        <v>146</v>
      </c>
    </row>
    <row r="13" spans="1:6">
      <c r="A13" s="13" t="s">
        <v>65</v>
      </c>
      <c r="B13" s="13" t="s">
        <v>160</v>
      </c>
      <c r="C13" s="13" t="s">
        <v>161</v>
      </c>
      <c r="D13" s="13" t="s">
        <v>145</v>
      </c>
      <c r="E13" s="33">
        <v>1</v>
      </c>
      <c r="F13" s="13" t="s">
        <v>146</v>
      </c>
    </row>
    <row r="14" spans="1:6">
      <c r="A14" s="14" t="s">
        <v>66</v>
      </c>
      <c r="B14" s="14" t="s">
        <v>162</v>
      </c>
      <c r="C14" s="14" t="s">
        <v>163</v>
      </c>
      <c r="D14" s="14" t="s">
        <v>148</v>
      </c>
      <c r="E14" s="34">
        <v>-1</v>
      </c>
      <c r="F14" s="14" t="s">
        <v>149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4"/>
  <sheetViews>
    <sheetView showGridLines="0" workbookViewId="0"/>
  </sheetViews>
  <sheetFormatPr defaultRowHeight="14.25"/>
  <cols>
    <col min="1" max="1" width="12" customWidth="1"/>
    <col min="2" max="2" width="28" customWidth="1"/>
    <col min="3" max="15" width="12" customWidth="1"/>
  </cols>
  <sheetData>
    <row r="1" spans="1:15" ht="30" customHeight="1">
      <c r="A1" s="115" t="s">
        <v>164</v>
      </c>
      <c r="B1" s="115" t="s">
        <v>164</v>
      </c>
      <c r="C1" s="115" t="s">
        <v>164</v>
      </c>
      <c r="D1" s="115" t="s">
        <v>164</v>
      </c>
      <c r="E1" s="115" t="s">
        <v>164</v>
      </c>
      <c r="F1" s="115" t="s">
        <v>164</v>
      </c>
      <c r="G1" s="115" t="s">
        <v>164</v>
      </c>
      <c r="H1" s="115" t="s">
        <v>164</v>
      </c>
      <c r="I1" s="115" t="s">
        <v>164</v>
      </c>
      <c r="J1" s="115" t="s">
        <v>164</v>
      </c>
      <c r="K1" s="115" t="s">
        <v>164</v>
      </c>
      <c r="L1" s="115" t="s">
        <v>164</v>
      </c>
      <c r="M1" s="115" t="s">
        <v>164</v>
      </c>
      <c r="N1" s="115" t="s">
        <v>164</v>
      </c>
      <c r="O1" s="115" t="s">
        <v>164</v>
      </c>
    </row>
    <row r="2" spans="1:15" ht="33.950000000000003" customHeight="1">
      <c r="A2" s="116" t="s">
        <v>165</v>
      </c>
      <c r="B2" s="116" t="s">
        <v>165</v>
      </c>
      <c r="C2" s="116" t="s">
        <v>165</v>
      </c>
      <c r="D2" s="116" t="s">
        <v>165</v>
      </c>
      <c r="E2" s="116" t="s">
        <v>165</v>
      </c>
      <c r="F2" s="116" t="s">
        <v>165</v>
      </c>
      <c r="G2" s="116" t="s">
        <v>165</v>
      </c>
      <c r="H2" s="116" t="s">
        <v>165</v>
      </c>
      <c r="I2" s="116" t="s">
        <v>165</v>
      </c>
      <c r="J2" s="116" t="s">
        <v>165</v>
      </c>
      <c r="K2" s="116" t="s">
        <v>165</v>
      </c>
      <c r="L2" s="116" t="s">
        <v>165</v>
      </c>
      <c r="M2" s="116" t="s">
        <v>165</v>
      </c>
      <c r="N2" s="116" t="s">
        <v>165</v>
      </c>
      <c r="O2" s="116" t="s">
        <v>165</v>
      </c>
    </row>
    <row r="3" spans="1:1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 ht="30" customHeight="1">
      <c r="A4" s="11" t="s">
        <v>166</v>
      </c>
      <c r="B4" s="11" t="s">
        <v>167</v>
      </c>
      <c r="C4" s="35">
        <v>45658</v>
      </c>
      <c r="D4" s="35">
        <v>45689</v>
      </c>
      <c r="E4" s="35">
        <v>45717</v>
      </c>
      <c r="F4" s="35">
        <v>45748</v>
      </c>
      <c r="G4" s="35">
        <v>45778</v>
      </c>
      <c r="H4" s="35">
        <v>45809</v>
      </c>
      <c r="I4" s="35">
        <v>45839</v>
      </c>
      <c r="J4" s="35">
        <v>45870</v>
      </c>
      <c r="K4" s="35">
        <v>45901</v>
      </c>
      <c r="L4" s="35">
        <v>45931</v>
      </c>
      <c r="M4" s="35">
        <v>45962</v>
      </c>
      <c r="N4" s="35">
        <v>45992</v>
      </c>
      <c r="O4" s="11" t="s">
        <v>168</v>
      </c>
    </row>
    <row r="5" spans="1: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</row>
    <row r="6" spans="1:15" ht="21.95" customHeight="1">
      <c r="A6" s="105" t="s">
        <v>169</v>
      </c>
      <c r="B6" s="105" t="s">
        <v>169</v>
      </c>
      <c r="C6" s="105" t="s">
        <v>169</v>
      </c>
      <c r="D6" s="105" t="s">
        <v>169</v>
      </c>
      <c r="E6" s="105" t="s">
        <v>169</v>
      </c>
      <c r="F6" s="105" t="s">
        <v>169</v>
      </c>
      <c r="G6" s="105" t="s">
        <v>169</v>
      </c>
      <c r="H6" s="105" t="s">
        <v>169</v>
      </c>
      <c r="I6" s="105" t="s">
        <v>169</v>
      </c>
      <c r="J6" s="105" t="s">
        <v>169</v>
      </c>
      <c r="K6" s="105" t="s">
        <v>169</v>
      </c>
      <c r="L6" s="105" t="s">
        <v>169</v>
      </c>
      <c r="M6" s="105" t="s">
        <v>169</v>
      </c>
      <c r="N6" s="105" t="s">
        <v>169</v>
      </c>
      <c r="O6" s="105" t="s">
        <v>169</v>
      </c>
    </row>
    <row r="7" spans="1:15">
      <c r="A7" s="12" t="s">
        <v>55</v>
      </c>
      <c r="B7" s="12" t="s">
        <v>144</v>
      </c>
      <c r="C7" s="42">
        <f>SUMIFS('01_Raw_Actual'!$G$6:$G$569,'01_Raw_Actual'!$A$6:$A$569,C$4,'01_Raw_Actual'!$F$6:$F$569,$A7)</f>
        <v>12276.934973375044</v>
      </c>
      <c r="D7" s="42">
        <f>SUMIFS('01_Raw_Actual'!$G$6:$G$569,'01_Raw_Actual'!$A$6:$A$569,D$4,'01_Raw_Actual'!$F$6:$F$569,$A7)</f>
        <v>12276.934973375044</v>
      </c>
      <c r="E7" s="42">
        <f>SUMIFS('01_Raw_Actual'!$G$6:$G$569,'01_Raw_Actual'!$A$6:$A$569,E$4,'01_Raw_Actual'!$F$6:$F$569,$A7)</f>
        <v>11581.088471458908</v>
      </c>
      <c r="F7" s="42">
        <f>SUMIFS('01_Raw_Actual'!$G$6:$G$569,'01_Raw_Actual'!$A$6:$A$569,F$4,'01_Raw_Actual'!$F$6:$F$569,$A7)</f>
        <v>12562.689992297517</v>
      </c>
      <c r="G7" s="42">
        <f>SUMIFS('01_Raw_Actual'!$G$6:$G$569,'01_Raw_Actual'!$A$6:$A$569,G$4,'01_Raw_Actual'!$F$6:$F$569,$A7)</f>
        <v>12612.764490034671</v>
      </c>
      <c r="H7" s="42">
        <f>SUMIFS('01_Raw_Actual'!$G$6:$G$569,'01_Raw_Actual'!$A$6:$A$569,H$4,'01_Raw_Actual'!$F$6:$F$569,$A7)</f>
        <v>12444.514177637824</v>
      </c>
      <c r="I7" s="42">
        <f>SUMIFS('01_Raw_Actual'!$G$6:$G$569,'01_Raw_Actual'!$A$6:$A$569,I$4,'01_Raw_Actual'!$F$6:$F$569,$A7)</f>
        <v>12875.101730117554</v>
      </c>
      <c r="J7" s="42">
        <f>SUMIFS('01_Raw_Actual'!$G$6:$G$569,'01_Raw_Actual'!$A$6:$A$569,J$4,'01_Raw_Actual'!$F$6:$F$569,$A7)</f>
        <v>13317.896234063397</v>
      </c>
      <c r="K7" s="42">
        <f>SUMIFS('01_Raw_Actual'!$G$6:$G$569,'01_Raw_Actual'!$A$6:$A$569,K$4,'01_Raw_Actual'!$F$6:$F$569,$A7)</f>
        <v>13659.509188465054</v>
      </c>
      <c r="L7" s="42">
        <f>SUMIFS('01_Raw_Actual'!$G$6:$G$569,'01_Raw_Actual'!$A$6:$A$569,L$4,'01_Raw_Actual'!$F$6:$F$569,$A7)</f>
        <v>14710.730780576034</v>
      </c>
      <c r="M7" s="42">
        <f>SUMIFS('01_Raw_Actual'!$G$6:$G$569,'01_Raw_Actual'!$A$6:$A$569,M$4,'01_Raw_Actual'!$F$6:$F$569,$A7)</f>
        <v>13878.776706942166</v>
      </c>
      <c r="N7" s="42">
        <f>SUMIFS('01_Raw_Actual'!$G$6:$G$569,'01_Raw_Actual'!$A$6:$A$569,N$4,'01_Raw_Actual'!$F$6:$F$569,$A7)</f>
        <v>13731.203901023777</v>
      </c>
      <c r="O7" s="42">
        <f>SUM(C7:N7)</f>
        <v>155928.14561936699</v>
      </c>
    </row>
    <row r="8" spans="1:15">
      <c r="A8" s="13" t="s">
        <v>58</v>
      </c>
      <c r="B8" s="13" t="s">
        <v>58</v>
      </c>
      <c r="C8" s="43">
        <f>SUMIFS('01_Raw_Actual'!$G$6:$G$569,'01_Raw_Actual'!$A$6:$A$569,C$4,'01_Raw_Actual'!$F$6:$F$569,$A8)</f>
        <v>-9830.5789576469215</v>
      </c>
      <c r="D8" s="43">
        <f>SUMIFS('01_Raw_Actual'!$G$6:$G$569,'01_Raw_Actual'!$A$6:$A$569,D$4,'01_Raw_Actual'!$F$6:$F$569,$A8)</f>
        <v>-9830.5789576469215</v>
      </c>
      <c r="E8" s="43">
        <f>SUMIFS('01_Raw_Actual'!$G$6:$G$569,'01_Raw_Actual'!$A$6:$A$569,E$4,'01_Raw_Actual'!$F$6:$F$569,$A8)</f>
        <v>-9273.3898877101565</v>
      </c>
      <c r="F8" s="43">
        <f>SUMIFS('01_Raw_Actual'!$G$6:$G$569,'01_Raw_Actual'!$A$6:$A$569,F$4,'01_Raw_Actual'!$F$6:$F$569,$A8)</f>
        <v>-10035.222707636751</v>
      </c>
      <c r="G8" s="43">
        <f>SUMIFS('01_Raw_Actual'!$G$6:$G$569,'01_Raw_Actual'!$A$6:$A$569,G$4,'01_Raw_Actual'!$F$6:$F$569,$A8)</f>
        <v>-10075.222798148698</v>
      </c>
      <c r="H8" s="43">
        <f>SUMIFS('01_Raw_Actual'!$G$6:$G$569,'01_Raw_Actual'!$A$6:$A$569,H$4,'01_Raw_Actual'!$F$6:$F$569,$A8)</f>
        <v>-9940.8224940285581</v>
      </c>
      <c r="I8" s="43">
        <f>SUMIFS('01_Raw_Actual'!$G$6:$G$569,'01_Raw_Actual'!$A$6:$A$569,I$4,'01_Raw_Actual'!$F$6:$F$569,$A8)</f>
        <v>-10459.132856666138</v>
      </c>
      <c r="J8" s="43">
        <f>SUMIFS('01_Raw_Actual'!$G$6:$G$569,'01_Raw_Actual'!$A$6:$A$569,J$4,'01_Raw_Actual'!$F$6:$F$569,$A8)</f>
        <v>-10818.8384840118</v>
      </c>
      <c r="K8" s="43">
        <f>SUMIFS('01_Raw_Actual'!$G$6:$G$569,'01_Raw_Actual'!$A$6:$A$569,K$4,'01_Raw_Actual'!$F$6:$F$569,$A8)</f>
        <v>-11096.348934068068</v>
      </c>
      <c r="L8" s="43">
        <f>SUMIFS('01_Raw_Actual'!$G$6:$G$569,'01_Raw_Actual'!$A$6:$A$569,L$4,'01_Raw_Actual'!$F$6:$F$569,$A8)</f>
        <v>-11667.6283806426</v>
      </c>
      <c r="M8" s="43">
        <f>SUMIFS('01_Raw_Actual'!$G$6:$G$569,'01_Raw_Actual'!$A$6:$A$569,M$4,'01_Raw_Actual'!$F$6:$F$569,$A8)</f>
        <v>-11007.774624516582</v>
      </c>
      <c r="N8" s="43">
        <f>SUMIFS('01_Raw_Actual'!$G$6:$G$569,'01_Raw_Actual'!$A$6:$A$569,N$4,'01_Raw_Actual'!$F$6:$F$569,$A8)</f>
        <v>-10890.7291368228</v>
      </c>
      <c r="O8" s="43">
        <f>SUM(C8:N8)</f>
        <v>-124926.26821954598</v>
      </c>
    </row>
    <row r="9" spans="1:15">
      <c r="A9" s="38"/>
      <c r="B9" s="38" t="s">
        <v>170</v>
      </c>
      <c r="C9" s="44">
        <f t="shared" ref="C9:N9" si="0">C7+C8</f>
        <v>2446.3560157281227</v>
      </c>
      <c r="D9" s="44">
        <f t="shared" si="0"/>
        <v>2446.3560157281227</v>
      </c>
      <c r="E9" s="44">
        <f t="shared" si="0"/>
        <v>2307.6985837487518</v>
      </c>
      <c r="F9" s="44">
        <f t="shared" si="0"/>
        <v>2527.4672846607664</v>
      </c>
      <c r="G9" s="44">
        <f t="shared" si="0"/>
        <v>2537.5416918859737</v>
      </c>
      <c r="H9" s="44">
        <f t="shared" si="0"/>
        <v>2503.691683609266</v>
      </c>
      <c r="I9" s="44">
        <f t="shared" si="0"/>
        <v>2415.9688734514166</v>
      </c>
      <c r="J9" s="44">
        <f t="shared" si="0"/>
        <v>2499.0577500515974</v>
      </c>
      <c r="K9" s="44">
        <f t="shared" si="0"/>
        <v>2563.1602543969857</v>
      </c>
      <c r="L9" s="44">
        <f t="shared" si="0"/>
        <v>3043.1023999334338</v>
      </c>
      <c r="M9" s="44">
        <f t="shared" si="0"/>
        <v>2871.0020824255844</v>
      </c>
      <c r="N9" s="44">
        <f t="shared" si="0"/>
        <v>2840.474764200977</v>
      </c>
      <c r="O9" s="44">
        <f>SUM(C9:N9)</f>
        <v>31001.877399820994</v>
      </c>
    </row>
    <row r="10" spans="1:15">
      <c r="A10" s="13"/>
      <c r="B10" s="13" t="s">
        <v>171</v>
      </c>
      <c r="C10" s="45">
        <f t="shared" ref="C10:O10" si="1">IFERROR(C9/C7,0)</f>
        <v>0.19926439465823745</v>
      </c>
      <c r="D10" s="45">
        <f t="shared" si="1"/>
        <v>0.19926439465823745</v>
      </c>
      <c r="E10" s="45">
        <f t="shared" si="1"/>
        <v>0.19926439465823745</v>
      </c>
      <c r="F10" s="45">
        <f t="shared" si="1"/>
        <v>0.20118838291881885</v>
      </c>
      <c r="G10" s="45">
        <f t="shared" si="1"/>
        <v>0.20118838291881863</v>
      </c>
      <c r="H10" s="45">
        <f t="shared" si="1"/>
        <v>0.20118838291881863</v>
      </c>
      <c r="I10" s="45">
        <f t="shared" si="1"/>
        <v>0.18764658517609692</v>
      </c>
      <c r="J10" s="45">
        <f t="shared" si="1"/>
        <v>0.18764658517609689</v>
      </c>
      <c r="K10" s="45">
        <f t="shared" si="1"/>
        <v>0.18764658517609689</v>
      </c>
      <c r="L10" s="45">
        <f t="shared" si="1"/>
        <v>0.20686276197451245</v>
      </c>
      <c r="M10" s="45">
        <f t="shared" si="1"/>
        <v>0.20686276197451239</v>
      </c>
      <c r="N10" s="45">
        <f t="shared" si="1"/>
        <v>0.20686276197451237</v>
      </c>
      <c r="O10" s="45">
        <f t="shared" si="1"/>
        <v>0.19882156153834502</v>
      </c>
    </row>
    <row r="11" spans="1:15">
      <c r="A11" s="13" t="s">
        <v>60</v>
      </c>
      <c r="B11" s="13" t="s">
        <v>151</v>
      </c>
      <c r="C11" s="43">
        <f>SUMIFS('01_Raw_Actual'!$G$6:$G$569,'01_Raw_Actual'!$A$6:$A$569,C$4,'01_Raw_Actual'!$F$6:$F$569,$A11)</f>
        <v>-1495.9315005697406</v>
      </c>
      <c r="D11" s="43">
        <f>SUMIFS('01_Raw_Actual'!$G$6:$G$569,'01_Raw_Actual'!$A$6:$A$569,D$4,'01_Raw_Actual'!$F$6:$F$569,$A11)</f>
        <v>-1495.9315005697406</v>
      </c>
      <c r="E11" s="43">
        <f>SUMIFS('01_Raw_Actual'!$G$6:$G$569,'01_Raw_Actual'!$A$6:$A$569,E$4,'01_Raw_Actual'!$F$6:$F$569,$A11)</f>
        <v>-1411.1433426105193</v>
      </c>
      <c r="F11" s="43">
        <f>SUMIFS('01_Raw_Actual'!$G$6:$G$569,'01_Raw_Actual'!$A$6:$A$569,F$4,'01_Raw_Actual'!$F$6:$F$569,$A11)</f>
        <v>-1570.5990982334511</v>
      </c>
      <c r="G11" s="43">
        <f>SUMIFS('01_Raw_Actual'!$G$6:$G$569,'01_Raw_Actual'!$A$6:$A$569,G$4,'01_Raw_Actual'!$F$6:$F$569,$A11)</f>
        <v>-1576.8594581594455</v>
      </c>
      <c r="H11" s="43">
        <f>SUMIFS('01_Raw_Actual'!$G$6:$G$569,'01_Raw_Actual'!$A$6:$A$569,H$4,'01_Raw_Actual'!$F$6:$F$569,$A11)</f>
        <v>-1555.824648808104</v>
      </c>
      <c r="I11" s="43">
        <f>SUMIFS('01_Raw_Actual'!$G$6:$G$569,'01_Raw_Actual'!$A$6:$A$569,I$4,'01_Raw_Actual'!$F$6:$F$569,$A11)</f>
        <v>-1476.6936988225739</v>
      </c>
      <c r="J11" s="43">
        <f>SUMIFS('01_Raw_Actual'!$G$6:$G$569,'01_Raw_Actual'!$A$6:$A$569,J$4,'01_Raw_Actual'!$F$6:$F$569,$A11)</f>
        <v>-1527.4794609513931</v>
      </c>
      <c r="K11" s="43">
        <f>SUMIFS('01_Raw_Actual'!$G$6:$G$569,'01_Raw_Actual'!$A$6:$A$569,K$4,'01_Raw_Actual'!$F$6:$F$569,$A11)</f>
        <v>-1566.6603317340339</v>
      </c>
      <c r="L11" s="43">
        <f>SUMIFS('01_Raw_Actual'!$G$6:$G$569,'01_Raw_Actual'!$A$6:$A$569,L$4,'01_Raw_Actual'!$F$6:$F$569,$A11)</f>
        <v>-1965.2609808802792</v>
      </c>
      <c r="M11" s="43">
        <f>SUMIFS('01_Raw_Actual'!$G$6:$G$569,'01_Raw_Actual'!$A$6:$A$569,M$4,'01_Raw_Actual'!$F$6:$F$569,$A11)</f>
        <v>-1854.1171564717806</v>
      </c>
      <c r="N11" s="43">
        <f>SUMIFS('01_Raw_Actual'!$G$6:$G$569,'01_Raw_Actual'!$A$6:$A$569,N$4,'01_Raw_Actual'!$F$6:$F$569,$A11)</f>
        <v>-1834.4023590469394</v>
      </c>
      <c r="O11" s="43">
        <f t="shared" ref="O11:O20" si="2">SUM(C11:N11)</f>
        <v>-19330.903536858004</v>
      </c>
    </row>
    <row r="12" spans="1:15">
      <c r="A12" s="13" t="s">
        <v>61</v>
      </c>
      <c r="B12" s="13" t="s">
        <v>153</v>
      </c>
      <c r="C12" s="43">
        <f>SUMIFS('01_Raw_Actual'!$G$6:$G$569,'01_Raw_Actual'!$A$6:$A$569,C$4,'01_Raw_Actual'!$F$6:$F$569,$A12)</f>
        <v>-412.66306235586143</v>
      </c>
      <c r="D12" s="43">
        <f>SUMIFS('01_Raw_Actual'!$G$6:$G$569,'01_Raw_Actual'!$A$6:$A$569,D$4,'01_Raw_Actual'!$F$6:$F$569,$A12)</f>
        <v>-412.66306235586143</v>
      </c>
      <c r="E12" s="43">
        <f>SUMIFS('01_Raw_Actual'!$G$6:$G$569,'01_Raw_Actual'!$A$6:$A$569,E$4,'01_Raw_Actual'!$F$6:$F$569,$A12)</f>
        <v>-389.27366190427733</v>
      </c>
      <c r="F12" s="43">
        <f>SUMIFS('01_Raw_Actual'!$G$6:$G$569,'01_Raw_Actual'!$A$6:$A$569,F$4,'01_Raw_Actual'!$F$6:$F$569,$A12)</f>
        <v>-401.28046757905241</v>
      </c>
      <c r="G12" s="43">
        <f>SUMIFS('01_Raw_Actual'!$G$6:$G$569,'01_Raw_Actual'!$A$6:$A$569,G$4,'01_Raw_Actual'!$F$6:$F$569,$A12)</f>
        <v>-402.87995923872654</v>
      </c>
      <c r="H12" s="43">
        <f>SUMIFS('01_Raw_Actual'!$G$6:$G$569,'01_Raw_Actual'!$A$6:$A$569,H$4,'01_Raw_Actual'!$F$6:$F$569,$A12)</f>
        <v>-397.50566726222115</v>
      </c>
      <c r="I12" s="43">
        <f>SUMIFS('01_Raw_Actual'!$G$6:$G$569,'01_Raw_Actual'!$A$6:$A$569,I$4,'01_Raw_Actual'!$F$6:$F$569,$A12)</f>
        <v>-361.64782438263666</v>
      </c>
      <c r="J12" s="43">
        <f>SUMIFS('01_Raw_Actual'!$G$6:$G$569,'01_Raw_Actual'!$A$6:$A$569,J$4,'01_Raw_Actual'!$F$6:$F$569,$A12)</f>
        <v>-374.08544797251574</v>
      </c>
      <c r="K12" s="43">
        <f>SUMIFS('01_Raw_Actual'!$G$6:$G$569,'01_Raw_Actual'!$A$6:$A$569,K$4,'01_Raw_Actual'!$F$6:$F$569,$A12)</f>
        <v>-383.68099015384774</v>
      </c>
      <c r="L12" s="43">
        <f>SUMIFS('01_Raw_Actual'!$G$6:$G$569,'01_Raw_Actual'!$A$6:$A$569,L$4,'01_Raw_Actual'!$F$6:$F$569,$A12)</f>
        <v>-368.59437344067021</v>
      </c>
      <c r="M12" s="43">
        <f>SUMIFS('01_Raw_Actual'!$G$6:$G$569,'01_Raw_Actual'!$A$6:$A$569,M$4,'01_Raw_Actual'!$F$6:$F$569,$A12)</f>
        <v>-347.74880192716034</v>
      </c>
      <c r="N12" s="43">
        <f>SUMIFS('01_Raw_Actual'!$G$6:$G$569,'01_Raw_Actual'!$A$6:$A$569,N$4,'01_Raw_Actual'!$F$6:$F$569,$A12)</f>
        <v>-344.0511945991687</v>
      </c>
      <c r="O12" s="43">
        <f t="shared" si="2"/>
        <v>-4596.0745131719996</v>
      </c>
    </row>
    <row r="13" spans="1:15">
      <c r="A13" s="38"/>
      <c r="B13" s="38" t="s">
        <v>172</v>
      </c>
      <c r="C13" s="44">
        <f t="shared" ref="C13:N13" si="3">SUM(C9,C11:C12)</f>
        <v>537.76145280252058</v>
      </c>
      <c r="D13" s="44">
        <f t="shared" si="3"/>
        <v>537.76145280252058</v>
      </c>
      <c r="E13" s="44">
        <f t="shared" si="3"/>
        <v>507.2815792339552</v>
      </c>
      <c r="F13" s="44">
        <f t="shared" si="3"/>
        <v>555.58771884826297</v>
      </c>
      <c r="G13" s="44">
        <f t="shared" si="3"/>
        <v>557.8022744878017</v>
      </c>
      <c r="H13" s="44">
        <f t="shared" si="3"/>
        <v>550.36136753894084</v>
      </c>
      <c r="I13" s="44">
        <f t="shared" si="3"/>
        <v>577.62735024620611</v>
      </c>
      <c r="J13" s="44">
        <f t="shared" si="3"/>
        <v>597.49284112768851</v>
      </c>
      <c r="K13" s="44">
        <f t="shared" si="3"/>
        <v>612.81893250910412</v>
      </c>
      <c r="L13" s="44">
        <f t="shared" si="3"/>
        <v>709.24704561248438</v>
      </c>
      <c r="M13" s="44">
        <f t="shared" si="3"/>
        <v>669.13612402664342</v>
      </c>
      <c r="N13" s="44">
        <f t="shared" si="3"/>
        <v>662.02121055486896</v>
      </c>
      <c r="O13" s="44">
        <f t="shared" si="2"/>
        <v>7074.8993497909978</v>
      </c>
    </row>
    <row r="14" spans="1:15">
      <c r="A14" s="13" t="s">
        <v>62</v>
      </c>
      <c r="B14" s="13" t="s">
        <v>155</v>
      </c>
      <c r="C14" s="43">
        <f>SUMIFS('01_Raw_Actual'!$G$6:$G$569,'01_Raw_Actual'!$A$6:$A$569,C$4,'01_Raw_Actual'!$F$6:$F$569,$A14)</f>
        <v>235.54811327394424</v>
      </c>
      <c r="D14" s="43">
        <f>SUMIFS('01_Raw_Actual'!$G$6:$G$569,'01_Raw_Actual'!$A$6:$A$569,D$4,'01_Raw_Actual'!$F$6:$F$569,$A14)</f>
        <v>235.54811327394424</v>
      </c>
      <c r="E14" s="43">
        <f>SUMIFS('01_Raw_Actual'!$G$6:$G$569,'01_Raw_Actual'!$A$6:$A$569,E$4,'01_Raw_Actual'!$F$6:$F$569,$A14)</f>
        <v>222.19744138311148</v>
      </c>
      <c r="F14" s="43">
        <f>SUMIFS('01_Raw_Actual'!$G$6:$G$569,'01_Raw_Actual'!$A$6:$A$569,F$4,'01_Raw_Actual'!$F$6:$F$569,$A14)</f>
        <v>256.7413402707104</v>
      </c>
      <c r="G14" s="43">
        <f>SUMIFS('01_Raw_Actual'!$G$6:$G$569,'01_Raw_Actual'!$A$6:$A$569,G$4,'01_Raw_Actual'!$F$6:$F$569,$A14)</f>
        <v>257.76470339360071</v>
      </c>
      <c r="H14" s="43">
        <f>SUMIFS('01_Raw_Actual'!$G$6:$G$569,'01_Raw_Actual'!$A$6:$A$569,H$4,'01_Raw_Actual'!$F$6:$F$569,$A14)</f>
        <v>254.32620330068923</v>
      </c>
      <c r="I14" s="43">
        <f>SUMIFS('01_Raw_Actual'!$G$6:$G$569,'01_Raw_Actual'!$A$6:$A$569,I$4,'01_Raw_Actual'!$F$6:$F$569,$A14)</f>
        <v>261.38491917707466</v>
      </c>
      <c r="J14" s="43">
        <f>SUMIFS('01_Raw_Actual'!$G$6:$G$569,'01_Raw_Actual'!$A$6:$A$569,J$4,'01_Raw_Actual'!$F$6:$F$569,$A14)</f>
        <v>270.37434761438152</v>
      </c>
      <c r="K14" s="43">
        <f>SUMIFS('01_Raw_Actual'!$G$6:$G$569,'01_Raw_Actual'!$A$6:$A$569,K$4,'01_Raw_Actual'!$F$6:$F$569,$A14)</f>
        <v>277.30963063954357</v>
      </c>
      <c r="L14" s="43">
        <f>SUMIFS('01_Raw_Actual'!$G$6:$G$569,'01_Raw_Actual'!$A$6:$A$569,L$4,'01_Raw_Actual'!$F$6:$F$569,$A14)</f>
        <v>290.64812070449409</v>
      </c>
      <c r="M14" s="43">
        <f>SUMIFS('01_Raw_Actual'!$G$6:$G$569,'01_Raw_Actual'!$A$6:$A$569,M$4,'01_Raw_Actual'!$F$6:$F$569,$A14)</f>
        <v>274.21073961031959</v>
      </c>
      <c r="N14" s="43">
        <f>SUMIFS('01_Raw_Actual'!$G$6:$G$569,'01_Raw_Actual'!$A$6:$A$569,N$4,'01_Raw_Actual'!$F$6:$F$569,$A14)</f>
        <v>271.29506129718624</v>
      </c>
      <c r="O14" s="43">
        <f t="shared" si="2"/>
        <v>3107.3487339389999</v>
      </c>
    </row>
    <row r="15" spans="1:15">
      <c r="A15" s="13" t="s">
        <v>63</v>
      </c>
      <c r="B15" s="13" t="s">
        <v>157</v>
      </c>
      <c r="C15" s="43">
        <f>SUMIFS('01_Raw_Actual'!$G$6:$G$569,'01_Raw_Actual'!$A$6:$A$569,C$4,'01_Raw_Actual'!$F$6:$F$569,$A15)</f>
        <v>-115.18389684654652</v>
      </c>
      <c r="D15" s="43">
        <f>SUMIFS('01_Raw_Actual'!$G$6:$G$569,'01_Raw_Actual'!$A$6:$A$569,D$4,'01_Raw_Actual'!$F$6:$F$569,$A15)</f>
        <v>-115.18389684654652</v>
      </c>
      <c r="E15" s="43">
        <f>SUMIFS('01_Raw_Actual'!$G$6:$G$569,'01_Raw_Actual'!$A$6:$A$569,E$4,'01_Raw_Actual'!$F$6:$F$569,$A15)</f>
        <v>-108.65536901190698</v>
      </c>
      <c r="F15" s="43">
        <f>SUMIFS('01_Raw_Actual'!$G$6:$G$569,'01_Raw_Actual'!$A$6:$A$569,F$4,'01_Raw_Actual'!$F$6:$F$569,$A15)</f>
        <v>-134.39433645698909</v>
      </c>
      <c r="G15" s="43">
        <f>SUMIFS('01_Raw_Actual'!$G$6:$G$569,'01_Raw_Actual'!$A$6:$A$569,G$4,'01_Raw_Actual'!$F$6:$F$569,$A15)</f>
        <v>-134.93002816799429</v>
      </c>
      <c r="H15" s="43">
        <f>SUMIFS('01_Raw_Actual'!$G$6:$G$569,'01_Raw_Actual'!$A$6:$A$569,H$4,'01_Raw_Actual'!$F$6:$F$569,$A15)</f>
        <v>-133.13010401901673</v>
      </c>
      <c r="I15" s="43">
        <f>SUMIFS('01_Raw_Actual'!$G$6:$G$569,'01_Raw_Actual'!$A$6:$A$569,I$4,'01_Raw_Actual'!$F$6:$F$569,$A15)</f>
        <v>-132.69833786163923</v>
      </c>
      <c r="J15" s="43">
        <f>SUMIFS('01_Raw_Actual'!$G$6:$G$569,'01_Raw_Actual'!$A$6:$A$569,J$4,'01_Raw_Actual'!$F$6:$F$569,$A15)</f>
        <v>-137.26203731190728</v>
      </c>
      <c r="K15" s="43">
        <f>SUMIFS('01_Raw_Actual'!$G$6:$G$569,'01_Raw_Actual'!$A$6:$A$569,K$4,'01_Raw_Actual'!$F$6:$F$569,$A15)</f>
        <v>-140.78290046245343</v>
      </c>
      <c r="L15" s="43">
        <f>SUMIFS('01_Raw_Actual'!$G$6:$G$569,'01_Raw_Actual'!$A$6:$A$569,L$4,'01_Raw_Actual'!$F$6:$F$569,$A15)</f>
        <v>-135.66797859812146</v>
      </c>
      <c r="M15" s="43">
        <f>SUMIFS('01_Raw_Actual'!$G$6:$G$569,'01_Raw_Actual'!$A$6:$A$569,M$4,'01_Raw_Actual'!$F$6:$F$569,$A15)</f>
        <v>-127.99538033363473</v>
      </c>
      <c r="N15" s="43">
        <f>SUMIFS('01_Raw_Actual'!$G$6:$G$569,'01_Raw_Actual'!$A$6:$A$569,N$4,'01_Raw_Actual'!$F$6:$F$569,$A15)</f>
        <v>-126.63440754624361</v>
      </c>
      <c r="O15" s="43">
        <f t="shared" si="2"/>
        <v>-1542.5186734629999</v>
      </c>
    </row>
    <row r="16" spans="1:15">
      <c r="A16" s="13" t="s">
        <v>64</v>
      </c>
      <c r="B16" s="13" t="s">
        <v>159</v>
      </c>
      <c r="C16" s="43">
        <f>SUMIFS('01_Raw_Actual'!$G$6:$G$569,'01_Raw_Actual'!$A$6:$A$569,C$4,'01_Raw_Actual'!$F$6:$F$569,$A16)</f>
        <v>1.0633479944196613</v>
      </c>
      <c r="D16" s="43">
        <f>SUMIFS('01_Raw_Actual'!$G$6:$G$569,'01_Raw_Actual'!$A$6:$A$569,D$4,'01_Raw_Actual'!$F$6:$F$569,$A16)</f>
        <v>1.0633479944196613</v>
      </c>
      <c r="E16" s="43">
        <f>SUMIFS('01_Raw_Actual'!$G$6:$G$569,'01_Raw_Actual'!$A$6:$A$569,E$4,'01_Raw_Actual'!$F$6:$F$569,$A16)</f>
        <v>1.0030783111606771</v>
      </c>
      <c r="F16" s="43">
        <f>SUMIFS('01_Raw_Actual'!$G$6:$G$569,'01_Raw_Actual'!$A$6:$A$569,F$4,'01_Raw_Actual'!$F$6:$F$569,$A16)</f>
        <v>3.7139212125720391</v>
      </c>
      <c r="G16" s="43">
        <f>SUMIFS('01_Raw_Actual'!$G$6:$G$569,'01_Raw_Actual'!$A$6:$A$569,G$4,'01_Raw_Actual'!$F$6:$F$569,$A16)</f>
        <v>3.7287247888338859</v>
      </c>
      <c r="H16" s="43">
        <f>SUMIFS('01_Raw_Actual'!$G$6:$G$569,'01_Raw_Actual'!$A$6:$A$569,H$4,'01_Raw_Actual'!$F$6:$F$569,$A16)</f>
        <v>3.6789847725940792</v>
      </c>
      <c r="I16" s="43">
        <f>SUMIFS('01_Raw_Actual'!$G$6:$G$569,'01_Raw_Actual'!$A$6:$A$569,I$4,'01_Raw_Actual'!$F$6:$F$569,$A16)</f>
        <v>1.3493619017737111</v>
      </c>
      <c r="J16" s="43">
        <f>SUMIFS('01_Raw_Actual'!$G$6:$G$569,'01_Raw_Actual'!$A$6:$A$569,J$4,'01_Raw_Actual'!$F$6:$F$569,$A16)</f>
        <v>1.3957685280251879</v>
      </c>
      <c r="K16" s="43">
        <f>SUMIFS('01_Raw_Actual'!$G$6:$G$569,'01_Raw_Actual'!$A$6:$A$569,K$4,'01_Raw_Actual'!$F$6:$F$569,$A16)</f>
        <v>1.4315709252011013</v>
      </c>
      <c r="L16" s="43">
        <f>SUMIFS('01_Raw_Actual'!$G$6:$G$569,'01_Raw_Actual'!$A$6:$A$569,L$4,'01_Raw_Actual'!$F$6:$F$569,$A16)</f>
        <v>2.0588325386045865</v>
      </c>
      <c r="M16" s="43">
        <f>SUMIFS('01_Raw_Actual'!$G$6:$G$569,'01_Raw_Actual'!$A$6:$A$569,M$4,'01_Raw_Actual'!$F$6:$F$569,$A16)</f>
        <v>1.9423968466616897</v>
      </c>
      <c r="N16" s="43">
        <f>SUMIFS('01_Raw_Actual'!$G$6:$G$569,'01_Raw_Actual'!$A$6:$A$569,N$4,'01_Raw_Actual'!$F$6:$F$569,$A16)</f>
        <v>1.9217433727337232</v>
      </c>
      <c r="O16" s="43">
        <f t="shared" si="2"/>
        <v>24.351079187000003</v>
      </c>
    </row>
    <row r="17" spans="1:15">
      <c r="A17" s="13" t="s">
        <v>65</v>
      </c>
      <c r="B17" s="13" t="s">
        <v>161</v>
      </c>
      <c r="C17" s="43">
        <f>SUMIFS('01_Raw_Actual'!$G$6:$G$569,'01_Raw_Actual'!$A$6:$A$569,C$4,'01_Raw_Actual'!$F$6:$F$569,$A17)</f>
        <v>-1.8833750949541437</v>
      </c>
      <c r="D17" s="43">
        <f>SUMIFS('01_Raw_Actual'!$G$6:$G$569,'01_Raw_Actual'!$A$6:$A$569,D$4,'01_Raw_Actual'!$F$6:$F$569,$A17)</f>
        <v>-1.8833750949541437</v>
      </c>
      <c r="E17" s="43">
        <f>SUMIFS('01_Raw_Actual'!$G$6:$G$569,'01_Raw_Actual'!$A$6:$A$569,E$4,'01_Raw_Actual'!$F$6:$F$569,$A17)</f>
        <v>-1.7766269550917126</v>
      </c>
      <c r="F17" s="43">
        <f>SUMIFS('01_Raw_Actual'!$G$6:$G$569,'01_Raw_Actual'!$A$6:$A$569,F$4,'01_Raw_Actual'!$F$6:$F$569,$A17)</f>
        <v>-4.3565436872307552</v>
      </c>
      <c r="G17" s="43">
        <f>SUMIFS('01_Raw_Actual'!$G$6:$G$569,'01_Raw_Actual'!$A$6:$A$569,G$4,'01_Raw_Actual'!$F$6:$F$569,$A17)</f>
        <v>-4.3739087370044745</v>
      </c>
      <c r="H17" s="43">
        <f>SUMIFS('01_Raw_Actual'!$G$6:$G$569,'01_Raw_Actual'!$A$6:$A$569,H$4,'01_Raw_Actual'!$F$6:$F$569,$A17)</f>
        <v>-4.3155621697647737</v>
      </c>
      <c r="I17" s="43">
        <f>SUMIFS('01_Raw_Actual'!$G$6:$G$569,'01_Raw_Actual'!$A$6:$A$569,I$4,'01_Raw_Actual'!$F$6:$F$569,$A17)</f>
        <v>-5.8444053900306159</v>
      </c>
      <c r="J17" s="43">
        <f>SUMIFS('01_Raw_Actual'!$G$6:$G$569,'01_Raw_Actual'!$A$6:$A$569,J$4,'01_Raw_Actual'!$F$6:$F$569,$A17)</f>
        <v>-6.0454034589999237</v>
      </c>
      <c r="K17" s="43">
        <f>SUMIFS('01_Raw_Actual'!$G$6:$G$569,'01_Raw_Actual'!$A$6:$A$569,K$4,'01_Raw_Actual'!$F$6:$F$569,$A17)</f>
        <v>-6.2004721049694576</v>
      </c>
      <c r="L17" s="43">
        <f>SUMIFS('01_Raw_Actual'!$G$6:$G$569,'01_Raw_Actual'!$A$6:$A$569,L$4,'01_Raw_Actual'!$F$6:$F$569,$A17)</f>
        <v>1.9697749888894214</v>
      </c>
      <c r="M17" s="43">
        <f>SUMIFS('01_Raw_Actual'!$G$6:$G$569,'01_Raw_Actual'!$A$6:$A$569,M$4,'01_Raw_Actual'!$F$6:$F$569,$A17)</f>
        <v>1.858375878227124</v>
      </c>
      <c r="N17" s="43">
        <f>SUMIFS('01_Raw_Actual'!$G$6:$G$569,'01_Raw_Actual'!$A$6:$A$569,N$4,'01_Raw_Actual'!$F$6:$F$569,$A17)</f>
        <v>1.8386157978834543</v>
      </c>
      <c r="O17" s="43">
        <f t="shared" si="2"/>
        <v>-31.012906028000003</v>
      </c>
    </row>
    <row r="18" spans="1:15">
      <c r="A18" s="38"/>
      <c r="B18" s="38" t="s">
        <v>173</v>
      </c>
      <c r="C18" s="44">
        <f t="shared" ref="C18:N18" si="4">SUM(C13:C17)</f>
        <v>657.30564212938384</v>
      </c>
      <c r="D18" s="44">
        <f t="shared" si="4"/>
        <v>657.30564212938384</v>
      </c>
      <c r="E18" s="44">
        <f t="shared" si="4"/>
        <v>620.05010296122873</v>
      </c>
      <c r="F18" s="44">
        <f t="shared" si="4"/>
        <v>677.29210018732556</v>
      </c>
      <c r="G18" s="44">
        <f t="shared" si="4"/>
        <v>679.99176576523746</v>
      </c>
      <c r="H18" s="44">
        <f t="shared" si="4"/>
        <v>670.92088942344265</v>
      </c>
      <c r="I18" s="44">
        <f t="shared" si="4"/>
        <v>701.81888807338464</v>
      </c>
      <c r="J18" s="44">
        <f t="shared" si="4"/>
        <v>725.95551649918809</v>
      </c>
      <c r="K18" s="44">
        <f t="shared" si="4"/>
        <v>744.5767615064259</v>
      </c>
      <c r="L18" s="44">
        <f t="shared" si="4"/>
        <v>868.25579524635111</v>
      </c>
      <c r="M18" s="44">
        <f t="shared" si="4"/>
        <v>819.15225602821704</v>
      </c>
      <c r="N18" s="44">
        <f t="shared" si="4"/>
        <v>810.44222347642881</v>
      </c>
      <c r="O18" s="44">
        <f t="shared" si="2"/>
        <v>8633.0675834259982</v>
      </c>
    </row>
    <row r="19" spans="1:15">
      <c r="A19" s="13" t="s">
        <v>66</v>
      </c>
      <c r="B19" s="13" t="s">
        <v>163</v>
      </c>
      <c r="C19" s="43">
        <f>SUMIFS('01_Raw_Actual'!$G$6:$G$569,'01_Raw_Actual'!$A$6:$A$569,C$4,'01_Raw_Actual'!$F$6:$F$569,$A19)</f>
        <v>-131.42557032463853</v>
      </c>
      <c r="D19" s="43">
        <f>SUMIFS('01_Raw_Actual'!$G$6:$G$569,'01_Raw_Actual'!$A$6:$A$569,D$4,'01_Raw_Actual'!$F$6:$F$569,$A19)</f>
        <v>-131.42557032463853</v>
      </c>
      <c r="E19" s="43">
        <f>SUMIFS('01_Raw_Actual'!$G$6:$G$569,'01_Raw_Actual'!$A$6:$A$569,E$4,'01_Raw_Actual'!$F$6:$F$569,$A19)</f>
        <v>-123.976477894723</v>
      </c>
      <c r="F19" s="43">
        <f>SUMIFS('01_Raw_Actual'!$G$6:$G$569,'01_Raw_Actual'!$A$6:$A$569,F$4,'01_Raw_Actual'!$F$6:$F$569,$A19)</f>
        <v>-123.78221591794022</v>
      </c>
      <c r="G19" s="43">
        <f>SUMIFS('01_Raw_Actual'!$G$6:$G$569,'01_Raw_Actual'!$A$6:$A$569,G$4,'01_Raw_Actual'!$F$6:$F$569,$A19)</f>
        <v>-124.27560804133761</v>
      </c>
      <c r="H19" s="43">
        <f>SUMIFS('01_Raw_Actual'!$G$6:$G$569,'01_Raw_Actual'!$A$6:$A$569,H$4,'01_Raw_Actual'!$F$6:$F$569,$A19)</f>
        <v>-122.61781050672226</v>
      </c>
      <c r="I19" s="43">
        <f>SUMIFS('01_Raw_Actual'!$G$6:$G$569,'01_Raw_Actual'!$A$6:$A$569,I$4,'01_Raw_Actual'!$F$6:$F$569,$A19)</f>
        <v>-125.57216908755657</v>
      </c>
      <c r="J19" s="43">
        <f>SUMIFS('01_Raw_Actual'!$G$6:$G$569,'01_Raw_Actual'!$A$6:$A$569,J$4,'01_Raw_Actual'!$F$6:$F$569,$A19)</f>
        <v>-129.89078865935085</v>
      </c>
      <c r="K19" s="43">
        <f>SUMIFS('01_Raw_Actual'!$G$6:$G$569,'01_Raw_Actual'!$A$6:$A$569,K$4,'01_Raw_Actual'!$F$6:$F$569,$A19)</f>
        <v>-133.2225743470926</v>
      </c>
      <c r="L19" s="43">
        <f>SUMIFS('01_Raw_Actual'!$G$6:$G$569,'01_Raw_Actual'!$A$6:$A$569,L$4,'01_Raw_Actual'!$F$6:$F$569,$A19)</f>
        <v>-143.99585929265828</v>
      </c>
      <c r="M19" s="43">
        <f>SUMIFS('01_Raw_Actual'!$G$6:$G$569,'01_Raw_Actual'!$A$6:$A$569,M$4,'01_Raw_Actual'!$F$6:$F$569,$A19)</f>
        <v>-135.85228413573154</v>
      </c>
      <c r="N19" s="43">
        <f>SUMIFS('01_Raw_Actual'!$G$6:$G$569,'01_Raw_Actual'!$A$6:$A$569,N$4,'01_Raw_Actual'!$F$6:$F$569,$A19)</f>
        <v>-134.40776901861003</v>
      </c>
      <c r="O19" s="43">
        <f t="shared" si="2"/>
        <v>-1560.444697551</v>
      </c>
    </row>
    <row r="20" spans="1:15">
      <c r="A20" s="38"/>
      <c r="B20" s="38" t="s">
        <v>174</v>
      </c>
      <c r="C20" s="44">
        <f t="shared" ref="C20:N20" si="5">C18+C19</f>
        <v>525.88007180474528</v>
      </c>
      <c r="D20" s="44">
        <f t="shared" si="5"/>
        <v>525.88007180474528</v>
      </c>
      <c r="E20" s="44">
        <f t="shared" si="5"/>
        <v>496.07362506650571</v>
      </c>
      <c r="F20" s="44">
        <f t="shared" si="5"/>
        <v>553.50988426938534</v>
      </c>
      <c r="G20" s="44">
        <f t="shared" si="5"/>
        <v>555.71615772389987</v>
      </c>
      <c r="H20" s="44">
        <f t="shared" si="5"/>
        <v>548.30307891672032</v>
      </c>
      <c r="I20" s="44">
        <f t="shared" si="5"/>
        <v>576.24671898582801</v>
      </c>
      <c r="J20" s="44">
        <f t="shared" si="5"/>
        <v>596.06472783983725</v>
      </c>
      <c r="K20" s="44">
        <f t="shared" si="5"/>
        <v>611.35418715933326</v>
      </c>
      <c r="L20" s="44">
        <f t="shared" si="5"/>
        <v>724.25993595369278</v>
      </c>
      <c r="M20" s="44">
        <f t="shared" si="5"/>
        <v>683.29997189248547</v>
      </c>
      <c r="N20" s="44">
        <f t="shared" si="5"/>
        <v>676.03445445781881</v>
      </c>
      <c r="O20" s="44">
        <f t="shared" si="2"/>
        <v>7072.6228858749982</v>
      </c>
    </row>
    <row r="21" spans="1:15">
      <c r="A21" s="80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 spans="1:15">
      <c r="A22" s="80"/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 spans="1:15" ht="21.95" customHeight="1">
      <c r="A23" s="105" t="s">
        <v>175</v>
      </c>
      <c r="B23" s="105" t="s">
        <v>175</v>
      </c>
      <c r="C23" s="117" t="s">
        <v>175</v>
      </c>
      <c r="D23" s="117" t="s">
        <v>175</v>
      </c>
      <c r="E23" s="117" t="s">
        <v>175</v>
      </c>
      <c r="F23" s="117" t="s">
        <v>175</v>
      </c>
      <c r="G23" s="117" t="s">
        <v>175</v>
      </c>
      <c r="H23" s="117" t="s">
        <v>175</v>
      </c>
      <c r="I23" s="117" t="s">
        <v>175</v>
      </c>
      <c r="J23" s="117" t="s">
        <v>175</v>
      </c>
      <c r="K23" s="117" t="s">
        <v>175</v>
      </c>
      <c r="L23" s="117" t="s">
        <v>175</v>
      </c>
      <c r="M23" s="117" t="s">
        <v>175</v>
      </c>
      <c r="N23" s="117" t="s">
        <v>175</v>
      </c>
      <c r="O23" s="117" t="s">
        <v>175</v>
      </c>
    </row>
    <row r="24" spans="1:15">
      <c r="A24" s="12" t="s">
        <v>55</v>
      </c>
      <c r="B24" s="12" t="s">
        <v>144</v>
      </c>
      <c r="C24" s="42">
        <f>SUMIFS('02_Raw_Budget'!$G$6:$G$869,'02_Raw_Budget'!$A$6:$A$869,C$4,'02_Raw_Budget'!$F$6:$F$869,$A24)</f>
        <v>12066.122777111977</v>
      </c>
      <c r="D24" s="42">
        <f>SUMIFS('02_Raw_Budget'!$G$6:$G$869,'02_Raw_Budget'!$A$6:$A$869,D$4,'02_Raw_Budget'!$F$6:$F$869,$A24)</f>
        <v>12066.122777111977</v>
      </c>
      <c r="E24" s="42">
        <f>SUMIFS('02_Raw_Budget'!$G$6:$G$869,'02_Raw_Budget'!$A$6:$A$869,E$4,'02_Raw_Budget'!$F$6:$F$869,$A24)</f>
        <v>10973.567265391801</v>
      </c>
      <c r="F24" s="42">
        <f>SUMIFS('02_Raw_Budget'!$G$6:$G$869,'02_Raw_Budget'!$A$6:$A$869,F$4,'02_Raw_Budget'!$F$6:$F$869,$A24)</f>
        <v>12949.881272284711</v>
      </c>
      <c r="G24" s="42">
        <f>SUMIFS('02_Raw_Budget'!$G$6:$G$869,'02_Raw_Budget'!$A$6:$A$869,G$4,'02_Raw_Budget'!$F$6:$F$869,$A24)</f>
        <v>12506.606322716072</v>
      </c>
      <c r="H24" s="42">
        <f>SUMIFS('02_Raw_Budget'!$G$6:$G$869,'02_Raw_Budget'!$A$6:$A$869,H$4,'02_Raw_Budget'!$F$6:$F$869,$A24)</f>
        <v>12707.587408162808</v>
      </c>
      <c r="I24" s="42">
        <f>SUMIFS('02_Raw_Budget'!$G$6:$G$869,'02_Raw_Budget'!$A$6:$A$869,I$4,'02_Raw_Budget'!$F$6:$F$869,$A24)</f>
        <v>12192.852517102001</v>
      </c>
      <c r="J24" s="42">
        <f>SUMIFS('02_Raw_Budget'!$G$6:$G$869,'02_Raw_Budget'!$A$6:$A$869,J$4,'02_Raw_Budget'!$F$6:$F$869,$A24)</f>
        <v>12757.832679524494</v>
      </c>
      <c r="K24" s="42">
        <f>SUMIFS('02_Raw_Budget'!$G$6:$G$869,'02_Raw_Budget'!$A$6:$A$869,K$4,'02_Raw_Budget'!$F$6:$F$869,$A24)</f>
        <v>13175.426712619377</v>
      </c>
      <c r="L24" s="42">
        <f>SUMIFS('02_Raw_Budget'!$G$6:$G$869,'02_Raw_Budget'!$A$6:$A$869,L$4,'02_Raw_Budget'!$F$6:$F$869,$A24)</f>
        <v>12936.482533254926</v>
      </c>
      <c r="M24" s="42">
        <f>SUMIFS('02_Raw_Budget'!$G$6:$G$869,'02_Raw_Budget'!$A$6:$A$869,M$4,'02_Raw_Budget'!$F$6:$F$869,$A24)</f>
        <v>12220.76655674738</v>
      </c>
      <c r="N24" s="42">
        <f>SUMIFS('02_Raw_Budget'!$G$6:$G$869,'02_Raw_Budget'!$A$6:$A$869,N$4,'02_Raw_Budget'!$F$6:$F$869,$A24)</f>
        <v>13446.75117797247</v>
      </c>
      <c r="O24" s="42">
        <f>SUM(C24:N24)</f>
        <v>150000</v>
      </c>
    </row>
    <row r="25" spans="1:15">
      <c r="A25" s="13" t="s">
        <v>58</v>
      </c>
      <c r="B25" s="13" t="s">
        <v>58</v>
      </c>
      <c r="C25" s="43">
        <f>SUMIFS('02_Raw_Budget'!$G$6:$G$869,'02_Raw_Budget'!$A$6:$A$869,C$4,'02_Raw_Budget'!$F$6:$F$869,$A25)</f>
        <v>-9604.432628534847</v>
      </c>
      <c r="D25" s="43">
        <f>SUMIFS('02_Raw_Budget'!$G$6:$G$869,'02_Raw_Budget'!$A$6:$A$869,D$4,'02_Raw_Budget'!$F$6:$F$869,$A25)</f>
        <v>-9604.432628534847</v>
      </c>
      <c r="E25" s="43">
        <f>SUMIFS('02_Raw_Budget'!$G$6:$G$869,'02_Raw_Budget'!$A$6:$A$869,E$4,'02_Raw_Budget'!$F$6:$F$869,$A25)</f>
        <v>-8734.7766504641168</v>
      </c>
      <c r="F25" s="43">
        <f>SUMIFS('02_Raw_Budget'!$G$6:$G$869,'02_Raw_Budget'!$A$6:$A$869,F$4,'02_Raw_Budget'!$F$6:$F$869,$A25)</f>
        <v>-10307.889661384092</v>
      </c>
      <c r="G25" s="43">
        <f>SUMIFS('02_Raw_Budget'!$G$6:$G$869,'02_Raw_Budget'!$A$6:$A$869,G$4,'02_Raw_Budget'!$F$6:$F$869,$A25)</f>
        <v>-9955.0501894432819</v>
      </c>
      <c r="H25" s="43">
        <f>SUMIFS('02_Raw_Budget'!$G$6:$G$869,'02_Raw_Budget'!$A$6:$A$869,H$4,'02_Raw_Budget'!$F$6:$F$869,$A25)</f>
        <v>-10115.027783774127</v>
      </c>
      <c r="I25" s="43">
        <f>SUMIFS('02_Raw_Budget'!$G$6:$G$869,'02_Raw_Budget'!$A$6:$A$869,I$4,'02_Raw_Budget'!$F$6:$F$869,$A25)</f>
        <v>-9705.3073894045756</v>
      </c>
      <c r="J25" s="43">
        <f>SUMIFS('02_Raw_Budget'!$G$6:$G$869,'02_Raw_Budget'!$A$6:$A$869,J$4,'02_Raw_Budget'!$F$6:$F$869,$A25)</f>
        <v>-10155.022182356839</v>
      </c>
      <c r="K25" s="43">
        <f>SUMIFS('02_Raw_Budget'!$G$6:$G$869,'02_Raw_Budget'!$A$6:$A$869,K$4,'02_Raw_Budget'!$F$6:$F$869,$A25)</f>
        <v>-10487.420072799814</v>
      </c>
      <c r="L25" s="43">
        <f>SUMIFS('02_Raw_Budget'!$G$6:$G$869,'02_Raw_Budget'!$A$6:$A$869,L$4,'02_Raw_Budget'!$F$6:$F$869,$A25)</f>
        <v>-10297.224488428699</v>
      </c>
      <c r="M25" s="43">
        <f>SUMIFS('02_Raw_Budget'!$G$6:$G$869,'02_Raw_Budget'!$A$6:$A$869,M$4,'02_Raw_Budget'!$F$6:$F$869,$A25)</f>
        <v>-9727.526499728303</v>
      </c>
      <c r="N25" s="43">
        <f>SUMIFS('02_Raw_Budget'!$G$6:$G$869,'02_Raw_Budget'!$A$6:$A$869,N$4,'02_Raw_Budget'!$F$6:$F$869,$A25)</f>
        <v>-10703.389825146454</v>
      </c>
      <c r="O25" s="43">
        <f>SUM(C25:N25)</f>
        <v>-119397.5</v>
      </c>
    </row>
    <row r="26" spans="1:15">
      <c r="A26" s="38"/>
      <c r="B26" s="38" t="s">
        <v>170</v>
      </c>
      <c r="C26" s="44">
        <f t="shared" ref="C26:N26" si="6">C24+C25</f>
        <v>2461.6901485771305</v>
      </c>
      <c r="D26" s="44">
        <f t="shared" si="6"/>
        <v>2461.6901485771305</v>
      </c>
      <c r="E26" s="44">
        <f t="shared" si="6"/>
        <v>2238.7906149276841</v>
      </c>
      <c r="F26" s="44">
        <f t="shared" si="6"/>
        <v>2641.991610900619</v>
      </c>
      <c r="G26" s="44">
        <f t="shared" si="6"/>
        <v>2551.5561332727902</v>
      </c>
      <c r="H26" s="44">
        <f t="shared" si="6"/>
        <v>2592.5596243886812</v>
      </c>
      <c r="I26" s="44">
        <f t="shared" si="6"/>
        <v>2487.5451276974254</v>
      </c>
      <c r="J26" s="44">
        <f t="shared" si="6"/>
        <v>2602.8104971676548</v>
      </c>
      <c r="K26" s="44">
        <f t="shared" si="6"/>
        <v>2688.0066398195631</v>
      </c>
      <c r="L26" s="44">
        <f t="shared" si="6"/>
        <v>2639.258044826227</v>
      </c>
      <c r="M26" s="44">
        <f t="shared" si="6"/>
        <v>2493.2400570190766</v>
      </c>
      <c r="N26" s="44">
        <f t="shared" si="6"/>
        <v>2743.3613528260157</v>
      </c>
      <c r="O26" s="44">
        <f>SUM(C26:N26)</f>
        <v>30602.5</v>
      </c>
    </row>
    <row r="27" spans="1:15">
      <c r="A27" s="13"/>
      <c r="B27" s="13" t="s">
        <v>171</v>
      </c>
      <c r="C27" s="45">
        <f t="shared" ref="C27:O27" si="7">IFERROR(C26/C24,0)</f>
        <v>0.20401666666666682</v>
      </c>
      <c r="D27" s="45">
        <f t="shared" si="7"/>
        <v>0.20401666666666682</v>
      </c>
      <c r="E27" s="45">
        <f t="shared" si="7"/>
        <v>0.20401666666666668</v>
      </c>
      <c r="F27" s="45">
        <f t="shared" si="7"/>
        <v>0.20401666666666665</v>
      </c>
      <c r="G27" s="45">
        <f t="shared" si="7"/>
        <v>0.20401666666666662</v>
      </c>
      <c r="H27" s="45">
        <f t="shared" si="7"/>
        <v>0.2040166666666666</v>
      </c>
      <c r="I27" s="45">
        <f t="shared" si="7"/>
        <v>0.20401666666666657</v>
      </c>
      <c r="J27" s="45">
        <f t="shared" si="7"/>
        <v>0.20401666666666662</v>
      </c>
      <c r="K27" s="45">
        <f t="shared" si="7"/>
        <v>0.20401666666666665</v>
      </c>
      <c r="L27" s="45">
        <f t="shared" si="7"/>
        <v>0.20401666666666676</v>
      </c>
      <c r="M27" s="45">
        <f t="shared" si="7"/>
        <v>0.20401666666666657</v>
      </c>
      <c r="N27" s="45">
        <f t="shared" si="7"/>
        <v>0.2040166666666666</v>
      </c>
      <c r="O27" s="45">
        <f t="shared" si="7"/>
        <v>0.20401666666666668</v>
      </c>
    </row>
    <row r="28" spans="1:15">
      <c r="A28" s="13" t="s">
        <v>60</v>
      </c>
      <c r="B28" s="13" t="s">
        <v>151</v>
      </c>
      <c r="C28" s="43">
        <f>SUMIFS('02_Raw_Budget'!$G$6:$G$869,'02_Raw_Budget'!$A$6:$A$869,C$4,'02_Raw_Budget'!$F$6:$F$869,$A28)</f>
        <v>-1713.3894343499003</v>
      </c>
      <c r="D28" s="43">
        <f>SUMIFS('02_Raw_Budget'!$G$6:$G$869,'02_Raw_Budget'!$A$6:$A$869,D$4,'02_Raw_Budget'!$F$6:$F$869,$A28)</f>
        <v>-1713.3894343499003</v>
      </c>
      <c r="E28" s="43">
        <f>SUMIFS('02_Raw_Budget'!$G$6:$G$869,'02_Raw_Budget'!$A$6:$A$869,E$4,'02_Raw_Budget'!$F$6:$F$869,$A28)</f>
        <v>-1558.2465516856355</v>
      </c>
      <c r="F28" s="43">
        <f>SUMIFS('02_Raw_Budget'!$G$6:$G$869,'02_Raw_Budget'!$A$6:$A$869,F$4,'02_Raw_Budget'!$F$6:$F$869,$A28)</f>
        <v>-1838.8831406644285</v>
      </c>
      <c r="G28" s="43">
        <f>SUMIFS('02_Raw_Budget'!$G$6:$G$869,'02_Raw_Budget'!$A$6:$A$869,G$4,'02_Raw_Budget'!$F$6:$F$869,$A28)</f>
        <v>-1775.9380978256822</v>
      </c>
      <c r="H28" s="43">
        <f>SUMIFS('02_Raw_Budget'!$G$6:$G$869,'02_Raw_Budget'!$A$6:$A$869,H$4,'02_Raw_Budget'!$F$6:$F$869,$A28)</f>
        <v>-1804.4774119591186</v>
      </c>
      <c r="I28" s="43">
        <f>SUMIFS('02_Raw_Budget'!$G$6:$G$869,'02_Raw_Budget'!$A$6:$A$869,I$4,'02_Raw_Budget'!$F$6:$F$869,$A28)</f>
        <v>-1731.3850574284838</v>
      </c>
      <c r="J28" s="43">
        <f>SUMIFS('02_Raw_Budget'!$G$6:$G$869,'02_Raw_Budget'!$A$6:$A$869,J$4,'02_Raw_Budget'!$F$6:$F$869,$A28)</f>
        <v>-1811.6122404924777</v>
      </c>
      <c r="K28" s="43">
        <f>SUMIFS('02_Raw_Budget'!$G$6:$G$869,'02_Raw_Budget'!$A$6:$A$869,K$4,'02_Raw_Budget'!$F$6:$F$869,$A28)</f>
        <v>-1870.9105931919516</v>
      </c>
      <c r="L28" s="43">
        <f>SUMIFS('02_Raw_Budget'!$G$6:$G$869,'02_Raw_Budget'!$A$6:$A$869,L$4,'02_Raw_Budget'!$F$6:$F$869,$A28)</f>
        <v>-1836.980519722199</v>
      </c>
      <c r="M28" s="43">
        <f>SUMIFS('02_Raw_Budget'!$G$6:$G$869,'02_Raw_Budget'!$A$6:$A$869,M$4,'02_Raw_Budget'!$F$6:$F$869,$A28)</f>
        <v>-1735.348851058128</v>
      </c>
      <c r="N28" s="43">
        <f>SUMIFS('02_Raw_Budget'!$G$6:$G$869,'02_Raw_Budget'!$A$6:$A$869,N$4,'02_Raw_Budget'!$F$6:$F$869,$A28)</f>
        <v>-1909.4386672720907</v>
      </c>
      <c r="O28" s="43">
        <f t="shared" ref="O28:O37" si="8">SUM(C28:N28)</f>
        <v>-21299.999999999993</v>
      </c>
    </row>
    <row r="29" spans="1:15">
      <c r="A29" s="13" t="s">
        <v>61</v>
      </c>
      <c r="B29" s="13" t="s">
        <v>153</v>
      </c>
      <c r="C29" s="43">
        <f>SUMIFS('02_Raw_Budget'!$G$6:$G$869,'02_Raw_Budget'!$A$6:$A$869,C$4,'02_Raw_Budget'!$F$6:$F$869,$A29)</f>
        <v>-325.78531498202335</v>
      </c>
      <c r="D29" s="43">
        <f>SUMIFS('02_Raw_Budget'!$G$6:$G$869,'02_Raw_Budget'!$A$6:$A$869,D$4,'02_Raw_Budget'!$F$6:$F$869,$A29)</f>
        <v>-325.78531498202335</v>
      </c>
      <c r="E29" s="43">
        <f>SUMIFS('02_Raw_Budget'!$G$6:$G$869,'02_Raw_Budget'!$A$6:$A$869,E$4,'02_Raw_Budget'!$F$6:$F$869,$A29)</f>
        <v>-296.28631616557863</v>
      </c>
      <c r="F29" s="43">
        <f>SUMIFS('02_Raw_Budget'!$G$6:$G$869,'02_Raw_Budget'!$A$6:$A$869,F$4,'02_Raw_Budget'!$F$6:$F$869,$A29)</f>
        <v>-349.64679435168716</v>
      </c>
      <c r="G29" s="43">
        <f>SUMIFS('02_Raw_Budget'!$G$6:$G$869,'02_Raw_Budget'!$A$6:$A$869,G$4,'02_Raw_Budget'!$F$6:$F$869,$A29)</f>
        <v>-337.67837071333395</v>
      </c>
      <c r="H29" s="43">
        <f>SUMIFS('02_Raw_Budget'!$G$6:$G$869,'02_Raw_Budget'!$A$6:$A$869,H$4,'02_Raw_Budget'!$F$6:$F$869,$A29)</f>
        <v>-343.1048600203959</v>
      </c>
      <c r="I29" s="43">
        <f>SUMIFS('02_Raw_Budget'!$G$6:$G$869,'02_Raw_Budget'!$A$6:$A$869,I$4,'02_Raw_Budget'!$F$6:$F$869,$A29)</f>
        <v>-329.20701796175405</v>
      </c>
      <c r="J29" s="43">
        <f>SUMIFS('02_Raw_Budget'!$G$6:$G$869,'02_Raw_Budget'!$A$6:$A$869,J$4,'02_Raw_Budget'!$F$6:$F$869,$A29)</f>
        <v>-344.46148234716134</v>
      </c>
      <c r="K29" s="43">
        <f>SUMIFS('02_Raw_Budget'!$G$6:$G$869,'02_Raw_Budget'!$A$6:$A$869,K$4,'02_Raw_Budget'!$F$6:$F$869,$A29)</f>
        <v>-355.73652124072322</v>
      </c>
      <c r="L29" s="43">
        <f>SUMIFS('02_Raw_Budget'!$G$6:$G$869,'02_Raw_Budget'!$A$6:$A$869,L$4,'02_Raw_Budget'!$F$6:$F$869,$A29)</f>
        <v>-349.28502839788297</v>
      </c>
      <c r="M29" s="43">
        <f>SUMIFS('02_Raw_Budget'!$G$6:$G$869,'02_Raw_Budget'!$A$6:$A$869,M$4,'02_Raw_Budget'!$F$6:$F$869,$A29)</f>
        <v>-329.96069703217927</v>
      </c>
      <c r="N29" s="43">
        <f>SUMIFS('02_Raw_Budget'!$G$6:$G$869,'02_Raw_Budget'!$A$6:$A$869,N$4,'02_Raw_Budget'!$F$6:$F$869,$A29)</f>
        <v>-363.0622818052567</v>
      </c>
      <c r="O29" s="43">
        <f t="shared" si="8"/>
        <v>-4049.9999999999991</v>
      </c>
    </row>
    <row r="30" spans="1:15">
      <c r="A30" s="38"/>
      <c r="B30" s="38" t="s">
        <v>172</v>
      </c>
      <c r="C30" s="44">
        <f t="shared" ref="C30:N30" si="9">SUM(C26,C28:C29)</f>
        <v>422.51539924520682</v>
      </c>
      <c r="D30" s="44">
        <f t="shared" si="9"/>
        <v>422.51539924520682</v>
      </c>
      <c r="E30" s="44">
        <f t="shared" si="9"/>
        <v>384.25774707647003</v>
      </c>
      <c r="F30" s="44">
        <f t="shared" si="9"/>
        <v>453.46167588450328</v>
      </c>
      <c r="G30" s="44">
        <f t="shared" si="9"/>
        <v>437.93966473377407</v>
      </c>
      <c r="H30" s="44">
        <f t="shared" si="9"/>
        <v>444.97735240916666</v>
      </c>
      <c r="I30" s="44">
        <f t="shared" si="9"/>
        <v>426.95305230718753</v>
      </c>
      <c r="J30" s="44">
        <f t="shared" si="9"/>
        <v>446.73677432801583</v>
      </c>
      <c r="K30" s="44">
        <f t="shared" si="9"/>
        <v>461.35952538688827</v>
      </c>
      <c r="L30" s="44">
        <f t="shared" si="9"/>
        <v>452.992496706145</v>
      </c>
      <c r="M30" s="44">
        <f t="shared" si="9"/>
        <v>427.93050892876931</v>
      </c>
      <c r="N30" s="44">
        <f t="shared" si="9"/>
        <v>470.86040374866832</v>
      </c>
      <c r="O30" s="44">
        <f t="shared" si="8"/>
        <v>5252.5000000000018</v>
      </c>
    </row>
    <row r="31" spans="1:15">
      <c r="A31" s="13" t="s">
        <v>62</v>
      </c>
      <c r="B31" s="13" t="s">
        <v>155</v>
      </c>
      <c r="C31" s="43">
        <f>SUMIFS('02_Raw_Budget'!$G$6:$G$869,'02_Raw_Budget'!$A$6:$A$869,C$4,'02_Raw_Budget'!$F$6:$F$869,$A31)</f>
        <v>180.99184165667964</v>
      </c>
      <c r="D31" s="43">
        <f>SUMIFS('02_Raw_Budget'!$G$6:$G$869,'02_Raw_Budget'!$A$6:$A$869,D$4,'02_Raw_Budget'!$F$6:$F$869,$A31)</f>
        <v>180.99184165667964</v>
      </c>
      <c r="E31" s="43">
        <f>SUMIFS('02_Raw_Budget'!$G$6:$G$869,'02_Raw_Budget'!$A$6:$A$869,E$4,'02_Raw_Budget'!$F$6:$F$869,$A31)</f>
        <v>164.60350898087702</v>
      </c>
      <c r="F31" s="43">
        <f>SUMIFS('02_Raw_Budget'!$G$6:$G$869,'02_Raw_Budget'!$A$6:$A$869,F$4,'02_Raw_Budget'!$F$6:$F$869,$A31)</f>
        <v>194.24821908427066</v>
      </c>
      <c r="G31" s="43">
        <f>SUMIFS('02_Raw_Budget'!$G$6:$G$869,'02_Raw_Budget'!$A$6:$A$869,G$4,'02_Raw_Budget'!$F$6:$F$869,$A31)</f>
        <v>187.59909484074109</v>
      </c>
      <c r="H31" s="43">
        <f>SUMIFS('02_Raw_Budget'!$G$6:$G$869,'02_Raw_Budget'!$A$6:$A$869,H$4,'02_Raw_Budget'!$F$6:$F$869,$A31)</f>
        <v>190.61381112244214</v>
      </c>
      <c r="I31" s="43">
        <f>SUMIFS('02_Raw_Budget'!$G$6:$G$869,'02_Raw_Budget'!$A$6:$A$869,I$4,'02_Raw_Budget'!$F$6:$F$869,$A31)</f>
        <v>182.89278775653003</v>
      </c>
      <c r="J31" s="43">
        <f>SUMIFS('02_Raw_Budget'!$G$6:$G$869,'02_Raw_Budget'!$A$6:$A$869,J$4,'02_Raw_Budget'!$F$6:$F$869,$A31)</f>
        <v>191.36749019286739</v>
      </c>
      <c r="K31" s="43">
        <f>SUMIFS('02_Raw_Budget'!$G$6:$G$869,'02_Raw_Budget'!$A$6:$A$869,K$4,'02_Raw_Budget'!$F$6:$F$869,$A31)</f>
        <v>197.6314006892907</v>
      </c>
      <c r="L31" s="43">
        <f>SUMIFS('02_Raw_Budget'!$G$6:$G$869,'02_Raw_Budget'!$A$6:$A$869,L$4,'02_Raw_Budget'!$F$6:$F$869,$A31)</f>
        <v>194.04723799882387</v>
      </c>
      <c r="M31" s="43">
        <f>SUMIFS('02_Raw_Budget'!$G$6:$G$869,'02_Raw_Budget'!$A$6:$A$869,M$4,'02_Raw_Budget'!$F$6:$F$869,$A31)</f>
        <v>183.31149835121073</v>
      </c>
      <c r="N31" s="43">
        <f>SUMIFS('02_Raw_Budget'!$G$6:$G$869,'02_Raw_Budget'!$A$6:$A$869,N$4,'02_Raw_Budget'!$F$6:$F$869,$A31)</f>
        <v>201.70126766958708</v>
      </c>
      <c r="O31" s="43">
        <f t="shared" si="8"/>
        <v>2250</v>
      </c>
    </row>
    <row r="32" spans="1:15">
      <c r="A32" s="13" t="s">
        <v>63</v>
      </c>
      <c r="B32" s="13" t="s">
        <v>157</v>
      </c>
      <c r="C32" s="43">
        <f>SUMIFS('02_Raw_Budget'!$G$6:$G$869,'02_Raw_Budget'!$A$6:$A$869,C$4,'02_Raw_Budget'!$F$6:$F$869,$A32)</f>
        <v>-96.528982216895812</v>
      </c>
      <c r="D32" s="43">
        <f>SUMIFS('02_Raw_Budget'!$G$6:$G$869,'02_Raw_Budget'!$A$6:$A$869,D$4,'02_Raw_Budget'!$F$6:$F$869,$A32)</f>
        <v>-96.528982216895812</v>
      </c>
      <c r="E32" s="43">
        <f>SUMIFS('02_Raw_Budget'!$G$6:$G$869,'02_Raw_Budget'!$A$6:$A$869,E$4,'02_Raw_Budget'!$F$6:$F$869,$A32)</f>
        <v>-87.788538123134401</v>
      </c>
      <c r="F32" s="43">
        <f>SUMIFS('02_Raw_Budget'!$G$6:$G$869,'02_Raw_Budget'!$A$6:$A$869,F$4,'02_Raw_Budget'!$F$6:$F$869,$A32)</f>
        <v>-103.59905017827768</v>
      </c>
      <c r="G32" s="43">
        <f>SUMIFS('02_Raw_Budget'!$G$6:$G$869,'02_Raw_Budget'!$A$6:$A$869,G$4,'02_Raw_Budget'!$F$6:$F$869,$A32)</f>
        <v>-100.05285058172859</v>
      </c>
      <c r="H32" s="43">
        <f>SUMIFS('02_Raw_Budget'!$G$6:$G$869,'02_Raw_Budget'!$A$6:$A$869,H$4,'02_Raw_Budget'!$F$6:$F$869,$A32)</f>
        <v>-101.66069926530247</v>
      </c>
      <c r="I32" s="43">
        <f>SUMIFS('02_Raw_Budget'!$G$6:$G$869,'02_Raw_Budget'!$A$6:$A$869,I$4,'02_Raw_Budget'!$F$6:$F$869,$A32)</f>
        <v>-97.542820136816005</v>
      </c>
      <c r="J32" s="43">
        <f>SUMIFS('02_Raw_Budget'!$G$6:$G$869,'02_Raw_Budget'!$A$6:$A$869,J$4,'02_Raw_Budget'!$F$6:$F$869,$A32)</f>
        <v>-102.06266143619594</v>
      </c>
      <c r="K32" s="43">
        <f>SUMIFS('02_Raw_Budget'!$G$6:$G$869,'02_Raw_Budget'!$A$6:$A$869,K$4,'02_Raw_Budget'!$F$6:$F$869,$A32)</f>
        <v>-105.40341370095503</v>
      </c>
      <c r="L32" s="43">
        <f>SUMIFS('02_Raw_Budget'!$G$6:$G$869,'02_Raw_Budget'!$A$6:$A$869,L$4,'02_Raw_Budget'!$F$6:$F$869,$A32)</f>
        <v>-103.4918602660394</v>
      </c>
      <c r="M32" s="43">
        <f>SUMIFS('02_Raw_Budget'!$G$6:$G$869,'02_Raw_Budget'!$A$6:$A$869,M$4,'02_Raw_Budget'!$F$6:$F$869,$A32)</f>
        <v>-97.76613245397904</v>
      </c>
      <c r="N32" s="43">
        <f>SUMIFS('02_Raw_Budget'!$G$6:$G$869,'02_Raw_Budget'!$A$6:$A$869,N$4,'02_Raw_Budget'!$F$6:$F$869,$A32)</f>
        <v>-107.57400942377977</v>
      </c>
      <c r="O32" s="43">
        <f t="shared" si="8"/>
        <v>-1199.9999999999998</v>
      </c>
    </row>
    <row r="33" spans="1:15">
      <c r="A33" s="13" t="s">
        <v>64</v>
      </c>
      <c r="B33" s="13" t="s">
        <v>159</v>
      </c>
      <c r="C33" s="43">
        <f>SUMIFS('02_Raw_Budget'!$G$6:$G$869,'02_Raw_Budget'!$A$6:$A$869,C$4,'02_Raw_Budget'!$F$6:$F$869,$A33)</f>
        <v>0</v>
      </c>
      <c r="D33" s="43">
        <f>SUMIFS('02_Raw_Budget'!$G$6:$G$869,'02_Raw_Budget'!$A$6:$A$869,D$4,'02_Raw_Budget'!$F$6:$F$869,$A33)</f>
        <v>0</v>
      </c>
      <c r="E33" s="43">
        <f>SUMIFS('02_Raw_Budget'!$G$6:$G$869,'02_Raw_Budget'!$A$6:$A$869,E$4,'02_Raw_Budget'!$F$6:$F$869,$A33)</f>
        <v>0</v>
      </c>
      <c r="F33" s="43">
        <f>SUMIFS('02_Raw_Budget'!$G$6:$G$869,'02_Raw_Budget'!$A$6:$A$869,F$4,'02_Raw_Budget'!$F$6:$F$869,$A33)</f>
        <v>0</v>
      </c>
      <c r="G33" s="43">
        <f>SUMIFS('02_Raw_Budget'!$G$6:$G$869,'02_Raw_Budget'!$A$6:$A$869,G$4,'02_Raw_Budget'!$F$6:$F$869,$A33)</f>
        <v>0</v>
      </c>
      <c r="H33" s="43">
        <f>SUMIFS('02_Raw_Budget'!$G$6:$G$869,'02_Raw_Budget'!$A$6:$A$869,H$4,'02_Raw_Budget'!$F$6:$F$869,$A33)</f>
        <v>0</v>
      </c>
      <c r="I33" s="43">
        <f>SUMIFS('02_Raw_Budget'!$G$6:$G$869,'02_Raw_Budget'!$A$6:$A$869,I$4,'02_Raw_Budget'!$F$6:$F$869,$A33)</f>
        <v>0</v>
      </c>
      <c r="J33" s="43">
        <f>SUMIFS('02_Raw_Budget'!$G$6:$G$869,'02_Raw_Budget'!$A$6:$A$869,J$4,'02_Raw_Budget'!$F$6:$F$869,$A33)</f>
        <v>0</v>
      </c>
      <c r="K33" s="43">
        <f>SUMIFS('02_Raw_Budget'!$G$6:$G$869,'02_Raw_Budget'!$A$6:$A$869,K$4,'02_Raw_Budget'!$F$6:$F$869,$A33)</f>
        <v>0</v>
      </c>
      <c r="L33" s="43">
        <f>SUMIFS('02_Raw_Budget'!$G$6:$G$869,'02_Raw_Budget'!$A$6:$A$869,L$4,'02_Raw_Budget'!$F$6:$F$869,$A33)</f>
        <v>0</v>
      </c>
      <c r="M33" s="43">
        <f>SUMIFS('02_Raw_Budget'!$G$6:$G$869,'02_Raw_Budget'!$A$6:$A$869,M$4,'02_Raw_Budget'!$F$6:$F$869,$A33)</f>
        <v>0</v>
      </c>
      <c r="N33" s="43">
        <f>SUMIFS('02_Raw_Budget'!$G$6:$G$869,'02_Raw_Budget'!$A$6:$A$869,N$4,'02_Raw_Budget'!$F$6:$F$869,$A33)</f>
        <v>0</v>
      </c>
      <c r="O33" s="43">
        <f t="shared" si="8"/>
        <v>0</v>
      </c>
    </row>
    <row r="34" spans="1:15">
      <c r="A34" s="13" t="s">
        <v>65</v>
      </c>
      <c r="B34" s="13" t="s">
        <v>161</v>
      </c>
      <c r="C34" s="43">
        <f>SUMIFS('02_Raw_Budget'!$G$6:$G$869,'02_Raw_Budget'!$A$6:$A$869,C$4,'02_Raw_Budget'!$F$6:$F$869,$A34)</f>
        <v>-19.305796443379162</v>
      </c>
      <c r="D34" s="43">
        <f>SUMIFS('02_Raw_Budget'!$G$6:$G$869,'02_Raw_Budget'!$A$6:$A$869,D$4,'02_Raw_Budget'!$F$6:$F$869,$A34)</f>
        <v>-19.305796443379162</v>
      </c>
      <c r="E34" s="43">
        <f>SUMIFS('02_Raw_Budget'!$G$6:$G$869,'02_Raw_Budget'!$A$6:$A$869,E$4,'02_Raw_Budget'!$F$6:$F$869,$A34)</f>
        <v>-17.557707624626882</v>
      </c>
      <c r="F34" s="43">
        <f>SUMIFS('02_Raw_Budget'!$G$6:$G$869,'02_Raw_Budget'!$A$6:$A$869,F$4,'02_Raw_Budget'!$F$6:$F$869,$A34)</f>
        <v>-20.719810035655534</v>
      </c>
      <c r="G34" s="43">
        <f>SUMIFS('02_Raw_Budget'!$G$6:$G$869,'02_Raw_Budget'!$A$6:$A$869,G$4,'02_Raw_Budget'!$F$6:$F$869,$A34)</f>
        <v>-20.010570116345718</v>
      </c>
      <c r="H34" s="43">
        <f>SUMIFS('02_Raw_Budget'!$G$6:$G$869,'02_Raw_Budget'!$A$6:$A$869,H$4,'02_Raw_Budget'!$F$6:$F$869,$A34)</f>
        <v>-20.332139853060493</v>
      </c>
      <c r="I34" s="43">
        <f>SUMIFS('02_Raw_Budget'!$G$6:$G$869,'02_Raw_Budget'!$A$6:$A$869,I$4,'02_Raw_Budget'!$F$6:$F$869,$A34)</f>
        <v>-19.5085640273632</v>
      </c>
      <c r="J34" s="43">
        <f>SUMIFS('02_Raw_Budget'!$G$6:$G$869,'02_Raw_Budget'!$A$6:$A$869,J$4,'02_Raw_Budget'!$F$6:$F$869,$A34)</f>
        <v>-20.412532287239188</v>
      </c>
      <c r="K34" s="43">
        <f>SUMIFS('02_Raw_Budget'!$G$6:$G$869,'02_Raw_Budget'!$A$6:$A$869,K$4,'02_Raw_Budget'!$F$6:$F$869,$A34)</f>
        <v>-21.080682740191005</v>
      </c>
      <c r="L34" s="43">
        <f>SUMIFS('02_Raw_Budget'!$G$6:$G$869,'02_Raw_Budget'!$A$6:$A$869,L$4,'02_Raw_Budget'!$F$6:$F$869,$A34)</f>
        <v>-20.69837205320788</v>
      </c>
      <c r="M34" s="43">
        <f>SUMIFS('02_Raw_Budget'!$G$6:$G$869,'02_Raw_Budget'!$A$6:$A$869,M$4,'02_Raw_Budget'!$F$6:$F$869,$A34)</f>
        <v>-19.553226490795812</v>
      </c>
      <c r="N34" s="43">
        <f>SUMIFS('02_Raw_Budget'!$G$6:$G$869,'02_Raw_Budget'!$A$6:$A$869,N$4,'02_Raw_Budget'!$F$6:$F$869,$A34)</f>
        <v>-21.514801884755958</v>
      </c>
      <c r="O34" s="43">
        <f t="shared" si="8"/>
        <v>-240</v>
      </c>
    </row>
    <row r="35" spans="1:15">
      <c r="A35" s="38"/>
      <c r="B35" s="38" t="s">
        <v>173</v>
      </c>
      <c r="C35" s="44">
        <f t="shared" ref="C35:N35" si="10">SUM(C30:C34)</f>
        <v>487.67246224161147</v>
      </c>
      <c r="D35" s="44">
        <f t="shared" si="10"/>
        <v>487.67246224161147</v>
      </c>
      <c r="E35" s="44">
        <f t="shared" si="10"/>
        <v>443.51501030958582</v>
      </c>
      <c r="F35" s="44">
        <f t="shared" si="10"/>
        <v>523.39103475484069</v>
      </c>
      <c r="G35" s="44">
        <f t="shared" si="10"/>
        <v>505.47533887644084</v>
      </c>
      <c r="H35" s="44">
        <f t="shared" si="10"/>
        <v>513.59832441324579</v>
      </c>
      <c r="I35" s="44">
        <f t="shared" si="10"/>
        <v>492.79445589953838</v>
      </c>
      <c r="J35" s="44">
        <f t="shared" si="10"/>
        <v>515.62907079744809</v>
      </c>
      <c r="K35" s="44">
        <f t="shared" si="10"/>
        <v>532.50682963503289</v>
      </c>
      <c r="L35" s="44">
        <f t="shared" si="10"/>
        <v>522.84950238572162</v>
      </c>
      <c r="M35" s="44">
        <f t="shared" si="10"/>
        <v>493.92264833520522</v>
      </c>
      <c r="N35" s="44">
        <f t="shared" si="10"/>
        <v>543.4728601097197</v>
      </c>
      <c r="O35" s="44">
        <f t="shared" si="8"/>
        <v>6062.5000000000009</v>
      </c>
    </row>
    <row r="36" spans="1:15">
      <c r="A36" s="13" t="s">
        <v>66</v>
      </c>
      <c r="B36" s="13" t="s">
        <v>163</v>
      </c>
      <c r="C36" s="43">
        <f>SUMIFS('02_Raw_Budget'!$G$6:$G$869,'02_Raw_Budget'!$A$6:$A$869,C$4,'02_Raw_Budget'!$F$6:$F$869,$A36)</f>
        <v>-97.534492448322098</v>
      </c>
      <c r="D36" s="43">
        <f>SUMIFS('02_Raw_Budget'!$G$6:$G$869,'02_Raw_Budget'!$A$6:$A$869,D$4,'02_Raw_Budget'!$F$6:$F$869,$A36)</f>
        <v>-97.534492448322098</v>
      </c>
      <c r="E36" s="43">
        <f>SUMIFS('02_Raw_Budget'!$G$6:$G$869,'02_Raw_Budget'!$A$6:$A$869,E$4,'02_Raw_Budget'!$F$6:$F$869,$A36)</f>
        <v>-88.703002061917331</v>
      </c>
      <c r="F36" s="43">
        <f>SUMIFS('02_Raw_Budget'!$G$6:$G$869,'02_Raw_Budget'!$A$6:$A$869,F$4,'02_Raw_Budget'!$F$6:$F$869,$A36)</f>
        <v>-104.67820695096837</v>
      </c>
      <c r="G36" s="43">
        <f>SUMIFS('02_Raw_Budget'!$G$6:$G$869,'02_Raw_Budget'!$A$6:$A$869,G$4,'02_Raw_Budget'!$F$6:$F$869,$A36)</f>
        <v>-101.09506777528856</v>
      </c>
      <c r="H36" s="43">
        <f>SUMIFS('02_Raw_Budget'!$G$6:$G$869,'02_Raw_Budget'!$A$6:$A$869,H$4,'02_Raw_Budget'!$F$6:$F$869,$A36)</f>
        <v>-102.7196648826497</v>
      </c>
      <c r="I36" s="43">
        <f>SUMIFS('02_Raw_Budget'!$G$6:$G$869,'02_Raw_Budget'!$A$6:$A$869,I$4,'02_Raw_Budget'!$F$6:$F$869,$A36)</f>
        <v>-98.55889117990813</v>
      </c>
      <c r="J36" s="43">
        <f>SUMIFS('02_Raw_Budget'!$G$6:$G$869,'02_Raw_Budget'!$A$6:$A$869,J$4,'02_Raw_Budget'!$F$6:$F$869,$A36)</f>
        <v>-103.12581415948995</v>
      </c>
      <c r="K36" s="43">
        <f>SUMIFS('02_Raw_Budget'!$G$6:$G$869,'02_Raw_Budget'!$A$6:$A$869,K$4,'02_Raw_Budget'!$F$6:$F$869,$A36)</f>
        <v>-106.50136592700697</v>
      </c>
      <c r="L36" s="43">
        <f>SUMIFS('02_Raw_Budget'!$G$6:$G$869,'02_Raw_Budget'!$A$6:$A$869,L$4,'02_Raw_Budget'!$F$6:$F$869,$A36)</f>
        <v>-104.5699004771443</v>
      </c>
      <c r="M36" s="43">
        <f>SUMIFS('02_Raw_Budget'!$G$6:$G$869,'02_Raw_Budget'!$A$6:$A$869,M$4,'02_Raw_Budget'!$F$6:$F$869,$A36)</f>
        <v>-98.784529667041639</v>
      </c>
      <c r="N36" s="43">
        <f>SUMIFS('02_Raw_Budget'!$G$6:$G$869,'02_Raw_Budget'!$A$6:$A$869,N$4,'02_Raw_Budget'!$F$6:$F$869,$A36)</f>
        <v>-108.69457202194448</v>
      </c>
      <c r="O36" s="43">
        <f t="shared" si="8"/>
        <v>-1212.5000000000036</v>
      </c>
    </row>
    <row r="37" spans="1:15">
      <c r="A37" s="38"/>
      <c r="B37" s="38" t="s">
        <v>174</v>
      </c>
      <c r="C37" s="44">
        <f t="shared" ref="C37:N37" si="11">C35+C36</f>
        <v>390.13796979328936</v>
      </c>
      <c r="D37" s="44">
        <f t="shared" si="11"/>
        <v>390.13796979328936</v>
      </c>
      <c r="E37" s="44">
        <f t="shared" si="11"/>
        <v>354.81200824766847</v>
      </c>
      <c r="F37" s="44">
        <f t="shared" si="11"/>
        <v>418.7128278038723</v>
      </c>
      <c r="G37" s="44">
        <f t="shared" si="11"/>
        <v>404.38027110115229</v>
      </c>
      <c r="H37" s="44">
        <f t="shared" si="11"/>
        <v>410.87865953059611</v>
      </c>
      <c r="I37" s="44">
        <f t="shared" si="11"/>
        <v>394.23556471963025</v>
      </c>
      <c r="J37" s="44">
        <f t="shared" si="11"/>
        <v>412.50325663795815</v>
      </c>
      <c r="K37" s="44">
        <f t="shared" si="11"/>
        <v>426.0054637080259</v>
      </c>
      <c r="L37" s="44">
        <f t="shared" si="11"/>
        <v>418.27960190857732</v>
      </c>
      <c r="M37" s="44">
        <f t="shared" si="11"/>
        <v>395.1381186681636</v>
      </c>
      <c r="N37" s="44">
        <f t="shared" si="11"/>
        <v>434.77828808777519</v>
      </c>
      <c r="O37" s="44">
        <f t="shared" si="8"/>
        <v>4849.9999999999982</v>
      </c>
    </row>
    <row r="38" spans="1:15">
      <c r="A38" s="80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</row>
    <row r="39" spans="1:15">
      <c r="A39" s="80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</row>
    <row r="40" spans="1:15" ht="21.95" customHeight="1">
      <c r="A40" s="105" t="s">
        <v>176</v>
      </c>
      <c r="B40" s="105" t="s">
        <v>176</v>
      </c>
      <c r="C40" s="117" t="s">
        <v>176</v>
      </c>
      <c r="D40" s="117" t="s">
        <v>176</v>
      </c>
      <c r="E40" s="117" t="s">
        <v>176</v>
      </c>
      <c r="F40" s="117" t="s">
        <v>176</v>
      </c>
      <c r="G40" s="117" t="s">
        <v>176</v>
      </c>
      <c r="H40" s="117" t="s">
        <v>176</v>
      </c>
      <c r="I40" s="117" t="s">
        <v>176</v>
      </c>
      <c r="J40" s="117" t="s">
        <v>176</v>
      </c>
      <c r="K40" s="117" t="s">
        <v>176</v>
      </c>
      <c r="L40" s="117" t="s">
        <v>176</v>
      </c>
      <c r="M40" s="117" t="s">
        <v>176</v>
      </c>
      <c r="N40" s="117" t="s">
        <v>176</v>
      </c>
      <c r="O40" s="117" t="s">
        <v>176</v>
      </c>
    </row>
    <row r="41" spans="1:15">
      <c r="A41" s="12" t="s">
        <v>55</v>
      </c>
      <c r="B41" s="12" t="s">
        <v>144</v>
      </c>
      <c r="C41" s="18">
        <f t="shared" ref="C41:O41" si="12">C7-C24</f>
        <v>210.81219626306665</v>
      </c>
      <c r="D41" s="18">
        <f t="shared" si="12"/>
        <v>210.81219626306665</v>
      </c>
      <c r="E41" s="18">
        <f t="shared" si="12"/>
        <v>607.52120606710741</v>
      </c>
      <c r="F41" s="18">
        <f t="shared" si="12"/>
        <v>-387.19127998719341</v>
      </c>
      <c r="G41" s="18">
        <f t="shared" si="12"/>
        <v>106.15816731859923</v>
      </c>
      <c r="H41" s="18">
        <f t="shared" si="12"/>
        <v>-263.07323052498396</v>
      </c>
      <c r="I41" s="18">
        <f t="shared" si="12"/>
        <v>682.24921301555332</v>
      </c>
      <c r="J41" s="18">
        <f t="shared" si="12"/>
        <v>560.06355453890319</v>
      </c>
      <c r="K41" s="18">
        <f t="shared" si="12"/>
        <v>484.08247584567653</v>
      </c>
      <c r="L41" s="18">
        <f t="shared" si="12"/>
        <v>1774.2482473211076</v>
      </c>
      <c r="M41" s="18">
        <f t="shared" si="12"/>
        <v>1658.0101501947865</v>
      </c>
      <c r="N41" s="18">
        <f t="shared" si="12"/>
        <v>284.45272305130675</v>
      </c>
      <c r="O41" s="18">
        <f t="shared" si="12"/>
        <v>5928.1456193669874</v>
      </c>
    </row>
    <row r="42" spans="1:15">
      <c r="A42" s="13" t="s">
        <v>58</v>
      </c>
      <c r="B42" s="13" t="s">
        <v>58</v>
      </c>
      <c r="C42" s="19">
        <f t="shared" ref="C42:O42" si="13">C8-C25</f>
        <v>-226.14632911207445</v>
      </c>
      <c r="D42" s="19">
        <f t="shared" si="13"/>
        <v>-226.14632911207445</v>
      </c>
      <c r="E42" s="19">
        <f t="shared" si="13"/>
        <v>-538.61323724603972</v>
      </c>
      <c r="F42" s="19">
        <f t="shared" si="13"/>
        <v>272.66695374734081</v>
      </c>
      <c r="G42" s="19">
        <f t="shared" si="13"/>
        <v>-120.17260870541577</v>
      </c>
      <c r="H42" s="19">
        <f t="shared" si="13"/>
        <v>174.20528974556873</v>
      </c>
      <c r="I42" s="19">
        <f t="shared" si="13"/>
        <v>-753.82546726156215</v>
      </c>
      <c r="J42" s="19">
        <f t="shared" si="13"/>
        <v>-663.81630165496063</v>
      </c>
      <c r="K42" s="19">
        <f t="shared" si="13"/>
        <v>-608.92886126825397</v>
      </c>
      <c r="L42" s="19">
        <f t="shared" si="13"/>
        <v>-1370.4038922139007</v>
      </c>
      <c r="M42" s="19">
        <f t="shared" si="13"/>
        <v>-1280.2481247882788</v>
      </c>
      <c r="N42" s="19">
        <f t="shared" si="13"/>
        <v>-187.33931167634546</v>
      </c>
      <c r="O42" s="19">
        <f t="shared" si="13"/>
        <v>-5528.7682195459784</v>
      </c>
    </row>
    <row r="43" spans="1:15">
      <c r="A43" s="38"/>
      <c r="B43" s="38" t="s">
        <v>170</v>
      </c>
      <c r="C43" s="39">
        <f t="shared" ref="C43:O43" si="14">C9-C26</f>
        <v>-15.334132849007801</v>
      </c>
      <c r="D43" s="39">
        <f t="shared" si="14"/>
        <v>-15.334132849007801</v>
      </c>
      <c r="E43" s="39">
        <f t="shared" si="14"/>
        <v>68.907968821067698</v>
      </c>
      <c r="F43" s="39">
        <f t="shared" si="14"/>
        <v>-114.5243262398526</v>
      </c>
      <c r="G43" s="39">
        <f t="shared" si="14"/>
        <v>-14.014441386816543</v>
      </c>
      <c r="H43" s="39">
        <f t="shared" si="14"/>
        <v>-88.867940779415221</v>
      </c>
      <c r="I43" s="39">
        <f t="shared" si="14"/>
        <v>-71.57625424600883</v>
      </c>
      <c r="J43" s="39">
        <f t="shared" si="14"/>
        <v>-103.75274711605744</v>
      </c>
      <c r="K43" s="39">
        <f t="shared" si="14"/>
        <v>-124.84638542257744</v>
      </c>
      <c r="L43" s="39">
        <f t="shared" si="14"/>
        <v>403.84435510720687</v>
      </c>
      <c r="M43" s="39">
        <f t="shared" si="14"/>
        <v>377.76202540650775</v>
      </c>
      <c r="N43" s="39">
        <f t="shared" si="14"/>
        <v>97.113411374961288</v>
      </c>
      <c r="O43" s="39">
        <f t="shared" si="14"/>
        <v>399.37739982099447</v>
      </c>
    </row>
    <row r="44" spans="1:15">
      <c r="A44" s="13"/>
      <c r="B44" s="13" t="s">
        <v>171</v>
      </c>
      <c r="C44" s="23">
        <f t="shared" ref="C44:O44" si="15">C10-C27</f>
        <v>-4.7522720084293701E-3</v>
      </c>
      <c r="D44" s="23">
        <f t="shared" si="15"/>
        <v>-4.7522720084293701E-3</v>
      </c>
      <c r="E44" s="23">
        <f t="shared" si="15"/>
        <v>-4.7522720084292314E-3</v>
      </c>
      <c r="F44" s="23">
        <f t="shared" si="15"/>
        <v>-2.8282837478477985E-3</v>
      </c>
      <c r="G44" s="23">
        <f t="shared" si="15"/>
        <v>-2.8282837478479927E-3</v>
      </c>
      <c r="H44" s="23">
        <f t="shared" si="15"/>
        <v>-2.828283747847965E-3</v>
      </c>
      <c r="I44" s="23">
        <f t="shared" si="15"/>
        <v>-1.6370081490569649E-2</v>
      </c>
      <c r="J44" s="23">
        <f t="shared" si="15"/>
        <v>-1.6370081490569732E-2</v>
      </c>
      <c r="K44" s="23">
        <f t="shared" si="15"/>
        <v>-1.637008149056976E-2</v>
      </c>
      <c r="L44" s="23">
        <f t="shared" si="15"/>
        <v>2.8460953078456863E-3</v>
      </c>
      <c r="M44" s="23">
        <f t="shared" si="15"/>
        <v>2.8460953078458251E-3</v>
      </c>
      <c r="N44" s="23">
        <f t="shared" si="15"/>
        <v>2.8460953078457696E-3</v>
      </c>
      <c r="O44" s="23">
        <f t="shared" si="15"/>
        <v>-5.1951051283216643E-3</v>
      </c>
    </row>
    <row r="45" spans="1:15">
      <c r="A45" s="13" t="s">
        <v>60</v>
      </c>
      <c r="B45" s="13" t="s">
        <v>151</v>
      </c>
      <c r="C45" s="19">
        <f t="shared" ref="C45:O45" si="16">C11-C28</f>
        <v>217.45793378015969</v>
      </c>
      <c r="D45" s="19">
        <f t="shared" si="16"/>
        <v>217.45793378015969</v>
      </c>
      <c r="E45" s="19">
        <f t="shared" si="16"/>
        <v>147.10320907511618</v>
      </c>
      <c r="F45" s="19">
        <f t="shared" si="16"/>
        <v>268.28404243097748</v>
      </c>
      <c r="G45" s="19">
        <f t="shared" si="16"/>
        <v>199.07863966623677</v>
      </c>
      <c r="H45" s="19">
        <f t="shared" si="16"/>
        <v>248.6527631510146</v>
      </c>
      <c r="I45" s="19">
        <f t="shared" si="16"/>
        <v>254.69135860590995</v>
      </c>
      <c r="J45" s="19">
        <f t="shared" si="16"/>
        <v>284.13277954108457</v>
      </c>
      <c r="K45" s="19">
        <f t="shared" si="16"/>
        <v>304.25026145791776</v>
      </c>
      <c r="L45" s="19">
        <f t="shared" si="16"/>
        <v>-128.28046115808024</v>
      </c>
      <c r="M45" s="19">
        <f t="shared" si="16"/>
        <v>-118.76830541365257</v>
      </c>
      <c r="N45" s="19">
        <f t="shared" si="16"/>
        <v>75.036308225151288</v>
      </c>
      <c r="O45" s="19">
        <f t="shared" si="16"/>
        <v>1969.0964631419884</v>
      </c>
    </row>
    <row r="46" spans="1:15">
      <c r="A46" s="13" t="s">
        <v>61</v>
      </c>
      <c r="B46" s="13" t="s">
        <v>153</v>
      </c>
      <c r="C46" s="19">
        <f t="shared" ref="C46:O46" si="17">C12-C29</f>
        <v>-86.877747373838076</v>
      </c>
      <c r="D46" s="19">
        <f t="shared" si="17"/>
        <v>-86.877747373838076</v>
      </c>
      <c r="E46" s="19">
        <f t="shared" si="17"/>
        <v>-92.987345738698707</v>
      </c>
      <c r="F46" s="19">
        <f t="shared" si="17"/>
        <v>-51.63367322736525</v>
      </c>
      <c r="G46" s="19">
        <f t="shared" si="17"/>
        <v>-65.201588525392594</v>
      </c>
      <c r="H46" s="19">
        <f t="shared" si="17"/>
        <v>-54.400807241825248</v>
      </c>
      <c r="I46" s="19">
        <f t="shared" si="17"/>
        <v>-32.440806420882609</v>
      </c>
      <c r="J46" s="19">
        <f t="shared" si="17"/>
        <v>-29.623965625354401</v>
      </c>
      <c r="K46" s="19">
        <f t="shared" si="17"/>
        <v>-27.944468913124524</v>
      </c>
      <c r="L46" s="19">
        <f t="shared" si="17"/>
        <v>-19.309345042787243</v>
      </c>
      <c r="M46" s="19">
        <f t="shared" si="17"/>
        <v>-17.788104894981075</v>
      </c>
      <c r="N46" s="19">
        <f t="shared" si="17"/>
        <v>19.011087206088007</v>
      </c>
      <c r="O46" s="19">
        <f t="shared" si="17"/>
        <v>-546.07451317200048</v>
      </c>
    </row>
    <row r="47" spans="1:15">
      <c r="A47" s="38"/>
      <c r="B47" s="38" t="s">
        <v>172</v>
      </c>
      <c r="C47" s="39">
        <f t="shared" ref="C47:O47" si="18">C13-C30</f>
        <v>115.24605355731376</v>
      </c>
      <c r="D47" s="39">
        <f t="shared" si="18"/>
        <v>115.24605355731376</v>
      </c>
      <c r="E47" s="39">
        <f t="shared" si="18"/>
        <v>123.02383215748517</v>
      </c>
      <c r="F47" s="39">
        <f t="shared" si="18"/>
        <v>102.12604296375969</v>
      </c>
      <c r="G47" s="39">
        <f t="shared" si="18"/>
        <v>119.86260975402763</v>
      </c>
      <c r="H47" s="39">
        <f t="shared" si="18"/>
        <v>105.38401512977418</v>
      </c>
      <c r="I47" s="39">
        <f t="shared" si="18"/>
        <v>150.67429793901857</v>
      </c>
      <c r="J47" s="39">
        <f t="shared" si="18"/>
        <v>150.75606679967268</v>
      </c>
      <c r="K47" s="39">
        <f t="shared" si="18"/>
        <v>151.45940712221585</v>
      </c>
      <c r="L47" s="39">
        <f t="shared" si="18"/>
        <v>256.25454890633938</v>
      </c>
      <c r="M47" s="39">
        <f t="shared" si="18"/>
        <v>241.2056150978741</v>
      </c>
      <c r="N47" s="39">
        <f t="shared" si="18"/>
        <v>191.16080680620064</v>
      </c>
      <c r="O47" s="39">
        <f t="shared" si="18"/>
        <v>1822.399349790996</v>
      </c>
    </row>
    <row r="48" spans="1:15">
      <c r="A48" s="13" t="s">
        <v>62</v>
      </c>
      <c r="B48" s="13" t="s">
        <v>155</v>
      </c>
      <c r="C48" s="19">
        <f t="shared" ref="C48:O48" si="19">C14-C31</f>
        <v>54.556271617264599</v>
      </c>
      <c r="D48" s="19">
        <f t="shared" si="19"/>
        <v>54.556271617264599</v>
      </c>
      <c r="E48" s="19">
        <f t="shared" si="19"/>
        <v>57.593932402234458</v>
      </c>
      <c r="F48" s="19">
        <f t="shared" si="19"/>
        <v>62.493121186439737</v>
      </c>
      <c r="G48" s="19">
        <f t="shared" si="19"/>
        <v>70.165608552859624</v>
      </c>
      <c r="H48" s="19">
        <f t="shared" si="19"/>
        <v>63.712392178247086</v>
      </c>
      <c r="I48" s="19">
        <f t="shared" si="19"/>
        <v>78.492131420544638</v>
      </c>
      <c r="J48" s="19">
        <f t="shared" si="19"/>
        <v>79.006857421514127</v>
      </c>
      <c r="K48" s="19">
        <f t="shared" si="19"/>
        <v>79.67822995025287</v>
      </c>
      <c r="L48" s="19">
        <f t="shared" si="19"/>
        <v>96.600882705670216</v>
      </c>
      <c r="M48" s="19">
        <f t="shared" si="19"/>
        <v>90.899241259108862</v>
      </c>
      <c r="N48" s="19">
        <f t="shared" si="19"/>
        <v>69.593793627599155</v>
      </c>
      <c r="O48" s="19">
        <f t="shared" si="19"/>
        <v>857.34873393899989</v>
      </c>
    </row>
    <row r="49" spans="1:15">
      <c r="A49" s="13" t="s">
        <v>63</v>
      </c>
      <c r="B49" s="13" t="s">
        <v>157</v>
      </c>
      <c r="C49" s="19">
        <f t="shared" ref="C49:O49" si="20">C15-C32</f>
        <v>-18.654914629650705</v>
      </c>
      <c r="D49" s="19">
        <f t="shared" si="20"/>
        <v>-18.654914629650705</v>
      </c>
      <c r="E49" s="19">
        <f t="shared" si="20"/>
        <v>-20.866830888772583</v>
      </c>
      <c r="F49" s="19">
        <f t="shared" si="20"/>
        <v>-30.795286278711416</v>
      </c>
      <c r="G49" s="19">
        <f t="shared" si="20"/>
        <v>-34.877177586265702</v>
      </c>
      <c r="H49" s="19">
        <f t="shared" si="20"/>
        <v>-31.469404753714258</v>
      </c>
      <c r="I49" s="19">
        <f t="shared" si="20"/>
        <v>-35.155517724823227</v>
      </c>
      <c r="J49" s="19">
        <f t="shared" si="20"/>
        <v>-35.19937587571134</v>
      </c>
      <c r="K49" s="19">
        <f t="shared" si="20"/>
        <v>-35.379486761498399</v>
      </c>
      <c r="L49" s="19">
        <f t="shared" si="20"/>
        <v>-32.176118332082069</v>
      </c>
      <c r="M49" s="19">
        <f t="shared" si="20"/>
        <v>-30.229247879655688</v>
      </c>
      <c r="N49" s="19">
        <f t="shared" si="20"/>
        <v>-19.060398122463837</v>
      </c>
      <c r="O49" s="19">
        <f t="shared" si="20"/>
        <v>-342.51867346300014</v>
      </c>
    </row>
    <row r="50" spans="1:15">
      <c r="A50" s="13" t="s">
        <v>64</v>
      </c>
      <c r="B50" s="13" t="s">
        <v>159</v>
      </c>
      <c r="C50" s="19">
        <f t="shared" ref="C50:O50" si="21">C16-C33</f>
        <v>1.0633479944196613</v>
      </c>
      <c r="D50" s="19">
        <f t="shared" si="21"/>
        <v>1.0633479944196613</v>
      </c>
      <c r="E50" s="19">
        <f t="shared" si="21"/>
        <v>1.0030783111606771</v>
      </c>
      <c r="F50" s="19">
        <f t="shared" si="21"/>
        <v>3.7139212125720391</v>
      </c>
      <c r="G50" s="19">
        <f t="shared" si="21"/>
        <v>3.7287247888338859</v>
      </c>
      <c r="H50" s="19">
        <f t="shared" si="21"/>
        <v>3.6789847725940792</v>
      </c>
      <c r="I50" s="19">
        <f t="shared" si="21"/>
        <v>1.3493619017737111</v>
      </c>
      <c r="J50" s="19">
        <f t="shared" si="21"/>
        <v>1.3957685280251879</v>
      </c>
      <c r="K50" s="19">
        <f t="shared" si="21"/>
        <v>1.4315709252011013</v>
      </c>
      <c r="L50" s="19">
        <f t="shared" si="21"/>
        <v>2.0588325386045865</v>
      </c>
      <c r="M50" s="19">
        <f t="shared" si="21"/>
        <v>1.9423968466616897</v>
      </c>
      <c r="N50" s="19">
        <f t="shared" si="21"/>
        <v>1.9217433727337232</v>
      </c>
      <c r="O50" s="19">
        <f t="shared" si="21"/>
        <v>24.351079187000003</v>
      </c>
    </row>
    <row r="51" spans="1:15">
      <c r="A51" s="13" t="s">
        <v>65</v>
      </c>
      <c r="B51" s="13" t="s">
        <v>161</v>
      </c>
      <c r="C51" s="19">
        <f t="shared" ref="C51:O51" si="22">C17-C34</f>
        <v>17.422421348425019</v>
      </c>
      <c r="D51" s="19">
        <f t="shared" si="22"/>
        <v>17.422421348425019</v>
      </c>
      <c r="E51" s="19">
        <f t="shared" si="22"/>
        <v>15.78108066953517</v>
      </c>
      <c r="F51" s="19">
        <f t="shared" si="22"/>
        <v>16.36326634842478</v>
      </c>
      <c r="G51" s="19">
        <f t="shared" si="22"/>
        <v>15.636661379341245</v>
      </c>
      <c r="H51" s="19">
        <f t="shared" si="22"/>
        <v>16.016577683295719</v>
      </c>
      <c r="I51" s="19">
        <f t="shared" si="22"/>
        <v>13.664158637332584</v>
      </c>
      <c r="J51" s="19">
        <f t="shared" si="22"/>
        <v>14.367128828239263</v>
      </c>
      <c r="K51" s="19">
        <f t="shared" si="22"/>
        <v>14.880210635221548</v>
      </c>
      <c r="L51" s="19">
        <f t="shared" si="22"/>
        <v>22.668147042097303</v>
      </c>
      <c r="M51" s="19">
        <f t="shared" si="22"/>
        <v>21.411602369022937</v>
      </c>
      <c r="N51" s="19">
        <f t="shared" si="22"/>
        <v>23.35341768263941</v>
      </c>
      <c r="O51" s="19">
        <f t="shared" si="22"/>
        <v>208.987093972</v>
      </c>
    </row>
    <row r="52" spans="1:15">
      <c r="A52" s="38"/>
      <c r="B52" s="38" t="s">
        <v>173</v>
      </c>
      <c r="C52" s="39">
        <f t="shared" ref="C52:O52" si="23">C18-C35</f>
        <v>169.63317988777237</v>
      </c>
      <c r="D52" s="39">
        <f t="shared" si="23"/>
        <v>169.63317988777237</v>
      </c>
      <c r="E52" s="39">
        <f t="shared" si="23"/>
        <v>176.53509265164291</v>
      </c>
      <c r="F52" s="39">
        <f t="shared" si="23"/>
        <v>153.90106543248487</v>
      </c>
      <c r="G52" s="39">
        <f t="shared" si="23"/>
        <v>174.51642688879662</v>
      </c>
      <c r="H52" s="39">
        <f t="shared" si="23"/>
        <v>157.32256501019685</v>
      </c>
      <c r="I52" s="39">
        <f t="shared" si="23"/>
        <v>209.02443217384626</v>
      </c>
      <c r="J52" s="39">
        <f t="shared" si="23"/>
        <v>210.32644570174</v>
      </c>
      <c r="K52" s="39">
        <f t="shared" si="23"/>
        <v>212.06993187139301</v>
      </c>
      <c r="L52" s="39">
        <f t="shared" si="23"/>
        <v>345.40629286062949</v>
      </c>
      <c r="M52" s="39">
        <f t="shared" si="23"/>
        <v>325.22960769301181</v>
      </c>
      <c r="N52" s="39">
        <f t="shared" si="23"/>
        <v>266.9693633667091</v>
      </c>
      <c r="O52" s="39">
        <f t="shared" si="23"/>
        <v>2570.5675834259973</v>
      </c>
    </row>
    <row r="53" spans="1:15">
      <c r="A53" s="13" t="s">
        <v>66</v>
      </c>
      <c r="B53" s="13" t="s">
        <v>163</v>
      </c>
      <c r="C53" s="19">
        <f t="shared" ref="C53:O53" si="24">C19-C36</f>
        <v>-33.89107787631643</v>
      </c>
      <c r="D53" s="19">
        <f t="shared" si="24"/>
        <v>-33.89107787631643</v>
      </c>
      <c r="E53" s="19">
        <f t="shared" si="24"/>
        <v>-35.273475832805673</v>
      </c>
      <c r="F53" s="19">
        <f t="shared" si="24"/>
        <v>-19.104008966971847</v>
      </c>
      <c r="G53" s="19">
        <f t="shared" si="24"/>
        <v>-23.18054026604905</v>
      </c>
      <c r="H53" s="19">
        <f t="shared" si="24"/>
        <v>-19.898145624072569</v>
      </c>
      <c r="I53" s="19">
        <f t="shared" si="24"/>
        <v>-27.013277907648444</v>
      </c>
      <c r="J53" s="19">
        <f t="shared" si="24"/>
        <v>-26.764974499860898</v>
      </c>
      <c r="K53" s="19">
        <f t="shared" si="24"/>
        <v>-26.721208420085631</v>
      </c>
      <c r="L53" s="19">
        <f t="shared" si="24"/>
        <v>-39.42595881551398</v>
      </c>
      <c r="M53" s="19">
        <f t="shared" si="24"/>
        <v>-37.067754468689898</v>
      </c>
      <c r="N53" s="19">
        <f t="shared" si="24"/>
        <v>-25.713196996665545</v>
      </c>
      <c r="O53" s="19">
        <f t="shared" si="24"/>
        <v>-347.94469755099635</v>
      </c>
    </row>
    <row r="54" spans="1:15">
      <c r="A54" s="38"/>
      <c r="B54" s="38" t="s">
        <v>174</v>
      </c>
      <c r="C54" s="39">
        <f t="shared" ref="C54:O54" si="25">C20-C37</f>
        <v>135.74210201145593</v>
      </c>
      <c r="D54" s="39">
        <f t="shared" si="25"/>
        <v>135.74210201145593</v>
      </c>
      <c r="E54" s="39">
        <f t="shared" si="25"/>
        <v>141.26161681883724</v>
      </c>
      <c r="F54" s="39">
        <f t="shared" si="25"/>
        <v>134.79705646551304</v>
      </c>
      <c r="G54" s="39">
        <f t="shared" si="25"/>
        <v>151.33588662274758</v>
      </c>
      <c r="H54" s="39">
        <f t="shared" si="25"/>
        <v>137.42441938612421</v>
      </c>
      <c r="I54" s="39">
        <f t="shared" si="25"/>
        <v>182.01115426619776</v>
      </c>
      <c r="J54" s="39">
        <f t="shared" si="25"/>
        <v>183.5614712018791</v>
      </c>
      <c r="K54" s="39">
        <f t="shared" si="25"/>
        <v>185.34872345130736</v>
      </c>
      <c r="L54" s="39">
        <f t="shared" si="25"/>
        <v>305.98033404511546</v>
      </c>
      <c r="M54" s="39">
        <f t="shared" si="25"/>
        <v>288.16185322432187</v>
      </c>
      <c r="N54" s="39">
        <f t="shared" si="25"/>
        <v>241.25616637004362</v>
      </c>
      <c r="O54" s="39">
        <f t="shared" si="25"/>
        <v>2222.6228858750001</v>
      </c>
    </row>
  </sheetData>
  <mergeCells count="5">
    <mergeCell ref="A1:O1"/>
    <mergeCell ref="A2:O2"/>
    <mergeCell ref="A6:O6"/>
    <mergeCell ref="A23:O23"/>
    <mergeCell ref="A40:O40"/>
  </mergeCells>
  <conditionalFormatting sqref="C41:O54">
    <cfRule type="colorScale" priority="1">
      <colorScale>
        <cfvo type="min"/>
        <cfvo type="percentile" val="50"/>
        <cfvo type="max"/>
        <color rgb="FFF4CCCC"/>
        <color rgb="FFFFFFFF"/>
        <color rgb="FFD9EAD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3"/>
  <sheetViews>
    <sheetView showGridLines="0" workbookViewId="0"/>
  </sheetViews>
  <sheetFormatPr defaultRowHeight="14.25"/>
  <cols>
    <col min="1" max="1" width="24" customWidth="1"/>
    <col min="2" max="5" width="16" customWidth="1"/>
    <col min="6" max="6" width="48" customWidth="1"/>
    <col min="7" max="8" width="17" customWidth="1"/>
    <col min="9" max="11" width="14" customWidth="1"/>
  </cols>
  <sheetData>
    <row r="1" spans="1:14" ht="30" customHeight="1">
      <c r="A1" s="115" t="s">
        <v>177</v>
      </c>
      <c r="B1" s="115" t="s">
        <v>177</v>
      </c>
      <c r="C1" s="115" t="s">
        <v>177</v>
      </c>
      <c r="D1" s="115" t="s">
        <v>177</v>
      </c>
      <c r="E1" s="115" t="s">
        <v>177</v>
      </c>
      <c r="F1" s="115" t="s">
        <v>177</v>
      </c>
      <c r="G1" s="115" t="s">
        <v>177</v>
      </c>
      <c r="H1" s="115" t="s">
        <v>177</v>
      </c>
      <c r="I1" s="115" t="s">
        <v>177</v>
      </c>
      <c r="J1" s="115" t="s">
        <v>177</v>
      </c>
      <c r="K1" s="115" t="s">
        <v>177</v>
      </c>
      <c r="L1" s="115" t="s">
        <v>177</v>
      </c>
      <c r="M1" s="115" t="s">
        <v>177</v>
      </c>
      <c r="N1" s="115" t="s">
        <v>177</v>
      </c>
    </row>
    <row r="2" spans="1:14" ht="33.950000000000003" customHeight="1">
      <c r="A2" s="116" t="s">
        <v>178</v>
      </c>
      <c r="B2" s="116" t="s">
        <v>178</v>
      </c>
      <c r="C2" s="116" t="s">
        <v>178</v>
      </c>
      <c r="D2" s="116" t="s">
        <v>178</v>
      </c>
      <c r="E2" s="116" t="s">
        <v>178</v>
      </c>
      <c r="F2" s="116" t="s">
        <v>178</v>
      </c>
      <c r="G2" s="116" t="s">
        <v>178</v>
      </c>
      <c r="H2" s="116" t="s">
        <v>178</v>
      </c>
      <c r="I2" s="116" t="s">
        <v>178</v>
      </c>
      <c r="J2" s="116" t="s">
        <v>178</v>
      </c>
      <c r="K2" s="116" t="s">
        <v>178</v>
      </c>
      <c r="L2" s="116" t="s">
        <v>178</v>
      </c>
      <c r="M2" s="116" t="s">
        <v>178</v>
      </c>
      <c r="N2" s="116" t="s">
        <v>178</v>
      </c>
    </row>
    <row r="3" spans="1:14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ht="21.95" customHeight="1">
      <c r="A4" s="105" t="s">
        <v>179</v>
      </c>
      <c r="B4" s="105" t="s">
        <v>179</v>
      </c>
      <c r="C4" s="105" t="s">
        <v>179</v>
      </c>
      <c r="D4" s="105" t="s">
        <v>179</v>
      </c>
      <c r="E4" s="105" t="s">
        <v>179</v>
      </c>
      <c r="F4" s="105" t="s">
        <v>179</v>
      </c>
      <c r="G4" s="80"/>
      <c r="H4" s="80"/>
      <c r="I4" s="80"/>
      <c r="J4" s="80"/>
      <c r="K4" s="80"/>
      <c r="L4" s="80"/>
      <c r="M4" s="80"/>
      <c r="N4" s="80"/>
    </row>
    <row r="5" spans="1:14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</row>
    <row r="6" spans="1:14" ht="30" customHeight="1">
      <c r="A6" s="11" t="s">
        <v>167</v>
      </c>
      <c r="B6" s="11" t="s">
        <v>180</v>
      </c>
      <c r="C6" s="11" t="s">
        <v>181</v>
      </c>
      <c r="D6" s="11" t="s">
        <v>182</v>
      </c>
      <c r="E6" s="11" t="s">
        <v>183</v>
      </c>
      <c r="F6" s="11" t="s">
        <v>184</v>
      </c>
      <c r="G6" s="80"/>
      <c r="H6" s="80"/>
      <c r="I6" s="80"/>
      <c r="J6" s="80"/>
      <c r="K6" s="80"/>
      <c r="L6" s="80"/>
      <c r="M6" s="80"/>
      <c r="N6" s="80"/>
    </row>
    <row r="7" spans="1:14" ht="24">
      <c r="A7" s="12" t="s">
        <v>144</v>
      </c>
      <c r="B7" s="42">
        <f>SUMIFS('01_Raw_Actual'!$G$6:$G$569,'01_Raw_Actual'!$B$6:$B$569,2024,'01_Raw_Actual'!$F$6:$F$569,"REV")</f>
        <v>134341.15284880198</v>
      </c>
      <c r="C7" s="42">
        <f>'05_Monthly_P&amp;L'!O7</f>
        <v>155928.14561936699</v>
      </c>
      <c r="D7" s="18">
        <f t="shared" ref="D7:D14" si="0">C7-B7</f>
        <v>21586.992770565004</v>
      </c>
      <c r="E7" s="22">
        <f>IFERROR(D7/ABS(B7),0)</f>
        <v>0.16068786304715346</v>
      </c>
      <c r="F7" s="47" t="s">
        <v>185</v>
      </c>
      <c r="G7" s="80"/>
      <c r="H7" s="80"/>
      <c r="I7" s="80"/>
      <c r="J7" s="80"/>
      <c r="K7" s="80"/>
      <c r="L7" s="80"/>
      <c r="M7" s="80"/>
      <c r="N7" s="80"/>
    </row>
    <row r="8" spans="1:14">
      <c r="A8" s="36" t="s">
        <v>170</v>
      </c>
      <c r="B8" s="37">
        <f>B7+SUMIFS('01_Raw_Actual'!$G$6:$G$569,'01_Raw_Actual'!$B$6:$B$569,2024,'01_Raw_Actual'!$F$6:$F$569,"COGS")</f>
        <v>27499.21007702098</v>
      </c>
      <c r="C8" s="37">
        <f>'05_Monthly_P&amp;L'!O9</f>
        <v>31001.877399820994</v>
      </c>
      <c r="D8" s="37">
        <f t="shared" si="0"/>
        <v>3502.6673228000145</v>
      </c>
      <c r="E8" s="50">
        <f>IFERROR(D8/ABS(B8),0)</f>
        <v>0.12737337956216169</v>
      </c>
      <c r="F8" s="51" t="s">
        <v>186</v>
      </c>
      <c r="G8" s="80"/>
      <c r="H8" s="80"/>
      <c r="I8" s="80"/>
      <c r="J8" s="80"/>
      <c r="K8" s="80"/>
      <c r="L8" s="80"/>
      <c r="M8" s="80"/>
      <c r="N8" s="80"/>
    </row>
    <row r="9" spans="1:14">
      <c r="A9" s="36" t="s">
        <v>171</v>
      </c>
      <c r="B9" s="50">
        <f>IFERROR(B8/B7,0)</f>
        <v>0.20469684451770886</v>
      </c>
      <c r="C9" s="50">
        <f>'05_Monthly_P&amp;L'!O10</f>
        <v>0.19882156153834502</v>
      </c>
      <c r="D9" s="50">
        <f t="shared" si="0"/>
        <v>-5.8752829793638495E-3</v>
      </c>
      <c r="E9" s="50">
        <f>C9-B9</f>
        <v>-5.8752829793638495E-3</v>
      </c>
      <c r="F9" s="51" t="s">
        <v>187</v>
      </c>
      <c r="G9" s="80"/>
      <c r="H9" s="80"/>
      <c r="I9" s="80"/>
      <c r="J9" s="80"/>
      <c r="K9" s="80"/>
      <c r="L9" s="80"/>
      <c r="M9" s="80"/>
      <c r="N9" s="80"/>
    </row>
    <row r="10" spans="1:14" ht="24">
      <c r="A10" s="13" t="s">
        <v>151</v>
      </c>
      <c r="B10" s="43">
        <f>SUMIFS('01_Raw_Actual'!$G$6:$G$569,'01_Raw_Actual'!$B$6:$B$569,2024,'01_Raw_Actual'!$F$6:$F$569,"SELL")</f>
        <v>-19849.837609881997</v>
      </c>
      <c r="C10" s="43">
        <f>'05_Monthly_P&amp;L'!O11</f>
        <v>-19330.903536858004</v>
      </c>
      <c r="D10" s="19">
        <f t="shared" si="0"/>
        <v>518.93407302399282</v>
      </c>
      <c r="E10" s="23">
        <f>IFERROR(D10/ABS(B10),0)</f>
        <v>2.6142988331836422E-2</v>
      </c>
      <c r="F10" s="48" t="s">
        <v>188</v>
      </c>
      <c r="G10" s="80"/>
      <c r="H10" s="80"/>
      <c r="I10" s="80"/>
      <c r="J10" s="80"/>
      <c r="K10" s="80"/>
      <c r="L10" s="80"/>
      <c r="M10" s="80"/>
      <c r="N10" s="80"/>
    </row>
    <row r="11" spans="1:14" ht="24">
      <c r="A11" s="13" t="s">
        <v>153</v>
      </c>
      <c r="B11" s="43">
        <f>SUMIFS('01_Raw_Actual'!$G$6:$G$569,'01_Raw_Actual'!$B$6:$B$569,2024,'01_Raw_Actual'!$F$6:$F$569,"GA")</f>
        <v>-3565.7675831020001</v>
      </c>
      <c r="C11" s="43">
        <f>'05_Monthly_P&amp;L'!O12</f>
        <v>-4596.0745131719996</v>
      </c>
      <c r="D11" s="19">
        <f t="shared" si="0"/>
        <v>-1030.3069300699995</v>
      </c>
      <c r="E11" s="23">
        <f>IFERROR(D11/ABS(B11),0)</f>
        <v>-0.28894393873357704</v>
      </c>
      <c r="F11" s="48" t="s">
        <v>189</v>
      </c>
      <c r="G11" s="80"/>
      <c r="H11" s="80"/>
      <c r="I11" s="80"/>
      <c r="J11" s="80"/>
      <c r="K11" s="80"/>
      <c r="L11" s="80"/>
      <c r="M11" s="80"/>
      <c r="N11" s="80"/>
    </row>
    <row r="12" spans="1:14" ht="24">
      <c r="A12" s="36" t="s">
        <v>172</v>
      </c>
      <c r="B12" s="37">
        <f>SUM(B8,B10:B11)</f>
        <v>4083.6048840369826</v>
      </c>
      <c r="C12" s="37">
        <f>'05_Monthly_P&amp;L'!O13</f>
        <v>7074.8993497909978</v>
      </c>
      <c r="D12" s="37">
        <f t="shared" si="0"/>
        <v>2991.2944657540152</v>
      </c>
      <c r="E12" s="50">
        <f>IFERROR(D12/ABS(B12),0)</f>
        <v>0.7325131962318725</v>
      </c>
      <c r="F12" s="51" t="s">
        <v>190</v>
      </c>
      <c r="G12" s="80"/>
      <c r="H12" s="80"/>
      <c r="I12" s="80"/>
      <c r="J12" s="80"/>
      <c r="K12" s="80"/>
      <c r="L12" s="80"/>
      <c r="M12" s="80"/>
      <c r="N12" s="80"/>
    </row>
    <row r="13" spans="1:14" ht="24">
      <c r="A13" s="36" t="s">
        <v>173</v>
      </c>
      <c r="B13" s="37">
        <f>SUMIFS('01_Raw_Actual'!$G$6:$G$569,'01_Raw_Actual'!$B$6:$B$569,2024)-SUMIFS('01_Raw_Actual'!$G$6:$G$569,'01_Raw_Actual'!$B$6:$B$569,2024,'01_Raw_Actual'!$F$6:$F$569,"TAX")</f>
        <v>4825.7630130780017</v>
      </c>
      <c r="C13" s="37">
        <f>'05_Monthly_P&amp;L'!O18</f>
        <v>8633.0675834259982</v>
      </c>
      <c r="D13" s="37">
        <f t="shared" si="0"/>
        <v>3807.3045703479966</v>
      </c>
      <c r="E13" s="50">
        <f>IFERROR(D13/ABS(B13),0)</f>
        <v>0.78895390429037981</v>
      </c>
      <c r="F13" s="51" t="s">
        <v>191</v>
      </c>
      <c r="G13" s="80"/>
      <c r="H13" s="80"/>
      <c r="I13" s="80"/>
      <c r="J13" s="80"/>
      <c r="K13" s="80"/>
      <c r="L13" s="80"/>
      <c r="M13" s="80"/>
      <c r="N13" s="80"/>
    </row>
    <row r="14" spans="1:14">
      <c r="A14" s="40" t="s">
        <v>174</v>
      </c>
      <c r="B14" s="41">
        <f>SUMIFS('01_Raw_Actual'!$G$6:$G$569,'01_Raw_Actual'!$B$6:$B$569,2024)</f>
        <v>3733.2882287200014</v>
      </c>
      <c r="C14" s="41">
        <f>'05_Monthly_P&amp;L'!O20</f>
        <v>7072.6228858749982</v>
      </c>
      <c r="D14" s="41">
        <f t="shared" si="0"/>
        <v>3339.3346571549969</v>
      </c>
      <c r="E14" s="52">
        <f>IFERROR(D14/ABS(B14),0)</f>
        <v>0.89447544699754522</v>
      </c>
      <c r="F14" s="53" t="s">
        <v>192</v>
      </c>
      <c r="G14" s="80"/>
      <c r="H14" s="80"/>
      <c r="I14" s="80"/>
      <c r="J14" s="80"/>
      <c r="K14" s="80"/>
      <c r="L14" s="80"/>
      <c r="M14" s="80"/>
      <c r="N14" s="80"/>
    </row>
    <row r="15" spans="1:14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</row>
    <row r="16" spans="1:14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</row>
    <row r="17" spans="1:14" ht="30" customHeight="1">
      <c r="A17" s="11" t="s">
        <v>193</v>
      </c>
      <c r="B17" s="11"/>
      <c r="C17" s="11" t="s">
        <v>194</v>
      </c>
      <c r="D17" s="11"/>
      <c r="E17" s="11" t="s">
        <v>195</v>
      </c>
      <c r="F17" s="11"/>
      <c r="G17" s="11" t="s">
        <v>196</v>
      </c>
      <c r="H17" s="11"/>
      <c r="I17" s="80"/>
      <c r="J17" s="80"/>
      <c r="K17" s="80"/>
      <c r="L17" s="80"/>
      <c r="M17" s="80"/>
      <c r="N17" s="80"/>
    </row>
    <row r="18" spans="1:14">
      <c r="A18" s="127">
        <f>E7</f>
        <v>0.16068786304715346</v>
      </c>
      <c r="B18" s="128"/>
      <c r="C18" s="127">
        <f>E14</f>
        <v>0.89447544699754522</v>
      </c>
      <c r="D18" s="128"/>
      <c r="E18" s="127">
        <f>D9</f>
        <v>-5.8752829793638495E-3</v>
      </c>
      <c r="F18" s="128"/>
      <c r="G18" s="127">
        <f>ABS(B10/B7)-ABS(C10/C7)</f>
        <v>2.3783788652510782E-2</v>
      </c>
      <c r="H18" s="128"/>
      <c r="I18" s="80"/>
      <c r="J18" s="80"/>
      <c r="K18" s="80"/>
      <c r="L18" s="80"/>
      <c r="M18" s="80"/>
      <c r="N18" s="80"/>
    </row>
    <row r="19" spans="1:14">
      <c r="A19" s="129"/>
      <c r="B19" s="130"/>
      <c r="C19" s="129"/>
      <c r="D19" s="130"/>
      <c r="E19" s="129"/>
      <c r="F19" s="130"/>
      <c r="G19" s="129"/>
      <c r="H19" s="130"/>
      <c r="I19" s="80"/>
      <c r="J19" s="80"/>
      <c r="K19" s="80"/>
      <c r="L19" s="80"/>
      <c r="M19" s="80"/>
      <c r="N19" s="80"/>
    </row>
    <row r="20" spans="1:14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</row>
    <row r="21" spans="1:14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</row>
    <row r="22" spans="1:14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</row>
    <row r="23" spans="1:14" ht="30" customHeight="1">
      <c r="A23" s="80"/>
      <c r="B23" s="80"/>
      <c r="C23" s="80"/>
      <c r="D23" s="80"/>
      <c r="E23" s="80"/>
      <c r="F23" s="80"/>
      <c r="G23" s="80"/>
      <c r="H23" s="80"/>
      <c r="I23" s="11" t="s">
        <v>44</v>
      </c>
      <c r="J23" s="11" t="s">
        <v>180</v>
      </c>
      <c r="K23" s="11" t="s">
        <v>181</v>
      </c>
      <c r="L23" s="80"/>
      <c r="M23" s="80"/>
      <c r="N23" s="80"/>
    </row>
    <row r="24" spans="1:14">
      <c r="A24" s="80"/>
      <c r="B24" s="80"/>
      <c r="C24" s="80"/>
      <c r="D24" s="80"/>
      <c r="E24" s="80"/>
      <c r="F24" s="80"/>
      <c r="G24" s="80"/>
      <c r="H24" s="80"/>
      <c r="I24" s="12" t="s">
        <v>197</v>
      </c>
      <c r="J24" s="18">
        <f>SUMIFS('01_Raw_Actual'!$G$6:$G$569,'01_Raw_Actual'!$B$6:$B$569,2024,'01_Raw_Actual'!$C$6:$C$569,1,'01_Raw_Actual'!$F$6:$F$569,"REV")</f>
        <v>10806.512295282742</v>
      </c>
      <c r="K24" s="18">
        <f>SUMIFS('01_Raw_Actual'!$G$6:$G$569,'01_Raw_Actual'!$B$6:$B$569,2025,'01_Raw_Actual'!$C$6:$C$569,1,'01_Raw_Actual'!$F$6:$F$569,"REV")</f>
        <v>12276.934973375044</v>
      </c>
      <c r="L24" s="80"/>
      <c r="M24" s="80"/>
      <c r="N24" s="80"/>
    </row>
    <row r="25" spans="1:14">
      <c r="A25" s="80"/>
      <c r="B25" s="80"/>
      <c r="C25" s="80"/>
      <c r="D25" s="80"/>
      <c r="E25" s="80"/>
      <c r="F25" s="80"/>
      <c r="G25" s="80"/>
      <c r="H25" s="80"/>
      <c r="I25" s="13" t="s">
        <v>198</v>
      </c>
      <c r="J25" s="19">
        <f>SUMIFS('01_Raw_Actual'!$G$6:$G$569,'01_Raw_Actual'!$B$6:$B$569,2024,'01_Raw_Actual'!$C$6:$C$569,2,'01_Raw_Actual'!$F$6:$F$569,"REV")</f>
        <v>10806.512295282742</v>
      </c>
      <c r="K25" s="19">
        <f>SUMIFS('01_Raw_Actual'!$G$6:$G$569,'01_Raw_Actual'!$B$6:$B$569,2025,'01_Raw_Actual'!$C$6:$C$569,2,'01_Raw_Actual'!$F$6:$F$569,"REV")</f>
        <v>12276.934973375044</v>
      </c>
      <c r="L25" s="80"/>
      <c r="M25" s="80"/>
      <c r="N25" s="80"/>
    </row>
    <row r="26" spans="1:14">
      <c r="A26" s="80"/>
      <c r="B26" s="80"/>
      <c r="C26" s="80"/>
      <c r="D26" s="80"/>
      <c r="E26" s="80"/>
      <c r="F26" s="80"/>
      <c r="G26" s="80"/>
      <c r="H26" s="80"/>
      <c r="I26" s="13" t="s">
        <v>199</v>
      </c>
      <c r="J26" s="19">
        <f>SUMIFS('01_Raw_Actual'!$G$6:$G$569,'01_Raw_Actual'!$B$6:$B$569,2024,'01_Raw_Actual'!$C$6:$C$569,3,'01_Raw_Actual'!$F$6:$F$569,"REV")</f>
        <v>9828.0111819774011</v>
      </c>
      <c r="K26" s="19">
        <f>SUMIFS('01_Raw_Actual'!$G$6:$G$569,'01_Raw_Actual'!$B$6:$B$569,2025,'01_Raw_Actual'!$C$6:$C$569,3,'01_Raw_Actual'!$F$6:$F$569,"REV")</f>
        <v>11581.088471458908</v>
      </c>
      <c r="L26" s="80"/>
      <c r="M26" s="80"/>
      <c r="N26" s="80"/>
    </row>
    <row r="27" spans="1:14">
      <c r="A27" s="80"/>
      <c r="B27" s="80"/>
      <c r="C27" s="80"/>
      <c r="D27" s="80"/>
      <c r="E27" s="80"/>
      <c r="F27" s="80"/>
      <c r="G27" s="80"/>
      <c r="H27" s="80"/>
      <c r="I27" s="13" t="s">
        <v>200</v>
      </c>
      <c r="J27" s="19">
        <f>SUMIFS('01_Raw_Actual'!$G$6:$G$569,'01_Raw_Actual'!$B$6:$B$569,2024,'01_Raw_Actual'!$C$6:$C$569,4,'01_Raw_Actual'!$F$6:$F$569,"REV")</f>
        <v>11598.01319582559</v>
      </c>
      <c r="K27" s="19">
        <f>SUMIFS('01_Raw_Actual'!$G$6:$G$569,'01_Raw_Actual'!$B$6:$B$569,2025,'01_Raw_Actual'!$C$6:$C$569,4,'01_Raw_Actual'!$F$6:$F$569,"REV")</f>
        <v>12562.689992297517</v>
      </c>
      <c r="L27" s="80"/>
      <c r="M27" s="80"/>
      <c r="N27" s="80"/>
    </row>
    <row r="28" spans="1:14">
      <c r="A28" s="80"/>
      <c r="B28" s="80"/>
      <c r="C28" s="80"/>
      <c r="D28" s="80"/>
      <c r="E28" s="80"/>
      <c r="F28" s="80"/>
      <c r="G28" s="80"/>
      <c r="H28" s="80"/>
      <c r="I28" s="13" t="s">
        <v>201</v>
      </c>
      <c r="J28" s="19">
        <f>SUMIFS('01_Raw_Actual'!$G$6:$G$569,'01_Raw_Actual'!$B$6:$B$569,2024,'01_Raw_Actual'!$C$6:$C$569,5,'01_Raw_Actual'!$F$6:$F$569,"REV")</f>
        <v>11201.012744131956</v>
      </c>
      <c r="K28" s="19">
        <f>SUMIFS('01_Raw_Actual'!$G$6:$G$569,'01_Raw_Actual'!$B$6:$B$569,2025,'01_Raw_Actual'!$C$6:$C$569,5,'01_Raw_Actual'!$F$6:$F$569,"REV")</f>
        <v>12612.764490034671</v>
      </c>
      <c r="L28" s="80"/>
      <c r="M28" s="80"/>
      <c r="N28" s="80"/>
    </row>
    <row r="29" spans="1:14">
      <c r="A29" s="80"/>
      <c r="B29" s="80"/>
      <c r="C29" s="80"/>
      <c r="D29" s="80"/>
      <c r="E29" s="80"/>
      <c r="F29" s="80"/>
      <c r="G29" s="80"/>
      <c r="H29" s="80"/>
      <c r="I29" s="13" t="s">
        <v>202</v>
      </c>
      <c r="J29" s="19">
        <f>SUMIFS('01_Raw_Actual'!$G$6:$G$569,'01_Raw_Actual'!$B$6:$B$569,2024,'01_Raw_Actual'!$C$6:$C$569,6,'01_Raw_Actual'!$F$6:$F$569,"REV")</f>
        <v>11381.012948930078</v>
      </c>
      <c r="K29" s="19">
        <f>SUMIFS('01_Raw_Actual'!$G$6:$G$569,'01_Raw_Actual'!$B$6:$B$569,2025,'01_Raw_Actual'!$C$6:$C$569,6,'01_Raw_Actual'!$F$6:$F$569,"REV")</f>
        <v>12444.514177637824</v>
      </c>
      <c r="L29" s="80"/>
      <c r="M29" s="80"/>
      <c r="N29" s="80"/>
    </row>
    <row r="30" spans="1:14">
      <c r="A30" s="80"/>
      <c r="B30" s="80"/>
      <c r="C30" s="80"/>
      <c r="D30" s="80"/>
      <c r="E30" s="80"/>
      <c r="F30" s="80"/>
      <c r="G30" s="80"/>
      <c r="H30" s="80"/>
      <c r="I30" s="13" t="s">
        <v>203</v>
      </c>
      <c r="J30" s="19">
        <f>SUMIFS('01_Raw_Actual'!$G$6:$G$569,'01_Raw_Actual'!$B$6:$B$569,2024,'01_Raw_Actual'!$C$6:$C$569,7,'01_Raw_Actual'!$F$6:$F$569,"REV")</f>
        <v>10920.012424419334</v>
      </c>
      <c r="K30" s="19">
        <f>SUMIFS('01_Raw_Actual'!$G$6:$G$569,'01_Raw_Actual'!$B$6:$B$569,2025,'01_Raw_Actual'!$C$6:$C$569,7,'01_Raw_Actual'!$F$6:$F$569,"REV")</f>
        <v>12875.101730117554</v>
      </c>
      <c r="L30" s="80"/>
      <c r="M30" s="80"/>
      <c r="N30" s="80"/>
    </row>
    <row r="31" spans="1:14">
      <c r="A31" s="80"/>
      <c r="B31" s="80"/>
      <c r="C31" s="80"/>
      <c r="D31" s="80"/>
      <c r="E31" s="80"/>
      <c r="F31" s="80"/>
      <c r="G31" s="80"/>
      <c r="H31" s="80"/>
      <c r="I31" s="13" t="s">
        <v>204</v>
      </c>
      <c r="J31" s="19">
        <f>SUMIFS('01_Raw_Actual'!$G$6:$G$569,'01_Raw_Actual'!$B$6:$B$569,2024,'01_Raw_Actual'!$C$6:$C$569,8,'01_Raw_Actual'!$F$6:$F$569,"REV")</f>
        <v>11426.013000129607</v>
      </c>
      <c r="K31" s="19">
        <f>SUMIFS('01_Raw_Actual'!$G$6:$G$569,'01_Raw_Actual'!$B$6:$B$569,2025,'01_Raw_Actual'!$C$6:$C$569,8,'01_Raw_Actual'!$F$6:$F$569,"REV")</f>
        <v>13317.896234063397</v>
      </c>
      <c r="L31" s="80"/>
      <c r="M31" s="80"/>
      <c r="N31" s="80"/>
    </row>
    <row r="32" spans="1:14">
      <c r="A32" s="80"/>
      <c r="B32" s="80"/>
      <c r="C32" s="80"/>
      <c r="D32" s="80"/>
      <c r="E32" s="80"/>
      <c r="F32" s="80"/>
      <c r="G32" s="80"/>
      <c r="H32" s="80"/>
      <c r="I32" s="13" t="s">
        <v>205</v>
      </c>
      <c r="J32" s="19">
        <f>SUMIFS('01_Raw_Actual'!$G$6:$G$569,'01_Raw_Actual'!$B$6:$B$569,2024,'01_Raw_Actual'!$C$6:$C$569,9,'01_Raw_Actual'!$F$6:$F$569,"REV")</f>
        <v>11800.013425654592</v>
      </c>
      <c r="K32" s="19">
        <f>SUMIFS('01_Raw_Actual'!$G$6:$G$569,'01_Raw_Actual'!$B$6:$B$569,2025,'01_Raw_Actual'!$C$6:$C$569,9,'01_Raw_Actual'!$F$6:$F$569,"REV")</f>
        <v>13659.509188465054</v>
      </c>
      <c r="L32" s="80"/>
      <c r="M32" s="80"/>
      <c r="N32" s="80"/>
    </row>
    <row r="33" spans="1:14">
      <c r="A33" s="80"/>
      <c r="B33" s="80"/>
      <c r="C33" s="80"/>
      <c r="D33" s="80"/>
      <c r="E33" s="80"/>
      <c r="F33" s="80"/>
      <c r="G33" s="80"/>
      <c r="H33" s="80"/>
      <c r="I33" s="13" t="s">
        <v>206</v>
      </c>
      <c r="J33" s="19">
        <f>SUMIFS('01_Raw_Actual'!$G$6:$G$569,'01_Raw_Actual'!$B$6:$B$569,2024,'01_Raw_Actual'!$C$6:$C$569,10,'01_Raw_Actual'!$F$6:$F$569,"REV")</f>
        <v>11586.013182172383</v>
      </c>
      <c r="K33" s="19">
        <f>SUMIFS('01_Raw_Actual'!$G$6:$G$569,'01_Raw_Actual'!$B$6:$B$569,2025,'01_Raw_Actual'!$C$6:$C$569,10,'01_Raw_Actual'!$F$6:$F$569,"REV")</f>
        <v>14710.730780576034</v>
      </c>
      <c r="L33" s="80"/>
      <c r="M33" s="80"/>
      <c r="N33" s="80"/>
    </row>
    <row r="34" spans="1:14">
      <c r="A34" s="80"/>
      <c r="B34" s="80"/>
      <c r="C34" s="80"/>
      <c r="D34" s="80"/>
      <c r="E34" s="80"/>
      <c r="F34" s="80"/>
      <c r="G34" s="80"/>
      <c r="H34" s="80"/>
      <c r="I34" s="13" t="s">
        <v>207</v>
      </c>
      <c r="J34" s="19">
        <f>SUMIFS('01_Raw_Actual'!$G$6:$G$569,'01_Raw_Actual'!$B$6:$B$569,2024,'01_Raw_Actual'!$C$6:$C$569,11,'01_Raw_Actual'!$F$6:$F$569,"REV")</f>
        <v>10945.012452863519</v>
      </c>
      <c r="K34" s="19">
        <f>SUMIFS('01_Raw_Actual'!$G$6:$G$569,'01_Raw_Actual'!$B$6:$B$569,2025,'01_Raw_Actual'!$C$6:$C$569,11,'01_Raw_Actual'!$F$6:$F$569,"REV")</f>
        <v>13878.776706942166</v>
      </c>
      <c r="L34" s="80"/>
      <c r="M34" s="80"/>
      <c r="N34" s="80"/>
    </row>
    <row r="35" spans="1:14">
      <c r="A35" s="80"/>
      <c r="B35" s="80"/>
      <c r="C35" s="80"/>
      <c r="D35" s="80"/>
      <c r="E35" s="80"/>
      <c r="F35" s="80"/>
      <c r="G35" s="80"/>
      <c r="H35" s="80"/>
      <c r="I35" s="14" t="s">
        <v>208</v>
      </c>
      <c r="J35" s="20">
        <f>SUMIFS('01_Raw_Actual'!$G$6:$G$569,'01_Raw_Actual'!$B$6:$B$569,2024,'01_Raw_Actual'!$C$6:$C$569,12,'01_Raw_Actual'!$F$6:$F$569,"REV")</f>
        <v>12043.013702132055</v>
      </c>
      <c r="K35" s="20">
        <f>SUMIFS('01_Raw_Actual'!$G$6:$G$569,'01_Raw_Actual'!$B$6:$B$569,2025,'01_Raw_Actual'!$C$6:$C$569,12,'01_Raw_Actual'!$F$6:$F$569,"REV")</f>
        <v>13731.203901023777</v>
      </c>
      <c r="L35" s="80"/>
      <c r="M35" s="80"/>
      <c r="N35" s="80"/>
    </row>
    <row r="36" spans="1:14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</row>
    <row r="37" spans="1:14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</row>
    <row r="38" spans="1:14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</row>
    <row r="39" spans="1:14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</row>
    <row r="40" spans="1:14">
      <c r="A40" s="118" t="s">
        <v>209</v>
      </c>
      <c r="B40" s="119" t="s">
        <v>209</v>
      </c>
      <c r="C40" s="119" t="s">
        <v>209</v>
      </c>
      <c r="D40" s="119" t="s">
        <v>209</v>
      </c>
      <c r="E40" s="119" t="s">
        <v>209</v>
      </c>
      <c r="F40" s="119" t="s">
        <v>209</v>
      </c>
      <c r="G40" s="119" t="s">
        <v>209</v>
      </c>
      <c r="H40" s="120" t="s">
        <v>209</v>
      </c>
      <c r="I40" s="80"/>
      <c r="J40" s="80"/>
      <c r="K40" s="80"/>
      <c r="L40" s="80"/>
      <c r="M40" s="80"/>
      <c r="N40" s="80"/>
    </row>
    <row r="41" spans="1:14">
      <c r="A41" s="121" t="s">
        <v>209</v>
      </c>
      <c r="B41" s="122" t="s">
        <v>209</v>
      </c>
      <c r="C41" s="122" t="s">
        <v>209</v>
      </c>
      <c r="D41" s="122" t="s">
        <v>209</v>
      </c>
      <c r="E41" s="122" t="s">
        <v>209</v>
      </c>
      <c r="F41" s="122" t="s">
        <v>209</v>
      </c>
      <c r="G41" s="122" t="s">
        <v>209</v>
      </c>
      <c r="H41" s="123" t="s">
        <v>209</v>
      </c>
      <c r="I41" s="80"/>
      <c r="J41" s="80"/>
      <c r="K41" s="80"/>
      <c r="L41" s="80"/>
      <c r="M41" s="80"/>
      <c r="N41" s="80"/>
    </row>
    <row r="42" spans="1:14">
      <c r="A42" s="121" t="s">
        <v>209</v>
      </c>
      <c r="B42" s="122" t="s">
        <v>209</v>
      </c>
      <c r="C42" s="122" t="s">
        <v>209</v>
      </c>
      <c r="D42" s="122" t="s">
        <v>209</v>
      </c>
      <c r="E42" s="122" t="s">
        <v>209</v>
      </c>
      <c r="F42" s="122" t="s">
        <v>209</v>
      </c>
      <c r="G42" s="122" t="s">
        <v>209</v>
      </c>
      <c r="H42" s="123" t="s">
        <v>209</v>
      </c>
      <c r="I42" s="80"/>
      <c r="J42" s="80"/>
      <c r="K42" s="80"/>
      <c r="L42" s="80"/>
      <c r="M42" s="80"/>
      <c r="N42" s="80"/>
    </row>
    <row r="43" spans="1:14">
      <c r="A43" s="124" t="s">
        <v>209</v>
      </c>
      <c r="B43" s="125" t="s">
        <v>209</v>
      </c>
      <c r="C43" s="125" t="s">
        <v>209</v>
      </c>
      <c r="D43" s="125" t="s">
        <v>209</v>
      </c>
      <c r="E43" s="125" t="s">
        <v>209</v>
      </c>
      <c r="F43" s="125" t="s">
        <v>209</v>
      </c>
      <c r="G43" s="125" t="s">
        <v>209</v>
      </c>
      <c r="H43" s="126" t="s">
        <v>209</v>
      </c>
      <c r="I43" s="80"/>
      <c r="J43" s="80"/>
      <c r="K43" s="80"/>
      <c r="L43" s="80"/>
      <c r="M43" s="80"/>
      <c r="N43" s="80"/>
    </row>
  </sheetData>
  <mergeCells count="8">
    <mergeCell ref="A40:H43"/>
    <mergeCell ref="A1:N1"/>
    <mergeCell ref="A2:N2"/>
    <mergeCell ref="A4:F4"/>
    <mergeCell ref="A18:B19"/>
    <mergeCell ref="C18:D19"/>
    <mergeCell ref="E18:F19"/>
    <mergeCell ref="G18:H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9"/>
  <sheetViews>
    <sheetView showGridLines="0" workbookViewId="0"/>
  </sheetViews>
  <sheetFormatPr defaultRowHeight="14.25"/>
  <cols>
    <col min="1" max="1" width="24" customWidth="1"/>
    <col min="2" max="6" width="15" customWidth="1"/>
    <col min="7" max="9" width="34" customWidth="1"/>
    <col min="14" max="14" width="22.875" bestFit="1" customWidth="1"/>
    <col min="15" max="17" width="11.375" bestFit="1" customWidth="1"/>
    <col min="18" max="21" width="15" customWidth="1"/>
  </cols>
  <sheetData>
    <row r="1" spans="1:17" ht="30" customHeight="1">
      <c r="A1" s="115" t="s">
        <v>210</v>
      </c>
      <c r="B1" s="115" t="s">
        <v>210</v>
      </c>
      <c r="C1" s="115" t="s">
        <v>210</v>
      </c>
      <c r="D1" s="115" t="s">
        <v>210</v>
      </c>
      <c r="E1" s="115" t="s">
        <v>210</v>
      </c>
      <c r="F1" s="115" t="s">
        <v>210</v>
      </c>
      <c r="G1" s="115" t="s">
        <v>210</v>
      </c>
      <c r="H1" s="115" t="s">
        <v>210</v>
      </c>
      <c r="I1" s="115" t="s">
        <v>210</v>
      </c>
      <c r="J1" s="115" t="s">
        <v>210</v>
      </c>
      <c r="K1" s="115" t="s">
        <v>210</v>
      </c>
      <c r="L1" s="115" t="s">
        <v>210</v>
      </c>
    </row>
    <row r="2" spans="1:17" ht="33.950000000000003" customHeight="1">
      <c r="A2" s="116" t="s">
        <v>211</v>
      </c>
      <c r="B2" s="116" t="s">
        <v>211</v>
      </c>
      <c r="C2" s="116" t="s">
        <v>211</v>
      </c>
      <c r="D2" s="116" t="s">
        <v>211</v>
      </c>
      <c r="E2" s="116" t="s">
        <v>211</v>
      </c>
      <c r="F2" s="116" t="s">
        <v>211</v>
      </c>
      <c r="G2" s="116" t="s">
        <v>211</v>
      </c>
      <c r="H2" s="116" t="s">
        <v>211</v>
      </c>
      <c r="I2" s="116" t="s">
        <v>211</v>
      </c>
      <c r="J2" s="116" t="s">
        <v>211</v>
      </c>
      <c r="K2" s="116" t="s">
        <v>211</v>
      </c>
      <c r="L2" s="116" t="s">
        <v>211</v>
      </c>
      <c r="N2" s="97" t="s">
        <v>467</v>
      </c>
      <c r="O2" t="s">
        <v>144</v>
      </c>
    </row>
    <row r="3" spans="1:17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7" ht="21.95" customHeight="1">
      <c r="A4" s="105" t="s">
        <v>212</v>
      </c>
      <c r="B4" s="105" t="s">
        <v>212</v>
      </c>
      <c r="C4" s="105" t="s">
        <v>212</v>
      </c>
      <c r="D4" s="105" t="s">
        <v>212</v>
      </c>
      <c r="E4" s="105" t="s">
        <v>212</v>
      </c>
      <c r="F4" s="105" t="s">
        <v>212</v>
      </c>
      <c r="G4" s="105" t="s">
        <v>212</v>
      </c>
      <c r="H4" s="105" t="s">
        <v>212</v>
      </c>
      <c r="I4" s="105" t="s">
        <v>212</v>
      </c>
      <c r="J4" s="80"/>
      <c r="K4" s="80"/>
      <c r="L4" s="80"/>
      <c r="N4" s="97" t="s">
        <v>841</v>
      </c>
      <c r="O4" s="97" t="s">
        <v>466</v>
      </c>
    </row>
    <row r="5" spans="1:17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N5" s="97" t="s">
        <v>45</v>
      </c>
      <c r="O5" t="s">
        <v>213</v>
      </c>
      <c r="P5" t="s">
        <v>214</v>
      </c>
      <c r="Q5" t="s">
        <v>840</v>
      </c>
    </row>
    <row r="6" spans="1:17" ht="30" customHeight="1">
      <c r="A6" s="11" t="s">
        <v>167</v>
      </c>
      <c r="B6" s="11" t="s">
        <v>213</v>
      </c>
      <c r="C6" s="11" t="s">
        <v>214</v>
      </c>
      <c r="D6" s="11" t="s">
        <v>215</v>
      </c>
      <c r="E6" s="11" t="s">
        <v>216</v>
      </c>
      <c r="F6" s="11" t="s">
        <v>217</v>
      </c>
      <c r="G6" s="11" t="s">
        <v>218</v>
      </c>
      <c r="H6" s="11" t="s">
        <v>219</v>
      </c>
      <c r="I6" s="11" t="s">
        <v>220</v>
      </c>
      <c r="J6" s="80"/>
      <c r="K6" s="80"/>
      <c r="L6" s="80"/>
      <c r="N6" t="s">
        <v>73</v>
      </c>
      <c r="O6" s="98">
        <v>46782.107377133718</v>
      </c>
      <c r="P6" s="98">
        <v>46499.999999999993</v>
      </c>
      <c r="Q6" s="98">
        <v>93282.107377133711</v>
      </c>
    </row>
    <row r="7" spans="1:17" ht="24">
      <c r="A7" s="12" t="s">
        <v>144</v>
      </c>
      <c r="B7" s="42">
        <f>'05_Monthly_P&amp;L'!O7</f>
        <v>155928.14561936699</v>
      </c>
      <c r="C7" s="42">
        <f>'05_Monthly_P&amp;L'!O24</f>
        <v>150000</v>
      </c>
      <c r="D7" s="18">
        <f t="shared" ref="D7:D14" si="0">B7-C7</f>
        <v>5928.1456193669874</v>
      </c>
      <c r="E7" s="22">
        <f t="shared" ref="E7:E14" si="1">IFERROR(D7/ABS(C7),0)</f>
        <v>3.9520970795779917E-2</v>
      </c>
      <c r="F7" s="12" t="str">
        <f>IF(D7*1&gt;=0,"F","U")</f>
        <v>F</v>
      </c>
      <c r="G7" s="47" t="s">
        <v>221</v>
      </c>
      <c r="H7" s="47" t="s">
        <v>222</v>
      </c>
      <c r="I7" s="47" t="s">
        <v>223</v>
      </c>
      <c r="J7" s="80"/>
      <c r="K7" s="80"/>
      <c r="L7" s="80"/>
      <c r="N7" t="s">
        <v>72</v>
      </c>
      <c r="O7" s="98">
        <v>68304.049979580333</v>
      </c>
      <c r="P7" s="98">
        <v>63000</v>
      </c>
      <c r="Q7" s="98">
        <v>131304.04997958033</v>
      </c>
    </row>
    <row r="8" spans="1:17" ht="24">
      <c r="A8" s="13" t="s">
        <v>170</v>
      </c>
      <c r="B8" s="43">
        <f>'05_Monthly_P&amp;L'!O9</f>
        <v>31001.877399820994</v>
      </c>
      <c r="C8" s="43">
        <f>'05_Monthly_P&amp;L'!O26</f>
        <v>30602.5</v>
      </c>
      <c r="D8" s="19">
        <f t="shared" si="0"/>
        <v>399.37739982099447</v>
      </c>
      <c r="E8" s="23">
        <f t="shared" si="1"/>
        <v>1.3050482797843132E-2</v>
      </c>
      <c r="F8" s="13" t="str">
        <f>IF(D8*1&gt;=0,"F","U")</f>
        <v>F</v>
      </c>
      <c r="G8" s="48" t="s">
        <v>224</v>
      </c>
      <c r="H8" s="48" t="s">
        <v>225</v>
      </c>
      <c r="I8" s="48" t="s">
        <v>226</v>
      </c>
      <c r="J8" s="80"/>
      <c r="K8" s="80"/>
      <c r="L8" s="80"/>
      <c r="N8" t="s">
        <v>75</v>
      </c>
      <c r="O8" s="98">
        <v>3586.3700029820748</v>
      </c>
      <c r="P8" s="98">
        <v>7500</v>
      </c>
      <c r="Q8" s="98">
        <v>11086.370002982076</v>
      </c>
    </row>
    <row r="9" spans="1:17" ht="24">
      <c r="A9" s="13" t="s">
        <v>171</v>
      </c>
      <c r="B9" s="45">
        <f>'05_Monthly_P&amp;L'!O10</f>
        <v>0.19882156153834502</v>
      </c>
      <c r="C9" s="45">
        <f>'05_Monthly_P&amp;L'!O27</f>
        <v>0.20401666666666668</v>
      </c>
      <c r="D9" s="23">
        <f t="shared" si="0"/>
        <v>-5.1951051283216643E-3</v>
      </c>
      <c r="E9" s="23">
        <f t="shared" si="1"/>
        <v>-2.5464121207360496E-2</v>
      </c>
      <c r="F9" s="13" t="str">
        <f>IF(D9*1&gt;=0,"F","U")</f>
        <v>U</v>
      </c>
      <c r="G9" s="48" t="s">
        <v>227</v>
      </c>
      <c r="H9" s="48" t="s">
        <v>228</v>
      </c>
      <c r="I9" s="48" t="s">
        <v>229</v>
      </c>
      <c r="J9" s="80"/>
      <c r="K9" s="80"/>
      <c r="L9" s="80"/>
      <c r="N9" t="s">
        <v>67</v>
      </c>
      <c r="O9" s="98">
        <v>37255.618259670868</v>
      </c>
      <c r="P9" s="98">
        <v>33000</v>
      </c>
      <c r="Q9" s="98">
        <v>70255.618259670868</v>
      </c>
    </row>
    <row r="10" spans="1:17" ht="24">
      <c r="A10" s="13" t="s">
        <v>151</v>
      </c>
      <c r="B10" s="43">
        <f>'05_Monthly_P&amp;L'!O11</f>
        <v>-19330.903536858004</v>
      </c>
      <c r="C10" s="43">
        <f>'05_Monthly_P&amp;L'!O28</f>
        <v>-21299.999999999993</v>
      </c>
      <c r="D10" s="19">
        <f t="shared" si="0"/>
        <v>1969.0964631419884</v>
      </c>
      <c r="E10" s="23">
        <f t="shared" si="1"/>
        <v>9.2445843339999487E-2</v>
      </c>
      <c r="F10" s="13" t="str">
        <f>IF(D10*-1&gt;=0,"F","U")</f>
        <v>U</v>
      </c>
      <c r="G10" s="48" t="s">
        <v>230</v>
      </c>
      <c r="H10" s="48" t="s">
        <v>231</v>
      </c>
      <c r="I10" s="48" t="s">
        <v>232</v>
      </c>
      <c r="J10" s="80"/>
      <c r="K10" s="80"/>
      <c r="L10" s="80"/>
      <c r="N10" t="s">
        <v>840</v>
      </c>
      <c r="O10" s="98">
        <v>155928.14561936699</v>
      </c>
      <c r="P10" s="98">
        <v>150000</v>
      </c>
      <c r="Q10" s="98">
        <v>305928.14561936696</v>
      </c>
    </row>
    <row r="11" spans="1:17" ht="24">
      <c r="A11" s="13" t="s">
        <v>153</v>
      </c>
      <c r="B11" s="43">
        <f>'05_Monthly_P&amp;L'!O12</f>
        <v>-4596.0745131719996</v>
      </c>
      <c r="C11" s="43">
        <f>'05_Monthly_P&amp;L'!O29</f>
        <v>-4049.9999999999991</v>
      </c>
      <c r="D11" s="19">
        <f t="shared" si="0"/>
        <v>-546.07451317200048</v>
      </c>
      <c r="E11" s="23">
        <f t="shared" si="1"/>
        <v>-0.13483321312888905</v>
      </c>
      <c r="F11" s="13" t="str">
        <f>IF(D11*-1&gt;=0,"F","U")</f>
        <v>F</v>
      </c>
      <c r="G11" s="48" t="s">
        <v>233</v>
      </c>
      <c r="H11" s="48" t="s">
        <v>234</v>
      </c>
      <c r="I11" s="48" t="s">
        <v>235</v>
      </c>
      <c r="J11" s="80"/>
      <c r="K11" s="80"/>
      <c r="L11" s="80"/>
    </row>
    <row r="12" spans="1:17" ht="24">
      <c r="A12" s="13" t="s">
        <v>172</v>
      </c>
      <c r="B12" s="43">
        <f>'05_Monthly_P&amp;L'!O13</f>
        <v>7074.8993497909978</v>
      </c>
      <c r="C12" s="43">
        <f>'05_Monthly_P&amp;L'!O30</f>
        <v>5252.5000000000018</v>
      </c>
      <c r="D12" s="19">
        <f t="shared" si="0"/>
        <v>1822.399349790996</v>
      </c>
      <c r="E12" s="23">
        <f t="shared" si="1"/>
        <v>0.3469584673566864</v>
      </c>
      <c r="F12" s="13" t="str">
        <f>IF(D12*1&gt;=0,"F","U")</f>
        <v>F</v>
      </c>
      <c r="G12" s="48" t="s">
        <v>236</v>
      </c>
      <c r="H12" s="48" t="s">
        <v>237</v>
      </c>
      <c r="I12" s="48" t="s">
        <v>238</v>
      </c>
      <c r="J12" s="80"/>
      <c r="K12" s="80"/>
      <c r="L12" s="80"/>
    </row>
    <row r="13" spans="1:17" ht="24">
      <c r="A13" s="13" t="s">
        <v>173</v>
      </c>
      <c r="B13" s="43">
        <f>'05_Monthly_P&amp;L'!O18</f>
        <v>8633.0675834259982</v>
      </c>
      <c r="C13" s="43">
        <f>'05_Monthly_P&amp;L'!O35</f>
        <v>6062.5000000000009</v>
      </c>
      <c r="D13" s="19">
        <f t="shared" si="0"/>
        <v>2570.5675834259973</v>
      </c>
      <c r="E13" s="23">
        <f t="shared" si="1"/>
        <v>0.42401114778160776</v>
      </c>
      <c r="F13" s="13" t="str">
        <f>IF(D13*1&gt;=0,"F","U")</f>
        <v>F</v>
      </c>
      <c r="G13" s="48" t="s">
        <v>239</v>
      </c>
      <c r="H13" s="48" t="s">
        <v>240</v>
      </c>
      <c r="I13" s="48" t="s">
        <v>241</v>
      </c>
      <c r="J13" s="80"/>
      <c r="K13" s="80"/>
      <c r="L13" s="80"/>
    </row>
    <row r="14" spans="1:17" ht="24">
      <c r="A14" s="14" t="s">
        <v>174</v>
      </c>
      <c r="B14" s="46">
        <f>'05_Monthly_P&amp;L'!O20</f>
        <v>7072.6228858749982</v>
      </c>
      <c r="C14" s="46">
        <f>'05_Monthly_P&amp;L'!O37</f>
        <v>4849.9999999999982</v>
      </c>
      <c r="D14" s="20">
        <f t="shared" si="0"/>
        <v>2222.6228858750001</v>
      </c>
      <c r="E14" s="24">
        <f t="shared" si="1"/>
        <v>0.45827275997422701</v>
      </c>
      <c r="F14" s="14" t="str">
        <f>IF(D14*1&gt;=0,"F","U")</f>
        <v>F</v>
      </c>
      <c r="G14" s="49" t="s">
        <v>242</v>
      </c>
      <c r="H14" s="49" t="s">
        <v>243</v>
      </c>
      <c r="I14" s="49" t="s">
        <v>244</v>
      </c>
      <c r="J14" s="80"/>
      <c r="K14" s="80"/>
      <c r="L14" s="80"/>
    </row>
    <row r="15" spans="1:17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</row>
    <row r="16" spans="1:17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</row>
    <row r="17" spans="1:12" ht="21.95" customHeight="1">
      <c r="A17" s="105" t="s">
        <v>245</v>
      </c>
      <c r="B17" s="105" t="s">
        <v>245</v>
      </c>
      <c r="C17" s="105" t="s">
        <v>245</v>
      </c>
      <c r="D17" s="105" t="s">
        <v>245</v>
      </c>
      <c r="E17" s="105" t="s">
        <v>245</v>
      </c>
      <c r="F17" s="105" t="s">
        <v>245</v>
      </c>
      <c r="G17" s="105" t="s">
        <v>245</v>
      </c>
      <c r="H17" s="105" t="s">
        <v>245</v>
      </c>
      <c r="I17" s="80"/>
      <c r="J17" s="80"/>
      <c r="K17" s="80"/>
      <c r="L17" s="80"/>
    </row>
    <row r="18" spans="1:12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</row>
    <row r="19" spans="1:12" ht="30" customHeight="1">
      <c r="A19" s="11" t="s">
        <v>246</v>
      </c>
      <c r="B19" s="11" t="s">
        <v>213</v>
      </c>
      <c r="C19" s="11" t="s">
        <v>214</v>
      </c>
      <c r="D19" s="11" t="s">
        <v>215</v>
      </c>
      <c r="E19" s="11" t="s">
        <v>216</v>
      </c>
      <c r="F19" s="11" t="s">
        <v>217</v>
      </c>
      <c r="G19" s="80"/>
      <c r="H19" s="80"/>
      <c r="I19" s="80"/>
      <c r="J19" s="80"/>
      <c r="K19" s="80"/>
      <c r="L19" s="80"/>
    </row>
    <row r="20" spans="1:12">
      <c r="A20" s="12" t="s">
        <v>67</v>
      </c>
      <c r="B20" s="42">
        <f>SUMIFS('01_Raw_Actual'!$G$6:$G$569,'01_Raw_Actual'!$B$6:$B$569,2025,'01_Raw_Actual'!$D$6:$D$569,A20,'01_Raw_Actual'!$F$6:$F$569,"REV")</f>
        <v>37255.618259670868</v>
      </c>
      <c r="C20" s="42">
        <f>SUMIFS('02_Raw_Budget'!$G$6:$G$869,'02_Raw_Budget'!$B$6:$B$869,2025,'02_Raw_Budget'!$D$6:$D$869,A20,'02_Raw_Budget'!$F$6:$F$869,"REV")</f>
        <v>33000</v>
      </c>
      <c r="D20" s="18">
        <f>B20-C20</f>
        <v>4255.6182596708677</v>
      </c>
      <c r="E20" s="22">
        <f>IFERROR(D20/C20,0)</f>
        <v>0.12895812908093537</v>
      </c>
      <c r="F20" s="12" t="str">
        <f>IF(D20&gt;=0,"F","U")</f>
        <v>F</v>
      </c>
      <c r="G20" s="80"/>
      <c r="H20" s="80"/>
      <c r="I20" s="80"/>
      <c r="J20" s="80"/>
      <c r="K20" s="80"/>
      <c r="L20" s="80"/>
    </row>
    <row r="21" spans="1:12">
      <c r="A21" s="13" t="s">
        <v>72</v>
      </c>
      <c r="B21" s="43">
        <f>SUMIFS('01_Raw_Actual'!$G$6:$G$569,'01_Raw_Actual'!$B$6:$B$569,2025,'01_Raw_Actual'!$D$6:$D$569,A21,'01_Raw_Actual'!$F$6:$F$569,"REV")</f>
        <v>68304.049979580333</v>
      </c>
      <c r="C21" s="43">
        <f>SUMIFS('02_Raw_Budget'!$G$6:$G$869,'02_Raw_Budget'!$B$6:$B$869,2025,'02_Raw_Budget'!$D$6:$D$869,A21,'02_Raw_Budget'!$F$6:$F$869,"REV")</f>
        <v>63000</v>
      </c>
      <c r="D21" s="19">
        <f>B21-C21</f>
        <v>5304.0499795803335</v>
      </c>
      <c r="E21" s="23">
        <f>IFERROR(D21/C21,0)</f>
        <v>8.4191269517148157E-2</v>
      </c>
      <c r="F21" s="13" t="str">
        <f>IF(D21&gt;=0,"F","U")</f>
        <v>F</v>
      </c>
      <c r="G21" s="80"/>
      <c r="H21" s="80"/>
      <c r="I21" s="80"/>
      <c r="J21" s="80"/>
      <c r="K21" s="80"/>
      <c r="L21" s="80"/>
    </row>
    <row r="22" spans="1:12">
      <c r="A22" s="13" t="s">
        <v>73</v>
      </c>
      <c r="B22" s="43">
        <f>SUMIFS('01_Raw_Actual'!$G$6:$G$569,'01_Raw_Actual'!$B$6:$B$569,2025,'01_Raw_Actual'!$D$6:$D$569,A22,'01_Raw_Actual'!$F$6:$F$569,"REV")</f>
        <v>46782.107377133703</v>
      </c>
      <c r="C22" s="43">
        <f>SUMIFS('02_Raw_Budget'!$G$6:$G$869,'02_Raw_Budget'!$B$6:$B$869,2025,'02_Raw_Budget'!$D$6:$D$869,A22,'02_Raw_Budget'!$F$6:$F$869,"REV")</f>
        <v>46500</v>
      </c>
      <c r="D22" s="19">
        <f>B22-C22</f>
        <v>282.10737713370327</v>
      </c>
      <c r="E22" s="23">
        <f>IFERROR(D22/C22,0)</f>
        <v>6.0668253147032961E-3</v>
      </c>
      <c r="F22" s="13" t="str">
        <f>IF(D22&gt;=0,"F","U")</f>
        <v>F</v>
      </c>
      <c r="G22" s="80"/>
      <c r="H22" s="80"/>
      <c r="I22" s="80"/>
      <c r="J22" s="80"/>
      <c r="K22" s="80"/>
      <c r="L22" s="80"/>
    </row>
    <row r="23" spans="1:12">
      <c r="A23" s="14" t="s">
        <v>75</v>
      </c>
      <c r="B23" s="46">
        <f>SUMIFS('01_Raw_Actual'!$G$6:$G$569,'01_Raw_Actual'!$B$6:$B$569,2025,'01_Raw_Actual'!$D$6:$D$569,A23,'01_Raw_Actual'!$F$6:$F$569,"REV")</f>
        <v>3586.3700029820743</v>
      </c>
      <c r="C23" s="46">
        <f>SUMIFS('02_Raw_Budget'!$G$6:$G$869,'02_Raw_Budget'!$B$6:$B$869,2025,'02_Raw_Budget'!$D$6:$D$869,A23,'02_Raw_Budget'!$F$6:$F$869,"REV")</f>
        <v>7500</v>
      </c>
      <c r="D23" s="20">
        <f>B23-C23</f>
        <v>-3913.6299970179257</v>
      </c>
      <c r="E23" s="24">
        <f>IFERROR(D23/C23,0)</f>
        <v>-0.52181733293572341</v>
      </c>
      <c r="F23" s="14" t="str">
        <f>IF(D23&gt;=0,"F","U")</f>
        <v>U</v>
      </c>
      <c r="G23" s="80"/>
      <c r="H23" s="80"/>
      <c r="I23" s="80"/>
      <c r="J23" s="80"/>
      <c r="K23" s="80"/>
      <c r="L23" s="80"/>
    </row>
    <row r="24" spans="1:12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12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</row>
    <row r="26" spans="1:12">
      <c r="A26" s="118" t="s">
        <v>247</v>
      </c>
      <c r="B26" s="119" t="s">
        <v>247</v>
      </c>
      <c r="C26" s="119" t="s">
        <v>247</v>
      </c>
      <c r="D26" s="119" t="s">
        <v>247</v>
      </c>
      <c r="E26" s="119" t="s">
        <v>247</v>
      </c>
      <c r="F26" s="119" t="s">
        <v>247</v>
      </c>
      <c r="G26" s="119" t="s">
        <v>247</v>
      </c>
      <c r="H26" s="119" t="s">
        <v>247</v>
      </c>
      <c r="I26" s="120" t="s">
        <v>247</v>
      </c>
      <c r="J26" s="80"/>
      <c r="K26" s="80"/>
      <c r="L26" s="80"/>
    </row>
    <row r="27" spans="1:12">
      <c r="A27" s="121" t="s">
        <v>247</v>
      </c>
      <c r="B27" s="122" t="s">
        <v>247</v>
      </c>
      <c r="C27" s="122" t="s">
        <v>247</v>
      </c>
      <c r="D27" s="122" t="s">
        <v>247</v>
      </c>
      <c r="E27" s="122" t="s">
        <v>247</v>
      </c>
      <c r="F27" s="122" t="s">
        <v>247</v>
      </c>
      <c r="G27" s="122" t="s">
        <v>247</v>
      </c>
      <c r="H27" s="122" t="s">
        <v>247</v>
      </c>
      <c r="I27" s="123" t="s">
        <v>247</v>
      </c>
      <c r="J27" s="80"/>
      <c r="K27" s="80"/>
      <c r="L27" s="80"/>
    </row>
    <row r="28" spans="1:12">
      <c r="A28" s="121" t="s">
        <v>247</v>
      </c>
      <c r="B28" s="122" t="s">
        <v>247</v>
      </c>
      <c r="C28" s="122" t="s">
        <v>247</v>
      </c>
      <c r="D28" s="122" t="s">
        <v>247</v>
      </c>
      <c r="E28" s="122" t="s">
        <v>247</v>
      </c>
      <c r="F28" s="122" t="s">
        <v>247</v>
      </c>
      <c r="G28" s="122" t="s">
        <v>247</v>
      </c>
      <c r="H28" s="122" t="s">
        <v>247</v>
      </c>
      <c r="I28" s="123" t="s">
        <v>247</v>
      </c>
      <c r="J28" s="80"/>
      <c r="K28" s="80"/>
      <c r="L28" s="80"/>
    </row>
    <row r="29" spans="1:12">
      <c r="A29" s="124" t="s">
        <v>247</v>
      </c>
      <c r="B29" s="125" t="s">
        <v>247</v>
      </c>
      <c r="C29" s="125" t="s">
        <v>247</v>
      </c>
      <c r="D29" s="125" t="s">
        <v>247</v>
      </c>
      <c r="E29" s="125" t="s">
        <v>247</v>
      </c>
      <c r="F29" s="125" t="s">
        <v>247</v>
      </c>
      <c r="G29" s="125" t="s">
        <v>247</v>
      </c>
      <c r="H29" s="125" t="s">
        <v>247</v>
      </c>
      <c r="I29" s="126" t="s">
        <v>247</v>
      </c>
      <c r="J29" s="80"/>
      <c r="K29" s="80"/>
      <c r="L29" s="80"/>
    </row>
  </sheetData>
  <mergeCells count="5">
    <mergeCell ref="A1:L1"/>
    <mergeCell ref="A2:L2"/>
    <mergeCell ref="A4:I4"/>
    <mergeCell ref="A17:H17"/>
    <mergeCell ref="A26:I29"/>
  </mergeCells>
  <conditionalFormatting sqref="F7:F14">
    <cfRule type="expression" dxfId="14" priority="1">
      <formula>F7="F"</formula>
    </cfRule>
    <cfRule type="expression" dxfId="13" priority="2">
      <formula>F7="U"</formula>
    </cfRule>
  </conditionalFormatting>
  <conditionalFormatting sqref="F20:F23">
    <cfRule type="expression" dxfId="12" priority="3">
      <formula>F20="F"</formula>
    </cfRule>
    <cfRule type="expression" dxfId="11" priority="4">
      <formula>F20="U"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"/>
  <sheetViews>
    <sheetView showGridLines="0" workbookViewId="0"/>
  </sheetViews>
  <sheetFormatPr defaultRowHeight="14.25"/>
  <cols>
    <col min="1" max="1" width="14" customWidth="1"/>
    <col min="2" max="2" width="28" customWidth="1"/>
    <col min="3" max="15" width="12" customWidth="1"/>
  </cols>
  <sheetData>
    <row r="1" spans="1:15" ht="30" customHeight="1">
      <c r="A1" s="115" t="s">
        <v>248</v>
      </c>
      <c r="B1" s="115" t="s">
        <v>248</v>
      </c>
      <c r="C1" s="115" t="s">
        <v>248</v>
      </c>
      <c r="D1" s="115" t="s">
        <v>248</v>
      </c>
      <c r="E1" s="115" t="s">
        <v>248</v>
      </c>
      <c r="F1" s="115" t="s">
        <v>248</v>
      </c>
      <c r="G1" s="115" t="s">
        <v>248</v>
      </c>
      <c r="H1" s="115" t="s">
        <v>248</v>
      </c>
      <c r="I1" s="115" t="s">
        <v>248</v>
      </c>
      <c r="J1" s="115" t="s">
        <v>248</v>
      </c>
      <c r="K1" s="115" t="s">
        <v>248</v>
      </c>
      <c r="L1" s="115" t="s">
        <v>248</v>
      </c>
      <c r="M1" s="115" t="s">
        <v>248</v>
      </c>
      <c r="N1" s="115" t="s">
        <v>248</v>
      </c>
      <c r="O1" s="115" t="s">
        <v>248</v>
      </c>
    </row>
    <row r="2" spans="1:15" ht="33.950000000000003" customHeight="1">
      <c r="A2" s="116" t="s">
        <v>249</v>
      </c>
      <c r="B2" s="116" t="s">
        <v>249</v>
      </c>
      <c r="C2" s="116" t="s">
        <v>249</v>
      </c>
      <c r="D2" s="116" t="s">
        <v>249</v>
      </c>
      <c r="E2" s="116" t="s">
        <v>249</v>
      </c>
      <c r="F2" s="116" t="s">
        <v>249</v>
      </c>
      <c r="G2" s="116" t="s">
        <v>249</v>
      </c>
      <c r="H2" s="116" t="s">
        <v>249</v>
      </c>
      <c r="I2" s="116" t="s">
        <v>249</v>
      </c>
      <c r="J2" s="116" t="s">
        <v>249</v>
      </c>
      <c r="K2" s="116" t="s">
        <v>249</v>
      </c>
      <c r="L2" s="116" t="s">
        <v>249</v>
      </c>
      <c r="M2" s="116" t="s">
        <v>249</v>
      </c>
      <c r="N2" s="116" t="s">
        <v>249</v>
      </c>
      <c r="O2" s="116" t="s">
        <v>249</v>
      </c>
    </row>
    <row r="3" spans="1:15" ht="15">
      <c r="A3" s="82" t="s">
        <v>250</v>
      </c>
      <c r="B3" s="83" t="s">
        <v>251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21.95" customHeight="1">
      <c r="A5" s="105" t="s">
        <v>252</v>
      </c>
      <c r="B5" s="105" t="s">
        <v>252</v>
      </c>
      <c r="C5" s="105" t="s">
        <v>252</v>
      </c>
      <c r="D5" s="105" t="s">
        <v>252</v>
      </c>
      <c r="E5" s="105" t="s">
        <v>252</v>
      </c>
      <c r="F5" s="105" t="s">
        <v>252</v>
      </c>
      <c r="G5" s="105" t="s">
        <v>252</v>
      </c>
      <c r="H5" s="105" t="s">
        <v>252</v>
      </c>
      <c r="I5" s="105" t="s">
        <v>252</v>
      </c>
      <c r="J5" s="105" t="s">
        <v>252</v>
      </c>
      <c r="K5" s="105" t="s">
        <v>252</v>
      </c>
      <c r="L5" s="105" t="s">
        <v>252</v>
      </c>
      <c r="M5" s="105" t="s">
        <v>252</v>
      </c>
      <c r="N5" s="105" t="s">
        <v>252</v>
      </c>
      <c r="O5" s="105" t="s">
        <v>252</v>
      </c>
    </row>
    <row r="6" spans="1:15">
      <c r="A6" s="84" t="s">
        <v>253</v>
      </c>
      <c r="B6" s="67">
        <v>185000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</row>
    <row r="7" spans="1:15">
      <c r="A7" s="84" t="s">
        <v>254</v>
      </c>
      <c r="B7" s="67">
        <v>95305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>
      <c r="A8" s="84" t="s">
        <v>255</v>
      </c>
      <c r="B8" s="67">
        <v>82511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</row>
    <row r="9" spans="1:15">
      <c r="A9" s="84" t="s">
        <v>256</v>
      </c>
      <c r="B9" s="85">
        <f>(B6-B7)/B8-1</f>
        <v>8.7067178921598432E-2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</row>
    <row r="10" spans="1:15">
      <c r="A10" s="84" t="s">
        <v>117</v>
      </c>
      <c r="B10" s="85">
        <v>0.05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 spans="1:15">
      <c r="A11" s="84" t="s">
        <v>257</v>
      </c>
      <c r="B11" s="85">
        <f>IF(B3="Bear",B9-B10,IF(B3="Bull",B9+B10,B9))</f>
        <v>8.7067178921598432E-2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</row>
    <row r="12" spans="1: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  <row r="13" spans="1:1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</row>
    <row r="14" spans="1:15" ht="30" customHeight="1">
      <c r="A14" s="11" t="s">
        <v>166</v>
      </c>
      <c r="B14" s="11" t="s">
        <v>258</v>
      </c>
      <c r="C14" s="35">
        <v>46023</v>
      </c>
      <c r="D14" s="35">
        <v>46054</v>
      </c>
      <c r="E14" s="35">
        <v>46082</v>
      </c>
      <c r="F14" s="35">
        <v>46113</v>
      </c>
      <c r="G14" s="35">
        <v>46143</v>
      </c>
      <c r="H14" s="35">
        <v>46174</v>
      </c>
      <c r="I14" s="35">
        <v>46204</v>
      </c>
      <c r="J14" s="35">
        <v>46235</v>
      </c>
      <c r="K14" s="35">
        <v>46266</v>
      </c>
      <c r="L14" s="35">
        <v>46296</v>
      </c>
      <c r="M14" s="35">
        <v>46327</v>
      </c>
      <c r="N14" s="35">
        <v>46357</v>
      </c>
      <c r="O14" s="11" t="s">
        <v>259</v>
      </c>
    </row>
    <row r="15" spans="1: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</row>
    <row r="16" spans="1:15">
      <c r="A16" s="12" t="s">
        <v>55</v>
      </c>
      <c r="B16" s="12" t="s">
        <v>144</v>
      </c>
      <c r="C16" s="57">
        <f>SUMIFS('01_Raw_Actual'!$G$6:$G$569,'01_Raw_Actual'!$A$6:$A$569,C$14,'01_Raw_Actual'!$F$6:$F$569,"REV")</f>
        <v>16102.000000000002</v>
      </c>
      <c r="D16" s="57">
        <f>SUMIFS('01_Raw_Actual'!$G$6:$G$569,'01_Raw_Actual'!$A$6:$A$569,D$14,'01_Raw_Actual'!$F$6:$F$569,"REV")</f>
        <v>16102.000000000002</v>
      </c>
      <c r="E16" s="57">
        <f>SUMIFS('01_Raw_Actual'!$G$6:$G$569,'01_Raw_Actual'!$A$6:$A$569,E$14,'01_Raw_Actual'!$F$6:$F$569,"REV")</f>
        <v>14304</v>
      </c>
      <c r="F16" s="57">
        <f>SUMIFS('01_Raw_Actual'!$G$6:$G$569,'01_Raw_Actual'!$A$6:$A$569,F$14,'01_Raw_Actual'!$F$6:$F$569,"REV")</f>
        <v>15987.999999999998</v>
      </c>
      <c r="G16" s="57">
        <f>SUMIFS('01_Raw_Actual'!$G$6:$G$569,'01_Raw_Actual'!$A$6:$A$569,G$14,'01_Raw_Actual'!$F$6:$F$569,"REV")</f>
        <v>16663</v>
      </c>
      <c r="H16" s="57">
        <f>SUMIFS('01_Raw_Actual'!$G$6:$G$569,'01_Raw_Actual'!$A$6:$A$569,H$14,'01_Raw_Actual'!$F$6:$F$569,"REV")</f>
        <v>16146.000000000002</v>
      </c>
      <c r="I16" s="54">
        <f>12852*(1+$B$11)</f>
        <v>13970.987383500384</v>
      </c>
      <c r="J16" s="54">
        <f>13294*(1+$B$11)</f>
        <v>14451.47107658373</v>
      </c>
      <c r="K16" s="54">
        <f>13635*(1+$B$11)</f>
        <v>14822.160984595994</v>
      </c>
      <c r="L16" s="54">
        <f>14853*(1+$B$11)</f>
        <v>16146.208808522502</v>
      </c>
      <c r="M16" s="54">
        <f>14013*(1+$B$11)</f>
        <v>15233.072378228359</v>
      </c>
      <c r="N16" s="54">
        <f>13864*(1+$B$11)</f>
        <v>15071.099368569041</v>
      </c>
      <c r="O16" s="18">
        <f>SUM(C16:N16)</f>
        <v>185000</v>
      </c>
    </row>
    <row r="17" spans="1:15">
      <c r="A17" s="13" t="s">
        <v>58</v>
      </c>
      <c r="B17" s="13" t="s">
        <v>58</v>
      </c>
      <c r="C17" s="58">
        <f>-C16*(1-'03_Master_Data'!$F$26)</f>
        <v>-12833.903264864864</v>
      </c>
      <c r="D17" s="58">
        <f>-D16*(1-'03_Master_Data'!$F$26)</f>
        <v>-12833.903264864864</v>
      </c>
      <c r="E17" s="58">
        <f>-E16*(1-'03_Master_Data'!$F$26)</f>
        <v>-11400.829232432432</v>
      </c>
      <c r="F17" s="58">
        <f>-F16*(1-'03_Master_Data'!$F$26)</f>
        <v>-12743.04095135135</v>
      </c>
      <c r="G17" s="58">
        <f>-G16*(1-'03_Master_Data'!$F$26)</f>
        <v>-13281.04149189189</v>
      </c>
      <c r="H17" s="58">
        <f>-H16*(1-'03_Master_Data'!$F$26)</f>
        <v>-12868.972929729731</v>
      </c>
      <c r="I17" s="55">
        <f>-I16*(1-'03_Master_Data'!$F$26)</f>
        <v>-11135.405576604857</v>
      </c>
      <c r="J17" s="55">
        <f>-J16*(1-'03_Master_Data'!$F$26)</f>
        <v>-11518.369260456346</v>
      </c>
      <c r="K17" s="55">
        <f>-K16*(1-'03_Master_Data'!$F$26)</f>
        <v>-11813.823143246747</v>
      </c>
      <c r="L17" s="55">
        <f>-L16*(1-'03_Master_Data'!$F$26)</f>
        <v>-12869.139358023025</v>
      </c>
      <c r="M17" s="55">
        <f>-M16*(1-'03_Master_Data'!$F$26)</f>
        <v>-12141.335071970419</v>
      </c>
      <c r="N17" s="55">
        <f>-N16*(1-'03_Master_Data'!$F$26)</f>
        <v>-12012.23645456347</v>
      </c>
      <c r="O17" s="19">
        <f>SUM(C17:N17)</f>
        <v>-147452</v>
      </c>
    </row>
    <row r="18" spans="1:15">
      <c r="A18" s="38"/>
      <c r="B18" s="38" t="s">
        <v>170</v>
      </c>
      <c r="C18" s="60">
        <f t="shared" ref="C18:N18" si="0">C16+C17</f>
        <v>3268.0967351351374</v>
      </c>
      <c r="D18" s="60">
        <f t="shared" si="0"/>
        <v>3268.0967351351374</v>
      </c>
      <c r="E18" s="60">
        <f t="shared" si="0"/>
        <v>2903.170767567568</v>
      </c>
      <c r="F18" s="60">
        <f t="shared" si="0"/>
        <v>3244.9590486486486</v>
      </c>
      <c r="G18" s="60">
        <f t="shared" si="0"/>
        <v>3381.9585081081095</v>
      </c>
      <c r="H18" s="60">
        <f t="shared" si="0"/>
        <v>3277.027070270271</v>
      </c>
      <c r="I18" s="61">
        <f t="shared" si="0"/>
        <v>2835.5818068955268</v>
      </c>
      <c r="J18" s="61">
        <f t="shared" si="0"/>
        <v>2933.1018161273842</v>
      </c>
      <c r="K18" s="61">
        <f t="shared" si="0"/>
        <v>3008.3378413492464</v>
      </c>
      <c r="L18" s="61">
        <f t="shared" si="0"/>
        <v>3277.0694504994772</v>
      </c>
      <c r="M18" s="61">
        <f t="shared" si="0"/>
        <v>3091.7373062579391</v>
      </c>
      <c r="N18" s="61">
        <f t="shared" si="0"/>
        <v>3058.8629140055709</v>
      </c>
      <c r="O18" s="39">
        <f>SUM(C18:N18)</f>
        <v>37548.000000000015</v>
      </c>
    </row>
    <row r="19" spans="1:15">
      <c r="A19" s="13"/>
      <c r="B19" s="13" t="s">
        <v>171</v>
      </c>
      <c r="C19" s="59">
        <f t="shared" ref="C19:O19" si="1">IFERROR(C18/C16,0)</f>
        <v>0.20296216216216229</v>
      </c>
      <c r="D19" s="59">
        <f t="shared" si="1"/>
        <v>0.20296216216216229</v>
      </c>
      <c r="E19" s="59">
        <f t="shared" si="1"/>
        <v>0.2029621621621622</v>
      </c>
      <c r="F19" s="59">
        <f t="shared" si="1"/>
        <v>0.20296216216216217</v>
      </c>
      <c r="G19" s="59">
        <f t="shared" si="1"/>
        <v>0.20296216216216226</v>
      </c>
      <c r="H19" s="59">
        <f t="shared" si="1"/>
        <v>0.20296216216216217</v>
      </c>
      <c r="I19" s="56">
        <f t="shared" si="1"/>
        <v>0.20296216216216217</v>
      </c>
      <c r="J19" s="56">
        <f t="shared" si="1"/>
        <v>0.20296216216216223</v>
      </c>
      <c r="K19" s="56">
        <f t="shared" si="1"/>
        <v>0.20296216216216223</v>
      </c>
      <c r="L19" s="56">
        <f t="shared" si="1"/>
        <v>0.20296216216216229</v>
      </c>
      <c r="M19" s="56">
        <f t="shared" si="1"/>
        <v>0.20296216216216229</v>
      </c>
      <c r="N19" s="56">
        <f t="shared" si="1"/>
        <v>0.20296216216216226</v>
      </c>
      <c r="O19" s="23">
        <f t="shared" si="1"/>
        <v>0.20296216216216223</v>
      </c>
    </row>
    <row r="20" spans="1:15">
      <c r="A20" s="13" t="s">
        <v>60</v>
      </c>
      <c r="B20" s="13" t="s">
        <v>151</v>
      </c>
      <c r="C20" s="58">
        <f>-C16*'03_Master_Data'!$F$17</f>
        <v>-1964.4440000000002</v>
      </c>
      <c r="D20" s="58">
        <f>-D16*'03_Master_Data'!$F$17</f>
        <v>-1964.4440000000002</v>
      </c>
      <c r="E20" s="58">
        <f>-E16*'03_Master_Data'!$F$17</f>
        <v>-1745.088</v>
      </c>
      <c r="F20" s="58">
        <f>-F16*'03_Master_Data'!$F$17</f>
        <v>-1950.5359999999998</v>
      </c>
      <c r="G20" s="58">
        <f>-G16*'03_Master_Data'!$F$17</f>
        <v>-2032.886</v>
      </c>
      <c r="H20" s="58">
        <f>-H16*'03_Master_Data'!$F$17</f>
        <v>-1969.8120000000001</v>
      </c>
      <c r="I20" s="55">
        <f>-I16*'03_Master_Data'!$F$17</f>
        <v>-1704.4604607870467</v>
      </c>
      <c r="J20" s="55">
        <f>-J16*'03_Master_Data'!$F$17</f>
        <v>-1763.0794713432151</v>
      </c>
      <c r="K20" s="55">
        <f>-K16*'03_Master_Data'!$F$17</f>
        <v>-1808.3036401207112</v>
      </c>
      <c r="L20" s="55">
        <f>-L16*'03_Master_Data'!$F$17</f>
        <v>-1969.8374746397453</v>
      </c>
      <c r="M20" s="55">
        <f>-M16*'03_Master_Data'!$F$17</f>
        <v>-1858.4348301438597</v>
      </c>
      <c r="N20" s="55">
        <f>-N16*'03_Master_Data'!$F$17</f>
        <v>-1838.6741229654231</v>
      </c>
      <c r="O20" s="19">
        <f t="shared" ref="O20:O29" si="2">SUM(C20:N20)</f>
        <v>-22570</v>
      </c>
    </row>
    <row r="21" spans="1:15">
      <c r="A21" s="13" t="s">
        <v>61</v>
      </c>
      <c r="B21" s="13" t="s">
        <v>153</v>
      </c>
      <c r="C21" s="58">
        <f>-C16*'03_Master_Data'!$F$18</f>
        <v>-466.95800000000008</v>
      </c>
      <c r="D21" s="58">
        <f>-D16*'03_Master_Data'!$F$18</f>
        <v>-466.95800000000008</v>
      </c>
      <c r="E21" s="58">
        <f>-E16*'03_Master_Data'!$F$18</f>
        <v>-414.81600000000003</v>
      </c>
      <c r="F21" s="58">
        <f>-F16*'03_Master_Data'!$F$18</f>
        <v>-463.65199999999999</v>
      </c>
      <c r="G21" s="58">
        <f>-G16*'03_Master_Data'!$F$18</f>
        <v>-483.22700000000003</v>
      </c>
      <c r="H21" s="58">
        <f>-H16*'03_Master_Data'!$F$18</f>
        <v>-468.23400000000009</v>
      </c>
      <c r="I21" s="55">
        <f>-I16*'03_Master_Data'!$F$18</f>
        <v>-405.15863412151117</v>
      </c>
      <c r="J21" s="55">
        <f>-J16*'03_Master_Data'!$F$18</f>
        <v>-419.09266122092816</v>
      </c>
      <c r="K21" s="55">
        <f>-K16*'03_Master_Data'!$F$18</f>
        <v>-429.84266855328383</v>
      </c>
      <c r="L21" s="55">
        <f>-L16*'03_Master_Data'!$F$18</f>
        <v>-468.2400554471526</v>
      </c>
      <c r="M21" s="55">
        <f>-M16*'03_Master_Data'!$F$18</f>
        <v>-441.75909896862242</v>
      </c>
      <c r="N21" s="55">
        <f>-N16*'03_Master_Data'!$F$18</f>
        <v>-437.06188168850218</v>
      </c>
      <c r="O21" s="19">
        <f t="shared" si="2"/>
        <v>-5365.0000000000009</v>
      </c>
    </row>
    <row r="22" spans="1:15">
      <c r="A22" s="38"/>
      <c r="B22" s="38" t="s">
        <v>172</v>
      </c>
      <c r="C22" s="60">
        <f t="shared" ref="C22:N22" si="3">SUM(C18,C20:C21)</f>
        <v>836.69473513513708</v>
      </c>
      <c r="D22" s="60">
        <f t="shared" si="3"/>
        <v>836.69473513513708</v>
      </c>
      <c r="E22" s="60">
        <f t="shared" si="3"/>
        <v>743.26676756756797</v>
      </c>
      <c r="F22" s="60">
        <f t="shared" si="3"/>
        <v>830.77104864864873</v>
      </c>
      <c r="G22" s="60">
        <f t="shared" si="3"/>
        <v>865.84550810810947</v>
      </c>
      <c r="H22" s="60">
        <f t="shared" si="3"/>
        <v>838.98107027027072</v>
      </c>
      <c r="I22" s="61">
        <f t="shared" si="3"/>
        <v>725.962711986969</v>
      </c>
      <c r="J22" s="61">
        <f t="shared" si="3"/>
        <v>750.92968356324081</v>
      </c>
      <c r="K22" s="61">
        <f t="shared" si="3"/>
        <v>770.19153267525144</v>
      </c>
      <c r="L22" s="61">
        <f t="shared" si="3"/>
        <v>838.99192041257925</v>
      </c>
      <c r="M22" s="61">
        <f t="shared" si="3"/>
        <v>791.54337714545693</v>
      </c>
      <c r="N22" s="61">
        <f t="shared" si="3"/>
        <v>783.12690935164574</v>
      </c>
      <c r="O22" s="39">
        <f t="shared" si="2"/>
        <v>9613.0000000000127</v>
      </c>
    </row>
    <row r="23" spans="1:15">
      <c r="A23" s="13" t="s">
        <v>62</v>
      </c>
      <c r="B23" s="13" t="s">
        <v>155</v>
      </c>
      <c r="C23" s="58">
        <f>C16*'03_Master_Data'!$F$19</f>
        <v>322.04000000000002</v>
      </c>
      <c r="D23" s="58">
        <f>D16*'03_Master_Data'!$F$19</f>
        <v>322.04000000000002</v>
      </c>
      <c r="E23" s="58">
        <f>E16*'03_Master_Data'!$F$19</f>
        <v>286.08</v>
      </c>
      <c r="F23" s="58">
        <f>F16*'03_Master_Data'!$F$19</f>
        <v>319.76</v>
      </c>
      <c r="G23" s="58">
        <f>G16*'03_Master_Data'!$F$19</f>
        <v>333.26</v>
      </c>
      <c r="H23" s="58">
        <f>H16*'03_Master_Data'!$F$19</f>
        <v>322.92</v>
      </c>
      <c r="I23" s="55">
        <f>I16*'03_Master_Data'!$F$19</f>
        <v>279.41974767000767</v>
      </c>
      <c r="J23" s="55">
        <f>J16*'03_Master_Data'!$F$19</f>
        <v>289.02942153167459</v>
      </c>
      <c r="K23" s="55">
        <f>K16*'03_Master_Data'!$F$19</f>
        <v>296.44321969191986</v>
      </c>
      <c r="L23" s="55">
        <f>L16*'03_Master_Data'!$F$19</f>
        <v>322.92417617045004</v>
      </c>
      <c r="M23" s="55">
        <f>M16*'03_Master_Data'!$F$19</f>
        <v>304.6614475645672</v>
      </c>
      <c r="N23" s="55">
        <f>N16*'03_Master_Data'!$F$19</f>
        <v>301.42198737138085</v>
      </c>
      <c r="O23" s="19">
        <f t="shared" si="2"/>
        <v>3700</v>
      </c>
    </row>
    <row r="24" spans="1:15">
      <c r="A24" s="13" t="s">
        <v>63</v>
      </c>
      <c r="B24" s="13" t="s">
        <v>157</v>
      </c>
      <c r="C24" s="58">
        <f>-C16*'03_Master_Data'!$F$20</f>
        <v>-161.02000000000001</v>
      </c>
      <c r="D24" s="58">
        <f>-D16*'03_Master_Data'!$F$20</f>
        <v>-161.02000000000001</v>
      </c>
      <c r="E24" s="58">
        <f>-E16*'03_Master_Data'!$F$20</f>
        <v>-143.04</v>
      </c>
      <c r="F24" s="58">
        <f>-F16*'03_Master_Data'!$F$20</f>
        <v>-159.88</v>
      </c>
      <c r="G24" s="58">
        <f>-G16*'03_Master_Data'!$F$20</f>
        <v>-166.63</v>
      </c>
      <c r="H24" s="58">
        <f>-H16*'03_Master_Data'!$F$20</f>
        <v>-161.46</v>
      </c>
      <c r="I24" s="55">
        <f>-I16*'03_Master_Data'!$F$20</f>
        <v>-139.70987383500383</v>
      </c>
      <c r="J24" s="55">
        <f>-J16*'03_Master_Data'!$F$20</f>
        <v>-144.51471076583729</v>
      </c>
      <c r="K24" s="55">
        <f>-K16*'03_Master_Data'!$F$20</f>
        <v>-148.22160984595993</v>
      </c>
      <c r="L24" s="55">
        <f>-L16*'03_Master_Data'!$F$20</f>
        <v>-161.46208808522502</v>
      </c>
      <c r="M24" s="55">
        <f>-M16*'03_Master_Data'!$F$20</f>
        <v>-152.3307237822836</v>
      </c>
      <c r="N24" s="55">
        <f>-N16*'03_Master_Data'!$F$20</f>
        <v>-150.71099368569043</v>
      </c>
      <c r="O24" s="19">
        <f t="shared" si="2"/>
        <v>-1850</v>
      </c>
    </row>
    <row r="25" spans="1:15">
      <c r="A25" s="13" t="s">
        <v>64</v>
      </c>
      <c r="B25" s="13" t="s">
        <v>260</v>
      </c>
      <c r="C25" s="58">
        <f>C16*'03_Master_Data'!$F$21</f>
        <v>3.2204000000000006</v>
      </c>
      <c r="D25" s="58">
        <f>D16*'03_Master_Data'!$F$21</f>
        <v>3.2204000000000006</v>
      </c>
      <c r="E25" s="58">
        <f>E16*'03_Master_Data'!$F$21</f>
        <v>2.8608000000000002</v>
      </c>
      <c r="F25" s="58">
        <f>F16*'03_Master_Data'!$F$21</f>
        <v>3.1976</v>
      </c>
      <c r="G25" s="58">
        <f>G16*'03_Master_Data'!$F$21</f>
        <v>3.3326000000000002</v>
      </c>
      <c r="H25" s="58">
        <f>H16*'03_Master_Data'!$F$21</f>
        <v>3.2292000000000005</v>
      </c>
      <c r="I25" s="55">
        <f>I16*'03_Master_Data'!$F$21</f>
        <v>2.7941974767000768</v>
      </c>
      <c r="J25" s="55">
        <f>J16*'03_Master_Data'!$F$21</f>
        <v>2.8902942153167461</v>
      </c>
      <c r="K25" s="55">
        <f>K16*'03_Master_Data'!$F$21</f>
        <v>2.9644321969191987</v>
      </c>
      <c r="L25" s="55">
        <f>L16*'03_Master_Data'!$F$21</f>
        <v>3.2292417617045008</v>
      </c>
      <c r="M25" s="55">
        <f>M16*'03_Master_Data'!$F$21</f>
        <v>3.0466144756456717</v>
      </c>
      <c r="N25" s="55">
        <f>N16*'03_Master_Data'!$F$21</f>
        <v>3.0142198737138082</v>
      </c>
      <c r="O25" s="19">
        <f t="shared" si="2"/>
        <v>37</v>
      </c>
    </row>
    <row r="26" spans="1:15">
      <c r="A26" s="13" t="s">
        <v>65</v>
      </c>
      <c r="B26" s="13" t="s">
        <v>161</v>
      </c>
      <c r="C26" s="58">
        <f>C16*'03_Master_Data'!$F$22</f>
        <v>0</v>
      </c>
      <c r="D26" s="58">
        <f>D16*'03_Master_Data'!$F$22</f>
        <v>0</v>
      </c>
      <c r="E26" s="58">
        <f>E16*'03_Master_Data'!$F$22</f>
        <v>0</v>
      </c>
      <c r="F26" s="58">
        <f>F16*'03_Master_Data'!$F$22</f>
        <v>0</v>
      </c>
      <c r="G26" s="58">
        <f>G16*'03_Master_Data'!$F$22</f>
        <v>0</v>
      </c>
      <c r="H26" s="58">
        <f>H16*'03_Master_Data'!$F$22</f>
        <v>0</v>
      </c>
      <c r="I26" s="55">
        <f>I16*'03_Master_Data'!$F$22</f>
        <v>0</v>
      </c>
      <c r="J26" s="55">
        <f>J16*'03_Master_Data'!$F$22</f>
        <v>0</v>
      </c>
      <c r="K26" s="55">
        <f>K16*'03_Master_Data'!$F$22</f>
        <v>0</v>
      </c>
      <c r="L26" s="55">
        <f>L16*'03_Master_Data'!$F$22</f>
        <v>0</v>
      </c>
      <c r="M26" s="55">
        <f>M16*'03_Master_Data'!$F$22</f>
        <v>0</v>
      </c>
      <c r="N26" s="55">
        <f>N16*'03_Master_Data'!$F$22</f>
        <v>0</v>
      </c>
      <c r="O26" s="19">
        <f t="shared" si="2"/>
        <v>0</v>
      </c>
    </row>
    <row r="27" spans="1:15">
      <c r="A27" s="38"/>
      <c r="B27" s="38" t="s">
        <v>261</v>
      </c>
      <c r="C27" s="60">
        <f t="shared" ref="C27:N27" si="4">SUM(C22:C26)</f>
        <v>1000.9351351351371</v>
      </c>
      <c r="D27" s="60">
        <f t="shared" si="4"/>
        <v>1000.9351351351371</v>
      </c>
      <c r="E27" s="60">
        <f t="shared" si="4"/>
        <v>889.16756756756797</v>
      </c>
      <c r="F27" s="60">
        <f t="shared" si="4"/>
        <v>993.84864864864869</v>
      </c>
      <c r="G27" s="60">
        <f t="shared" si="4"/>
        <v>1035.8081081081093</v>
      </c>
      <c r="H27" s="60">
        <f t="shared" si="4"/>
        <v>1003.6702702702707</v>
      </c>
      <c r="I27" s="61">
        <f t="shared" si="4"/>
        <v>868.46678329867291</v>
      </c>
      <c r="J27" s="61">
        <f t="shared" si="4"/>
        <v>898.33468854439491</v>
      </c>
      <c r="K27" s="61">
        <f t="shared" si="4"/>
        <v>921.37757471813063</v>
      </c>
      <c r="L27" s="61">
        <f t="shared" si="4"/>
        <v>1003.6832502595088</v>
      </c>
      <c r="M27" s="61">
        <f t="shared" si="4"/>
        <v>946.92071540338634</v>
      </c>
      <c r="N27" s="61">
        <f t="shared" si="4"/>
        <v>936.85212291105006</v>
      </c>
      <c r="O27" s="39">
        <f t="shared" si="2"/>
        <v>11500.000000000013</v>
      </c>
    </row>
    <row r="28" spans="1:15">
      <c r="A28" s="13" t="s">
        <v>66</v>
      </c>
      <c r="B28" s="13" t="s">
        <v>163</v>
      </c>
      <c r="C28" s="58">
        <f>-C27*'03_Master_Data'!$F$23</f>
        <v>-200.18702702702743</v>
      </c>
      <c r="D28" s="58">
        <f>-D27*'03_Master_Data'!$F$23</f>
        <v>-200.18702702702743</v>
      </c>
      <c r="E28" s="58">
        <f>-E27*'03_Master_Data'!$F$23</f>
        <v>-177.83351351351359</v>
      </c>
      <c r="F28" s="58">
        <f>-F27*'03_Master_Data'!$F$23</f>
        <v>-198.76972972972976</v>
      </c>
      <c r="G28" s="58">
        <f>-G27*'03_Master_Data'!$F$23</f>
        <v>-207.16162162162186</v>
      </c>
      <c r="H28" s="58">
        <f>-H27*'03_Master_Data'!$F$23</f>
        <v>-200.73405405405416</v>
      </c>
      <c r="I28" s="55">
        <f>-I27*'03_Master_Data'!$F$23</f>
        <v>-173.6933566597346</v>
      </c>
      <c r="J28" s="55">
        <f>-J27*'03_Master_Data'!$F$23</f>
        <v>-179.666937708879</v>
      </c>
      <c r="K28" s="55">
        <f>-K27*'03_Master_Data'!$F$23</f>
        <v>-184.27551494362615</v>
      </c>
      <c r="L28" s="55">
        <f>-L27*'03_Master_Data'!$F$23</f>
        <v>-200.73665005190176</v>
      </c>
      <c r="M28" s="55">
        <f>-M27*'03_Master_Data'!$F$23</f>
        <v>-189.38414308067729</v>
      </c>
      <c r="N28" s="55">
        <f>-N27*'03_Master_Data'!$F$23</f>
        <v>-187.37042458221003</v>
      </c>
      <c r="O28" s="19">
        <f t="shared" si="2"/>
        <v>-2300.0000000000032</v>
      </c>
    </row>
    <row r="29" spans="1:15">
      <c r="A29" s="38"/>
      <c r="B29" s="38" t="s">
        <v>174</v>
      </c>
      <c r="C29" s="60">
        <f t="shared" ref="C29:N29" si="5">C27+C28</f>
        <v>800.7481081081097</v>
      </c>
      <c r="D29" s="60">
        <f t="shared" si="5"/>
        <v>800.7481081081097</v>
      </c>
      <c r="E29" s="60">
        <f t="shared" si="5"/>
        <v>711.33405405405438</v>
      </c>
      <c r="F29" s="60">
        <f t="shared" si="5"/>
        <v>795.07891891891893</v>
      </c>
      <c r="G29" s="60">
        <f t="shared" si="5"/>
        <v>828.64648648648745</v>
      </c>
      <c r="H29" s="60">
        <f t="shared" si="5"/>
        <v>802.93621621621662</v>
      </c>
      <c r="I29" s="61">
        <f t="shared" si="5"/>
        <v>694.7734266389383</v>
      </c>
      <c r="J29" s="61">
        <f t="shared" si="5"/>
        <v>718.6677508355159</v>
      </c>
      <c r="K29" s="61">
        <f t="shared" si="5"/>
        <v>737.10205977450448</v>
      </c>
      <c r="L29" s="61">
        <f t="shared" si="5"/>
        <v>802.94660020760705</v>
      </c>
      <c r="M29" s="61">
        <f t="shared" si="5"/>
        <v>757.53657232270905</v>
      </c>
      <c r="N29" s="61">
        <f t="shared" si="5"/>
        <v>749.48169832884003</v>
      </c>
      <c r="O29" s="39">
        <f t="shared" si="2"/>
        <v>9200.0000000000127</v>
      </c>
    </row>
    <row r="30" spans="1:15">
      <c r="A30" s="38"/>
      <c r="B30" s="38" t="s">
        <v>262</v>
      </c>
      <c r="C30" s="60">
        <f>C16</f>
        <v>16102.000000000002</v>
      </c>
      <c r="D30" s="60">
        <f t="shared" ref="D30:N30" si="6">C30+D16</f>
        <v>32204.000000000004</v>
      </c>
      <c r="E30" s="60">
        <f t="shared" si="6"/>
        <v>46508</v>
      </c>
      <c r="F30" s="60">
        <f t="shared" si="6"/>
        <v>62496</v>
      </c>
      <c r="G30" s="60">
        <f t="shared" si="6"/>
        <v>79159</v>
      </c>
      <c r="H30" s="60">
        <f t="shared" si="6"/>
        <v>95305</v>
      </c>
      <c r="I30" s="61">
        <f t="shared" si="6"/>
        <v>109275.98738350038</v>
      </c>
      <c r="J30" s="61">
        <f t="shared" si="6"/>
        <v>123727.4584600841</v>
      </c>
      <c r="K30" s="61">
        <f t="shared" si="6"/>
        <v>138549.61944468011</v>
      </c>
      <c r="L30" s="61">
        <f t="shared" si="6"/>
        <v>154695.82825320261</v>
      </c>
      <c r="M30" s="61">
        <f t="shared" si="6"/>
        <v>169928.90063143097</v>
      </c>
      <c r="N30" s="61">
        <f t="shared" si="6"/>
        <v>185000</v>
      </c>
      <c r="O30" s="39">
        <f>N30</f>
        <v>185000</v>
      </c>
    </row>
    <row r="31" spans="1:1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</row>
    <row r="32" spans="1:1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</row>
    <row r="33" spans="1:15" ht="21.95" customHeight="1">
      <c r="A33" s="105" t="s">
        <v>263</v>
      </c>
      <c r="B33" s="105" t="s">
        <v>263</v>
      </c>
      <c r="C33" s="105" t="s">
        <v>263</v>
      </c>
      <c r="D33" s="105" t="s">
        <v>263</v>
      </c>
      <c r="E33" s="105" t="s">
        <v>263</v>
      </c>
      <c r="F33" s="105" t="s">
        <v>263</v>
      </c>
      <c r="G33" s="80"/>
      <c r="H33" s="80"/>
      <c r="I33" s="80"/>
      <c r="J33" s="80"/>
      <c r="K33" s="80"/>
      <c r="L33" s="80"/>
      <c r="M33" s="80"/>
      <c r="N33" s="80"/>
      <c r="O33" s="80"/>
    </row>
    <row r="34" spans="1:1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</row>
    <row r="35" spans="1:15">
      <c r="A35" s="84" t="s">
        <v>264</v>
      </c>
      <c r="B35" s="86">
        <f>O16</f>
        <v>185000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</row>
    <row r="36" spans="1:15">
      <c r="A36" s="84" t="s">
        <v>265</v>
      </c>
      <c r="B36" s="86">
        <v>185000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</row>
    <row r="37" spans="1:15">
      <c r="A37" s="84" t="s">
        <v>266</v>
      </c>
      <c r="B37" s="87">
        <f>B35/B36</f>
        <v>1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</row>
    <row r="38" spans="1:15">
      <c r="A38" s="84" t="s">
        <v>267</v>
      </c>
      <c r="B38" s="86">
        <f>O29</f>
        <v>9200.0000000000127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</row>
    <row r="39" spans="1:15">
      <c r="A39" s="84" t="s">
        <v>268</v>
      </c>
      <c r="B39" s="86">
        <v>9200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</row>
  </sheetData>
  <mergeCells count="4">
    <mergeCell ref="A1:O1"/>
    <mergeCell ref="A2:O2"/>
    <mergeCell ref="A5:O5"/>
    <mergeCell ref="A33:F33"/>
  </mergeCells>
  <dataValidations count="1">
    <dataValidation type="list" sqref="B3" xr:uid="{00000000-0002-0000-0800-000000000000}">
      <formula1>"Bear,Base,Bull"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4"/>
  <sheetViews>
    <sheetView showGridLines="0" workbookViewId="0"/>
  </sheetViews>
  <sheetFormatPr defaultRowHeight="14.25"/>
  <cols>
    <col min="1" max="1" width="24" customWidth="1"/>
    <col min="2" max="6" width="16" customWidth="1"/>
    <col min="7" max="9" width="34" customWidth="1"/>
    <col min="10" max="10" width="3" customWidth="1"/>
    <col min="11" max="13" width="14" customWidth="1"/>
  </cols>
  <sheetData>
    <row r="1" spans="1:15" ht="30" customHeight="1">
      <c r="A1" s="115" t="s">
        <v>269</v>
      </c>
      <c r="B1" s="115" t="s">
        <v>269</v>
      </c>
      <c r="C1" s="115" t="s">
        <v>269</v>
      </c>
      <c r="D1" s="115" t="s">
        <v>269</v>
      </c>
      <c r="E1" s="115" t="s">
        <v>269</v>
      </c>
      <c r="F1" s="115" t="s">
        <v>269</v>
      </c>
      <c r="G1" s="115" t="s">
        <v>269</v>
      </c>
      <c r="H1" s="115" t="s">
        <v>269</v>
      </c>
      <c r="I1" s="115" t="s">
        <v>269</v>
      </c>
      <c r="J1" s="115" t="s">
        <v>269</v>
      </c>
      <c r="K1" s="115" t="s">
        <v>269</v>
      </c>
      <c r="L1" s="115" t="s">
        <v>269</v>
      </c>
      <c r="M1" s="115" t="s">
        <v>269</v>
      </c>
      <c r="N1" s="115" t="s">
        <v>269</v>
      </c>
      <c r="O1" s="115" t="s">
        <v>269</v>
      </c>
    </row>
    <row r="2" spans="1:15" ht="33.950000000000003" customHeight="1">
      <c r="A2" s="116" t="s">
        <v>270</v>
      </c>
      <c r="B2" s="116" t="s">
        <v>270</v>
      </c>
      <c r="C2" s="116" t="s">
        <v>270</v>
      </c>
      <c r="D2" s="116" t="s">
        <v>270</v>
      </c>
      <c r="E2" s="116" t="s">
        <v>270</v>
      </c>
      <c r="F2" s="116" t="s">
        <v>270</v>
      </c>
      <c r="G2" s="116" t="s">
        <v>270</v>
      </c>
      <c r="H2" s="116" t="s">
        <v>270</v>
      </c>
      <c r="I2" s="116" t="s">
        <v>270</v>
      </c>
      <c r="J2" s="116" t="s">
        <v>270</v>
      </c>
      <c r="K2" s="116" t="s">
        <v>270</v>
      </c>
      <c r="L2" s="116" t="s">
        <v>270</v>
      </c>
      <c r="M2" s="116" t="s">
        <v>270</v>
      </c>
      <c r="N2" s="116" t="s">
        <v>270</v>
      </c>
      <c r="O2" s="116" t="s">
        <v>270</v>
      </c>
    </row>
    <row r="3" spans="1:15" ht="15">
      <c r="A3" s="82" t="s">
        <v>271</v>
      </c>
      <c r="B3" s="88" t="str">
        <f>'07_Rolling_Forecast'!B3</f>
        <v>Base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21.95" customHeight="1">
      <c r="A5" s="105" t="s">
        <v>272</v>
      </c>
      <c r="B5" s="105" t="s">
        <v>272</v>
      </c>
      <c r="C5" s="105" t="s">
        <v>272</v>
      </c>
      <c r="D5" s="105" t="s">
        <v>272</v>
      </c>
      <c r="E5" s="105" t="s">
        <v>272</v>
      </c>
      <c r="F5" s="105" t="s">
        <v>272</v>
      </c>
      <c r="G5" s="105" t="s">
        <v>272</v>
      </c>
      <c r="H5" s="105" t="s">
        <v>272</v>
      </c>
      <c r="I5" s="105" t="s">
        <v>272</v>
      </c>
      <c r="J5" s="80"/>
      <c r="K5" s="80"/>
      <c r="L5" s="80"/>
      <c r="M5" s="80"/>
      <c r="N5" s="80"/>
      <c r="O5" s="80"/>
    </row>
    <row r="6" spans="1:15" ht="30" customHeight="1">
      <c r="A6" s="11" t="s">
        <v>273</v>
      </c>
      <c r="B6" s="11"/>
      <c r="C6" s="11" t="s">
        <v>274</v>
      </c>
      <c r="D6" s="11"/>
      <c r="E6" s="11" t="s">
        <v>275</v>
      </c>
      <c r="F6" s="11"/>
      <c r="G6" s="11" t="s">
        <v>276</v>
      </c>
      <c r="H6" s="11"/>
      <c r="I6" s="80"/>
      <c r="J6" s="80"/>
      <c r="K6" s="80"/>
      <c r="L6" s="80"/>
      <c r="M6" s="80"/>
      <c r="N6" s="80"/>
      <c r="O6" s="80"/>
    </row>
    <row r="7" spans="1:15">
      <c r="A7" s="131">
        <f>IFERROR(SUM('07_Rolling_Forecast'!C16:H16)/SUMIFS('02_Raw_Budget'!$G$6:$G$869,'02_Raw_Budget'!$B$6:$B$869,2026,'02_Raw_Budget'!$C$6:$C$869,"&lt;=6",'02_Raw_Budget'!$F$6:$F$869,"REV")-1,0)</f>
        <v>9.2265483894049538E-2</v>
      </c>
      <c r="B7" s="132"/>
      <c r="C7" s="131">
        <f>IFERROR(SUM('07_Rolling_Forecast'!I16:N16)/SUMIFS('02_Raw_Budget'!$G$6:$G$869,'02_Raw_Budget'!$B$6:$B$869,2026,'02_Raw_Budget'!$C$6:$C$869,"&gt;6",'02_Raw_Budget'!$F$6:$F$869,"REV")-1,0)</f>
        <v>-8.2362523981241664E-2</v>
      </c>
      <c r="D7" s="132"/>
      <c r="E7" s="137">
        <f>D16</f>
        <v>0</v>
      </c>
      <c r="F7" s="138"/>
      <c r="G7" s="137">
        <f>D23</f>
        <v>1.4551915228366852E-11</v>
      </c>
      <c r="H7" s="138"/>
      <c r="I7" s="80"/>
      <c r="J7" s="80"/>
      <c r="K7" s="80"/>
      <c r="L7" s="80"/>
      <c r="M7" s="80"/>
      <c r="N7" s="80"/>
      <c r="O7" s="80"/>
    </row>
    <row r="8" spans="1:15">
      <c r="A8" s="133"/>
      <c r="B8" s="134"/>
      <c r="C8" s="133"/>
      <c r="D8" s="134"/>
      <c r="E8" s="139"/>
      <c r="F8" s="140"/>
      <c r="G8" s="139"/>
      <c r="H8" s="140"/>
      <c r="I8" s="80"/>
      <c r="J8" s="80"/>
      <c r="K8" s="80"/>
      <c r="L8" s="80"/>
      <c r="M8" s="80"/>
      <c r="N8" s="80"/>
      <c r="O8" s="80"/>
    </row>
    <row r="9" spans="1:15">
      <c r="A9" s="135"/>
      <c r="B9" s="136"/>
      <c r="C9" s="135"/>
      <c r="D9" s="136"/>
      <c r="E9" s="141"/>
      <c r="F9" s="142"/>
      <c r="G9" s="141"/>
      <c r="H9" s="142"/>
      <c r="I9" s="80"/>
      <c r="J9" s="80"/>
      <c r="K9" s="80"/>
      <c r="L9" s="80"/>
      <c r="M9" s="80"/>
      <c r="N9" s="80"/>
      <c r="O9" s="80"/>
    </row>
    <row r="10" spans="1:1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 spans="1:1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</row>
    <row r="12" spans="1: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  <row r="13" spans="1:15" ht="21.95" customHeight="1">
      <c r="A13" s="105" t="s">
        <v>277</v>
      </c>
      <c r="B13" s="105" t="s">
        <v>277</v>
      </c>
      <c r="C13" s="105" t="s">
        <v>277</v>
      </c>
      <c r="D13" s="105" t="s">
        <v>277</v>
      </c>
      <c r="E13" s="105" t="s">
        <v>277</v>
      </c>
      <c r="F13" s="105" t="s">
        <v>277</v>
      </c>
      <c r="G13" s="105" t="s">
        <v>277</v>
      </c>
      <c r="H13" s="105" t="s">
        <v>277</v>
      </c>
      <c r="I13" s="105" t="s">
        <v>277</v>
      </c>
      <c r="J13" s="80"/>
      <c r="K13" s="80"/>
      <c r="L13" s="80"/>
      <c r="M13" s="80"/>
      <c r="N13" s="80"/>
      <c r="O13" s="80"/>
    </row>
    <row r="14" spans="1:1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 t="s">
        <v>44</v>
      </c>
      <c r="L14" s="80" t="s">
        <v>278</v>
      </c>
      <c r="M14" s="80" t="s">
        <v>214</v>
      </c>
      <c r="N14" s="80"/>
      <c r="O14" s="80"/>
    </row>
    <row r="15" spans="1:15" ht="30" customHeight="1">
      <c r="A15" s="11" t="s">
        <v>167</v>
      </c>
      <c r="B15" s="11" t="s">
        <v>278</v>
      </c>
      <c r="C15" s="11" t="s">
        <v>214</v>
      </c>
      <c r="D15" s="11" t="s">
        <v>182</v>
      </c>
      <c r="E15" s="11" t="s">
        <v>216</v>
      </c>
      <c r="F15" s="11" t="s">
        <v>279</v>
      </c>
      <c r="G15" s="11" t="s">
        <v>218</v>
      </c>
      <c r="H15" s="11" t="s">
        <v>219</v>
      </c>
      <c r="I15" s="11" t="s">
        <v>220</v>
      </c>
      <c r="J15" s="80"/>
      <c r="K15" s="80" t="s">
        <v>280</v>
      </c>
      <c r="L15" s="81">
        <f>'07_Rolling_Forecast'!C16</f>
        <v>16102.000000000002</v>
      </c>
      <c r="M15" s="81">
        <f>SUMIFS('02_Raw_Budget'!$G$6:$G$869,'02_Raw_Budget'!$B$6:$B$869,2026,'02_Raw_Budget'!$C$6:$C$869,1,'02_Raw_Budget'!$F$6:$F$869,"REV")</f>
        <v>14526.017186839643</v>
      </c>
      <c r="N15" s="80"/>
      <c r="O15" s="80"/>
    </row>
    <row r="16" spans="1:15" ht="24">
      <c r="A16" s="12" t="s">
        <v>144</v>
      </c>
      <c r="B16" s="42">
        <f>'07_Rolling_Forecast'!O16</f>
        <v>185000</v>
      </c>
      <c r="C16" s="42">
        <f>SUMIFS('02_Raw_Budget'!$G$6:$G$869,'02_Raw_Budget'!$B$6:$B$869,2026,'02_Raw_Budget'!$F$6:$F$869,"REV")</f>
        <v>185000</v>
      </c>
      <c r="D16" s="18">
        <f t="shared" ref="D16:D23" si="0">B16-C16</f>
        <v>0</v>
      </c>
      <c r="E16" s="22">
        <f>IFERROR(D16/ABS(C16),0)</f>
        <v>0</v>
      </c>
      <c r="F16" s="12" t="str">
        <f>IF(ABS(D16)&lt;0.1,"N",IF(D16*1&gt;=0,"F","U"))</f>
        <v>N</v>
      </c>
      <c r="G16" s="47" t="s">
        <v>281</v>
      </c>
      <c r="H16" s="47" t="s">
        <v>282</v>
      </c>
      <c r="I16" s="47" t="s">
        <v>283</v>
      </c>
      <c r="J16" s="80"/>
      <c r="K16" s="80" t="s">
        <v>284</v>
      </c>
      <c r="L16" s="81">
        <f>'07_Rolling_Forecast'!D16</f>
        <v>16102.000000000002</v>
      </c>
      <c r="M16" s="81">
        <f>SUMIFS('02_Raw_Budget'!$G$6:$G$869,'02_Raw_Budget'!$B$6:$B$869,2026,'02_Raw_Budget'!$C$6:$C$869,2,'02_Raw_Budget'!$F$6:$F$869,"REV")</f>
        <v>14526.017186839643</v>
      </c>
      <c r="N16" s="80"/>
      <c r="O16" s="80"/>
    </row>
    <row r="17" spans="1:15" ht="24">
      <c r="A17" s="13" t="s">
        <v>170</v>
      </c>
      <c r="B17" s="43">
        <f>'07_Rolling_Forecast'!O18</f>
        <v>37548.000000000015</v>
      </c>
      <c r="C17" s="43">
        <f>C16+SUMIFS('02_Raw_Budget'!$G$6:$G$869,'02_Raw_Budget'!$B$6:$B$869,2026,'02_Raw_Budget'!$F$6:$F$869,"COGS")</f>
        <v>37548</v>
      </c>
      <c r="D17" s="19">
        <f t="shared" si="0"/>
        <v>0</v>
      </c>
      <c r="E17" s="23">
        <f>IFERROR(D17/ABS(C17),0)</f>
        <v>0</v>
      </c>
      <c r="F17" s="13" t="str">
        <f>IF(ABS(D17)&lt;0.1,"N",IF(D17*1&gt;=0,"F","U"))</f>
        <v>N</v>
      </c>
      <c r="G17" s="48" t="s">
        <v>285</v>
      </c>
      <c r="H17" s="48" t="s">
        <v>286</v>
      </c>
      <c r="I17" s="48" t="s">
        <v>287</v>
      </c>
      <c r="J17" s="80"/>
      <c r="K17" s="80" t="s">
        <v>288</v>
      </c>
      <c r="L17" s="81">
        <f>'07_Rolling_Forecast'!E16</f>
        <v>14304</v>
      </c>
      <c r="M17" s="81">
        <f>SUMIFS('02_Raw_Budget'!$G$6:$G$869,'02_Raw_Budget'!$B$6:$B$869,2026,'02_Raw_Budget'!$C$6:$C$869,3,'02_Raw_Budget'!$F$6:$F$869,"REV")</f>
        <v>13702.69456860008</v>
      </c>
      <c r="N17" s="80"/>
      <c r="O17" s="80"/>
    </row>
    <row r="18" spans="1:15" ht="24">
      <c r="A18" s="13" t="s">
        <v>171</v>
      </c>
      <c r="B18" s="45">
        <f>'07_Rolling_Forecast'!O19</f>
        <v>0.20296216216216223</v>
      </c>
      <c r="C18" s="45">
        <f>IFERROR(C17/C16,0)</f>
        <v>0.20296216216216217</v>
      </c>
      <c r="D18" s="23">
        <f t="shared" si="0"/>
        <v>0</v>
      </c>
      <c r="E18" s="23">
        <f>B18-C18</f>
        <v>0</v>
      </c>
      <c r="F18" s="13" t="str">
        <f>IF(ABS(D18)&lt;0.0001,"N",IF(D18*1&gt;=0,"F","U"))</f>
        <v>N</v>
      </c>
      <c r="G18" s="48" t="s">
        <v>289</v>
      </c>
      <c r="H18" s="48" t="s">
        <v>290</v>
      </c>
      <c r="I18" s="48" t="s">
        <v>291</v>
      </c>
      <c r="J18" s="80"/>
      <c r="K18" s="80" t="s">
        <v>292</v>
      </c>
      <c r="L18" s="81">
        <f>'07_Rolling_Forecast'!F16</f>
        <v>15987.999999999998</v>
      </c>
      <c r="M18" s="81">
        <f>SUMIFS('02_Raw_Budget'!$G$6:$G$869,'02_Raw_Budget'!$B$6:$B$869,2026,'02_Raw_Budget'!$C$6:$C$869,4,'02_Raw_Budget'!$F$6:$F$869,"REV")</f>
        <v>14860.084781578578</v>
      </c>
      <c r="N18" s="80"/>
      <c r="O18" s="80"/>
    </row>
    <row r="19" spans="1:15" ht="24">
      <c r="A19" s="13" t="s">
        <v>151</v>
      </c>
      <c r="B19" s="43">
        <f>'07_Rolling_Forecast'!O20</f>
        <v>-22570</v>
      </c>
      <c r="C19" s="43">
        <f>SUMIFS('02_Raw_Budget'!$G$6:$G$869,'02_Raw_Budget'!$B$6:$B$869,2026,'02_Raw_Budget'!$F$6:$F$869,"SELL")</f>
        <v>-22570.000000000004</v>
      </c>
      <c r="D19" s="19">
        <f t="shared" si="0"/>
        <v>0</v>
      </c>
      <c r="E19" s="23">
        <f>IFERROR(D19/ABS(C19),0)</f>
        <v>0</v>
      </c>
      <c r="F19" s="13" t="str">
        <f>IF(ABS(D19)&lt;0.1,"N",IF(D19*-1&gt;=0,"F","U"))</f>
        <v>N</v>
      </c>
      <c r="G19" s="48" t="s">
        <v>293</v>
      </c>
      <c r="H19" s="48" t="s">
        <v>294</v>
      </c>
      <c r="I19" s="48" t="s">
        <v>295</v>
      </c>
      <c r="J19" s="80"/>
      <c r="K19" s="80" t="s">
        <v>296</v>
      </c>
      <c r="L19" s="81">
        <f>'07_Rolling_Forecast'!G16</f>
        <v>16663</v>
      </c>
      <c r="M19" s="81">
        <f>SUMIFS('02_Raw_Budget'!$G$6:$G$869,'02_Raw_Budget'!$B$6:$B$869,2026,'02_Raw_Budget'!$C$6:$C$869,5,'02_Raw_Budget'!$F$6:$F$869,"REV")</f>
        <v>14919.316624617391</v>
      </c>
      <c r="N19" s="80"/>
      <c r="O19" s="80"/>
    </row>
    <row r="20" spans="1:15" ht="24">
      <c r="A20" s="13" t="s">
        <v>153</v>
      </c>
      <c r="B20" s="43">
        <f>'07_Rolling_Forecast'!O21</f>
        <v>-5365.0000000000009</v>
      </c>
      <c r="C20" s="43">
        <f>SUMIFS('02_Raw_Budget'!$G$6:$G$869,'02_Raw_Budget'!$B$6:$B$869,2026,'02_Raw_Budget'!$F$6:$F$869,"GA")</f>
        <v>-5365</v>
      </c>
      <c r="D20" s="19">
        <f t="shared" si="0"/>
        <v>0</v>
      </c>
      <c r="E20" s="23">
        <f>IFERROR(D20/ABS(C20),0)</f>
        <v>0</v>
      </c>
      <c r="F20" s="13" t="str">
        <f>IF(ABS(D20)&lt;0.1,"N",IF(D20*-1&gt;=0,"F","U"))</f>
        <v>N</v>
      </c>
      <c r="G20" s="48" t="s">
        <v>297</v>
      </c>
      <c r="H20" s="48" t="s">
        <v>298</v>
      </c>
      <c r="I20" s="48" t="s">
        <v>299</v>
      </c>
      <c r="J20" s="80"/>
      <c r="K20" s="80" t="s">
        <v>300</v>
      </c>
      <c r="L20" s="81">
        <f>'07_Rolling_Forecast'!H16</f>
        <v>16146.000000000002</v>
      </c>
      <c r="M20" s="81">
        <f>SUMIFS('02_Raw_Budget'!$G$6:$G$869,'02_Raw_Budget'!$B$6:$B$869,2026,'02_Raw_Budget'!$C$6:$C$869,6,'02_Raw_Budget'!$F$6:$F$869,"REV")</f>
        <v>14720.297632006968</v>
      </c>
      <c r="N20" s="80"/>
      <c r="O20" s="80"/>
    </row>
    <row r="21" spans="1:15" ht="24">
      <c r="A21" s="13" t="s">
        <v>172</v>
      </c>
      <c r="B21" s="43">
        <f>'07_Rolling_Forecast'!O22</f>
        <v>9613.0000000000127</v>
      </c>
      <c r="C21" s="43">
        <f>SUM(C17,C19:C20)</f>
        <v>9612.9999999999964</v>
      </c>
      <c r="D21" s="19">
        <f t="shared" si="0"/>
        <v>1.6370904631912708E-11</v>
      </c>
      <c r="E21" s="23">
        <f>IFERROR(D21/ABS(C21),0)</f>
        <v>1.7029964248322808E-15</v>
      </c>
      <c r="F21" s="13" t="str">
        <f>IF(ABS(D21)&lt;0.1,"N",IF(D21*1&gt;=0,"F","U"))</f>
        <v>N</v>
      </c>
      <c r="G21" s="48" t="s">
        <v>301</v>
      </c>
      <c r="H21" s="48" t="s">
        <v>302</v>
      </c>
      <c r="I21" s="48" t="s">
        <v>303</v>
      </c>
      <c r="J21" s="80"/>
      <c r="K21" s="80" t="s">
        <v>304</v>
      </c>
      <c r="L21" s="81">
        <f>'07_Rolling_Forecast'!I16</f>
        <v>13970.987383500384</v>
      </c>
      <c r="M21" s="81">
        <f>SUMIFS('02_Raw_Budget'!$G$6:$G$869,'02_Raw_Budget'!$B$6:$B$869,2026,'02_Raw_Budget'!$C$6:$C$869,7,'02_Raw_Budget'!$F$6:$F$869,"REV")</f>
        <v>15224.952934697692</v>
      </c>
      <c r="N21" s="80"/>
      <c r="O21" s="80"/>
    </row>
    <row r="22" spans="1:15" ht="24">
      <c r="A22" s="13" t="s">
        <v>261</v>
      </c>
      <c r="B22" s="43">
        <f>'07_Rolling_Forecast'!O27</f>
        <v>11500.000000000013</v>
      </c>
      <c r="C22" s="43">
        <f>SUMIFS('02_Raw_Budget'!$G$6:$G$869,'02_Raw_Budget'!$B$6:$B$869,2026)-SUMIFS('02_Raw_Budget'!$G$6:$G$869,'02_Raw_Budget'!$B$6:$B$869,2026,'02_Raw_Budget'!$F$6:$F$869,"TAX")</f>
        <v>11499.999999999998</v>
      </c>
      <c r="D22" s="19">
        <f t="shared" si="0"/>
        <v>1.4551915228366852E-11</v>
      </c>
      <c r="E22" s="23">
        <f>IFERROR(D22/ABS(C22),0)</f>
        <v>1.2653839329014657E-15</v>
      </c>
      <c r="F22" s="13" t="str">
        <f>IF(ABS(D22)&lt;0.1,"N",IF(D22*1&gt;=0,"F","U"))</f>
        <v>N</v>
      </c>
      <c r="G22" s="48" t="s">
        <v>305</v>
      </c>
      <c r="H22" s="48" t="s">
        <v>306</v>
      </c>
      <c r="I22" s="48" t="s">
        <v>307</v>
      </c>
      <c r="J22" s="80"/>
      <c r="K22" s="80" t="s">
        <v>308</v>
      </c>
      <c r="L22" s="81">
        <f>'07_Rolling_Forecast'!J16</f>
        <v>14451.47107658373</v>
      </c>
      <c r="M22" s="81">
        <f>SUMIFS('02_Raw_Budget'!$G$6:$G$869,'02_Raw_Budget'!$B$6:$B$869,2026,'02_Raw_Budget'!$C$6:$C$869,8,'02_Raw_Budget'!$F$6:$F$869,"REV")</f>
        <v>15748.562427160839</v>
      </c>
      <c r="N22" s="80"/>
      <c r="O22" s="80"/>
    </row>
    <row r="23" spans="1:15" ht="24">
      <c r="A23" s="14" t="s">
        <v>174</v>
      </c>
      <c r="B23" s="46">
        <f>'07_Rolling_Forecast'!O29</f>
        <v>9200.0000000000127</v>
      </c>
      <c r="C23" s="46">
        <f>SUMIFS('02_Raw_Budget'!$G$6:$G$869,'02_Raw_Budget'!$B$6:$B$869,2026)</f>
        <v>9199.9999999999982</v>
      </c>
      <c r="D23" s="20">
        <f t="shared" si="0"/>
        <v>1.4551915228366852E-11</v>
      </c>
      <c r="E23" s="24">
        <f>IFERROR(D23/ABS(C23),0)</f>
        <v>1.581729916126832E-15</v>
      </c>
      <c r="F23" s="14" t="str">
        <f>IF(ABS(D23)&lt;0.1,"N",IF(D23*1&gt;=0,"F","U"))</f>
        <v>N</v>
      </c>
      <c r="G23" s="49" t="s">
        <v>309</v>
      </c>
      <c r="H23" s="49" t="s">
        <v>310</v>
      </c>
      <c r="I23" s="49" t="s">
        <v>311</v>
      </c>
      <c r="J23" s="80"/>
      <c r="K23" s="80" t="s">
        <v>312</v>
      </c>
      <c r="L23" s="81">
        <f>'07_Rolling_Forecast'!K16</f>
        <v>14822.160984595994</v>
      </c>
      <c r="M23" s="81">
        <f>SUMIFS('02_Raw_Budget'!$G$6:$G$869,'02_Raw_Budget'!$B$6:$B$869,2026,'02_Raw_Budget'!$C$6:$C$869,9,'02_Raw_Budget'!$F$6:$F$869,"REV")</f>
        <v>16152.523596685578</v>
      </c>
      <c r="N23" s="80"/>
      <c r="O23" s="80"/>
    </row>
    <row r="24" spans="1:1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 t="s">
        <v>313</v>
      </c>
      <c r="L24" s="81">
        <f>'07_Rolling_Forecast'!L16</f>
        <v>16146.208808522502</v>
      </c>
      <c r="M24" s="81">
        <f>SUMIFS('02_Raw_Budget'!$G$6:$G$869,'02_Raw_Budget'!$B$6:$B$869,2026,'02_Raw_Budget'!$C$6:$C$869,10,'02_Raw_Budget'!$F$6:$F$869,"REV")</f>
        <v>17595.411293111174</v>
      </c>
      <c r="N24" s="80"/>
      <c r="O24" s="80"/>
    </row>
    <row r="25" spans="1:1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 t="s">
        <v>314</v>
      </c>
      <c r="L25" s="81">
        <f>'07_Rolling_Forecast'!M16</f>
        <v>15233.072378228359</v>
      </c>
      <c r="M25" s="81">
        <f>SUMIFS('02_Raw_Budget'!$G$6:$G$869,'02_Raw_Budget'!$B$6:$B$869,2026,'02_Raw_Budget'!$C$6:$C$869,11,'02_Raw_Budget'!$F$6:$F$869,"REV")</f>
        <v>16600.316330059039</v>
      </c>
      <c r="N25" s="80"/>
      <c r="O25" s="80"/>
    </row>
    <row r="26" spans="1:1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 t="s">
        <v>315</v>
      </c>
      <c r="L26" s="81">
        <f>'07_Rolling_Forecast'!N16</f>
        <v>15071.099368569041</v>
      </c>
      <c r="M26" s="81">
        <f>SUMIFS('02_Raw_Budget'!$G$6:$G$869,'02_Raw_Budget'!$B$6:$B$869,2026,'02_Raw_Budget'!$C$6:$C$869,12,'02_Raw_Budget'!$F$6:$F$869,"REV")</f>
        <v>16423.805437803363</v>
      </c>
      <c r="N26" s="80"/>
      <c r="O26" s="80"/>
    </row>
    <row r="27" spans="1:1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r="28" spans="1:15">
      <c r="A28" s="80"/>
      <c r="B28" s="80"/>
      <c r="C28" s="80"/>
      <c r="D28" s="80"/>
      <c r="E28" s="80"/>
      <c r="F28" s="80"/>
      <c r="G28" s="80"/>
      <c r="H28" s="80"/>
      <c r="I28" s="118" t="s">
        <v>316</v>
      </c>
      <c r="J28" s="119" t="s">
        <v>316</v>
      </c>
      <c r="K28" s="119" t="s">
        <v>316</v>
      </c>
      <c r="L28" s="119" t="s">
        <v>316</v>
      </c>
      <c r="M28" s="119" t="s">
        <v>316</v>
      </c>
      <c r="N28" s="119" t="s">
        <v>316</v>
      </c>
      <c r="O28" s="120" t="s">
        <v>316</v>
      </c>
    </row>
    <row r="29" spans="1:15">
      <c r="A29" s="80"/>
      <c r="B29" s="80"/>
      <c r="C29" s="80"/>
      <c r="D29" s="80"/>
      <c r="E29" s="80"/>
      <c r="F29" s="80"/>
      <c r="G29" s="80"/>
      <c r="H29" s="80"/>
      <c r="I29" s="121" t="s">
        <v>316</v>
      </c>
      <c r="J29" s="122" t="s">
        <v>316</v>
      </c>
      <c r="K29" s="122" t="s">
        <v>316</v>
      </c>
      <c r="L29" s="122" t="s">
        <v>316</v>
      </c>
      <c r="M29" s="122" t="s">
        <v>316</v>
      </c>
      <c r="N29" s="122" t="s">
        <v>316</v>
      </c>
      <c r="O29" s="123" t="s">
        <v>316</v>
      </c>
    </row>
    <row r="30" spans="1:15">
      <c r="A30" s="80"/>
      <c r="B30" s="80"/>
      <c r="C30" s="80"/>
      <c r="D30" s="80"/>
      <c r="E30" s="80"/>
      <c r="F30" s="80"/>
      <c r="G30" s="80"/>
      <c r="H30" s="80"/>
      <c r="I30" s="121" t="s">
        <v>316</v>
      </c>
      <c r="J30" s="122" t="s">
        <v>316</v>
      </c>
      <c r="K30" s="122" t="s">
        <v>316</v>
      </c>
      <c r="L30" s="122" t="s">
        <v>316</v>
      </c>
      <c r="M30" s="122" t="s">
        <v>316</v>
      </c>
      <c r="N30" s="122" t="s">
        <v>316</v>
      </c>
      <c r="O30" s="123" t="s">
        <v>316</v>
      </c>
    </row>
    <row r="31" spans="1:15">
      <c r="A31" s="80"/>
      <c r="B31" s="80"/>
      <c r="C31" s="80"/>
      <c r="D31" s="80"/>
      <c r="E31" s="80"/>
      <c r="F31" s="80"/>
      <c r="G31" s="80"/>
      <c r="H31" s="80"/>
      <c r="I31" s="121" t="s">
        <v>316</v>
      </c>
      <c r="J31" s="122" t="s">
        <v>316</v>
      </c>
      <c r="K31" s="122" t="s">
        <v>316</v>
      </c>
      <c r="L31" s="122" t="s">
        <v>316</v>
      </c>
      <c r="M31" s="122" t="s">
        <v>316</v>
      </c>
      <c r="N31" s="122" t="s">
        <v>316</v>
      </c>
      <c r="O31" s="123" t="s">
        <v>316</v>
      </c>
    </row>
    <row r="32" spans="1:15">
      <c r="A32" s="80"/>
      <c r="B32" s="80"/>
      <c r="C32" s="80"/>
      <c r="D32" s="80"/>
      <c r="E32" s="80"/>
      <c r="F32" s="80"/>
      <c r="G32" s="80"/>
      <c r="H32" s="80"/>
      <c r="I32" s="121" t="s">
        <v>316</v>
      </c>
      <c r="J32" s="122" t="s">
        <v>316</v>
      </c>
      <c r="K32" s="122" t="s">
        <v>316</v>
      </c>
      <c r="L32" s="122" t="s">
        <v>316</v>
      </c>
      <c r="M32" s="122" t="s">
        <v>316</v>
      </c>
      <c r="N32" s="122" t="s">
        <v>316</v>
      </c>
      <c r="O32" s="123" t="s">
        <v>316</v>
      </c>
    </row>
    <row r="33" spans="1:15">
      <c r="A33" s="80"/>
      <c r="B33" s="80"/>
      <c r="C33" s="80"/>
      <c r="D33" s="80"/>
      <c r="E33" s="80"/>
      <c r="F33" s="80"/>
      <c r="G33" s="80"/>
      <c r="H33" s="80"/>
      <c r="I33" s="121" t="s">
        <v>316</v>
      </c>
      <c r="J33" s="122" t="s">
        <v>316</v>
      </c>
      <c r="K33" s="122" t="s">
        <v>316</v>
      </c>
      <c r="L33" s="122" t="s">
        <v>316</v>
      </c>
      <c r="M33" s="122" t="s">
        <v>316</v>
      </c>
      <c r="N33" s="122" t="s">
        <v>316</v>
      </c>
      <c r="O33" s="123" t="s">
        <v>316</v>
      </c>
    </row>
    <row r="34" spans="1:15">
      <c r="A34" s="80"/>
      <c r="B34" s="80"/>
      <c r="C34" s="80"/>
      <c r="D34" s="80"/>
      <c r="E34" s="80"/>
      <c r="F34" s="80"/>
      <c r="G34" s="80"/>
      <c r="H34" s="80"/>
      <c r="I34" s="124" t="s">
        <v>316</v>
      </c>
      <c r="J34" s="125" t="s">
        <v>316</v>
      </c>
      <c r="K34" s="125" t="s">
        <v>316</v>
      </c>
      <c r="L34" s="125" t="s">
        <v>316</v>
      </c>
      <c r="M34" s="125" t="s">
        <v>316</v>
      </c>
      <c r="N34" s="125" t="s">
        <v>316</v>
      </c>
      <c r="O34" s="126" t="s">
        <v>316</v>
      </c>
    </row>
  </sheetData>
  <mergeCells count="9">
    <mergeCell ref="A13:I13"/>
    <mergeCell ref="I28:O34"/>
    <mergeCell ref="A1:O1"/>
    <mergeCell ref="A2:O2"/>
    <mergeCell ref="A5:I5"/>
    <mergeCell ref="A7:B9"/>
    <mergeCell ref="C7:D9"/>
    <mergeCell ref="E7:F9"/>
    <mergeCell ref="G7:H9"/>
  </mergeCells>
  <conditionalFormatting sqref="A7:H9">
    <cfRule type="expression" dxfId="10" priority="1">
      <formula>A7&lt;0</formula>
    </cfRule>
    <cfRule type="expression" dxfId="9" priority="2">
      <formula>A7&gt;=0</formula>
    </cfRule>
  </conditionalFormatting>
  <conditionalFormatting sqref="F16:F23">
    <cfRule type="expression" dxfId="8" priority="9">
      <formula>F16="F"</formula>
    </cfRule>
    <cfRule type="expression" dxfId="7" priority="10">
      <formula>F16="U"</formula>
    </cfRule>
    <cfRule type="expression" dxfId="6" priority="11">
      <formula>F16="N"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showGridLines="0" workbookViewId="0"/>
  </sheetViews>
  <sheetFormatPr defaultRowHeight="14.25"/>
  <cols>
    <col min="1" max="1" width="32" customWidth="1"/>
    <col min="2" max="4" width="16" customWidth="1"/>
    <col min="6" max="6" width="22" customWidth="1"/>
    <col min="7" max="7" width="14" customWidth="1"/>
  </cols>
  <sheetData>
    <row r="1" spans="1:7" ht="30" customHeight="1">
      <c r="A1" s="115" t="s">
        <v>317</v>
      </c>
      <c r="B1" s="115" t="s">
        <v>317</v>
      </c>
      <c r="C1" s="115" t="s">
        <v>317</v>
      </c>
      <c r="D1" s="115" t="s">
        <v>317</v>
      </c>
      <c r="E1" s="115" t="s">
        <v>317</v>
      </c>
      <c r="F1" s="80"/>
      <c r="G1" s="80"/>
    </row>
    <row r="2" spans="1:7" ht="33.950000000000003" customHeight="1">
      <c r="A2" s="116" t="s">
        <v>318</v>
      </c>
      <c r="B2" s="116" t="s">
        <v>318</v>
      </c>
      <c r="C2" s="116" t="s">
        <v>318</v>
      </c>
      <c r="D2" s="116" t="s">
        <v>318</v>
      </c>
      <c r="E2" s="116" t="s">
        <v>318</v>
      </c>
      <c r="F2" s="80"/>
      <c r="G2" s="80"/>
    </row>
    <row r="3" spans="1:7">
      <c r="A3" s="80"/>
      <c r="B3" s="80"/>
      <c r="C3" s="80"/>
      <c r="D3" s="80"/>
      <c r="E3" s="80"/>
      <c r="F3" s="80"/>
      <c r="G3" s="80"/>
    </row>
    <row r="4" spans="1:7" ht="30" customHeight="1">
      <c r="A4" s="11" t="s">
        <v>319</v>
      </c>
      <c r="B4" s="11" t="s">
        <v>180</v>
      </c>
      <c r="C4" s="11" t="s">
        <v>181</v>
      </c>
      <c r="D4" s="11" t="s">
        <v>259</v>
      </c>
      <c r="E4" s="80"/>
      <c r="F4" s="11" t="s">
        <v>320</v>
      </c>
      <c r="G4" s="11" t="s">
        <v>101</v>
      </c>
    </row>
    <row r="5" spans="1:7">
      <c r="A5" s="80"/>
      <c r="B5" s="80"/>
      <c r="C5" s="80"/>
      <c r="D5" s="80"/>
      <c r="E5" s="80"/>
      <c r="F5" s="80"/>
      <c r="G5" s="80"/>
    </row>
    <row r="6" spans="1:7">
      <c r="A6" s="12" t="s">
        <v>144</v>
      </c>
      <c r="B6" s="18">
        <v>134341.15284880201</v>
      </c>
      <c r="C6" s="18">
        <v>155928.14561936699</v>
      </c>
      <c r="D6" s="18">
        <f>'07_Rolling_Forecast'!O16</f>
        <v>185000</v>
      </c>
      <c r="E6" s="80"/>
      <c r="F6" s="12" t="s">
        <v>321</v>
      </c>
      <c r="G6" s="62">
        <v>0.6</v>
      </c>
    </row>
    <row r="7" spans="1:7">
      <c r="A7" s="13" t="s">
        <v>58</v>
      </c>
      <c r="B7" s="19">
        <v>106841.942771781</v>
      </c>
      <c r="C7" s="19">
        <v>124926.26821954599</v>
      </c>
      <c r="D7" s="19">
        <f>-'07_Rolling_Forecast'!O17</f>
        <v>147452</v>
      </c>
      <c r="E7" s="80"/>
      <c r="F7" s="13" t="s">
        <v>322</v>
      </c>
      <c r="G7" s="62">
        <v>80</v>
      </c>
    </row>
    <row r="8" spans="1:7">
      <c r="A8" s="13" t="s">
        <v>323</v>
      </c>
      <c r="B8" s="19">
        <v>241.40539688699999</v>
      </c>
      <c r="C8" s="19">
        <v>253.35883827999999</v>
      </c>
      <c r="D8" s="19">
        <f>D6/365*$G$6</f>
        <v>304.10958904109589</v>
      </c>
      <c r="E8" s="80"/>
      <c r="F8" s="14" t="s">
        <v>324</v>
      </c>
      <c r="G8" s="62">
        <v>40</v>
      </c>
    </row>
    <row r="9" spans="1:7">
      <c r="A9" s="13" t="s">
        <v>325</v>
      </c>
      <c r="B9" s="19">
        <v>22244.676326705001</v>
      </c>
      <c r="C9" s="19">
        <v>27266.857974258</v>
      </c>
      <c r="D9" s="19">
        <f>D7/365*$G$7</f>
        <v>32318.246575342462</v>
      </c>
      <c r="E9" s="80"/>
      <c r="F9" s="80"/>
      <c r="G9" s="80"/>
    </row>
    <row r="10" spans="1:7">
      <c r="A10" s="13" t="s">
        <v>326</v>
      </c>
      <c r="B10" s="19">
        <v>9179.6360545579992</v>
      </c>
      <c r="C10" s="19">
        <v>13113.899672272</v>
      </c>
      <c r="D10" s="19">
        <f>D7/365*$G$8</f>
        <v>16159.123287671231</v>
      </c>
      <c r="E10" s="80"/>
      <c r="F10" s="80"/>
      <c r="G10" s="80"/>
    </row>
    <row r="11" spans="1:7">
      <c r="A11" s="36" t="s">
        <v>327</v>
      </c>
      <c r="B11" s="37">
        <f>B8+B9-B10</f>
        <v>13306.445669034001</v>
      </c>
      <c r="C11" s="37">
        <f>C8+C9-C10</f>
        <v>14406.317140266001</v>
      </c>
      <c r="D11" s="37">
        <f>D8+D9-D10</f>
        <v>16463.232876712325</v>
      </c>
      <c r="E11" s="80"/>
      <c r="F11" s="80"/>
      <c r="G11" s="80"/>
    </row>
    <row r="12" spans="1:7">
      <c r="A12" s="13" t="s">
        <v>321</v>
      </c>
      <c r="B12" s="63">
        <f>IFERROR(B8/B6*365,0)</f>
        <v>0.65588963616327001</v>
      </c>
      <c r="C12" s="63">
        <f>IFERROR(C8/C6*365,0)</f>
        <v>0.59306788780738284</v>
      </c>
      <c r="D12" s="63">
        <f>$G$6</f>
        <v>0.6</v>
      </c>
      <c r="E12" s="80"/>
      <c r="F12" s="80"/>
      <c r="G12" s="80"/>
    </row>
    <row r="13" spans="1:7">
      <c r="A13" s="13" t="s">
        <v>322</v>
      </c>
      <c r="B13" s="63">
        <f>IFERROR(B9/B7*365,0)</f>
        <v>75.993628051022199</v>
      </c>
      <c r="C13" s="63">
        <f>IFERROR(C9/C7*365,0)</f>
        <v>79.666216740852065</v>
      </c>
      <c r="D13" s="63">
        <f>$G$7</f>
        <v>80</v>
      </c>
      <c r="E13" s="80"/>
      <c r="F13" s="80"/>
      <c r="G13" s="80"/>
    </row>
    <row r="14" spans="1:7">
      <c r="A14" s="13" t="s">
        <v>324</v>
      </c>
      <c r="B14" s="63">
        <f>IFERROR(B10/B7*365,0)</f>
        <v>31.360035890311593</v>
      </c>
      <c r="C14" s="63">
        <f>IFERROR(C10/C7*365,0)</f>
        <v>38.315187418928851</v>
      </c>
      <c r="D14" s="63">
        <f>$G$8</f>
        <v>40</v>
      </c>
      <c r="E14" s="80"/>
      <c r="F14" s="80"/>
      <c r="G14" s="80"/>
    </row>
    <row r="15" spans="1:7">
      <c r="A15" s="36" t="s">
        <v>328</v>
      </c>
      <c r="B15" s="64">
        <f>B12+B13-B14</f>
        <v>45.289481796873872</v>
      </c>
      <c r="C15" s="64">
        <f>C12+C13-C14</f>
        <v>41.944097209730593</v>
      </c>
      <c r="D15" s="64">
        <f>D12+D13-D14</f>
        <v>40.599999999999994</v>
      </c>
      <c r="E15" s="80"/>
      <c r="F15" s="80"/>
      <c r="G15" s="80"/>
    </row>
    <row r="16" spans="1:7">
      <c r="A16" s="13" t="s">
        <v>329</v>
      </c>
      <c r="B16" s="23">
        <f>IFERROR(B11/B6,0)</f>
        <v>9.9049661156400154E-2</v>
      </c>
      <c r="C16" s="23">
        <f>IFERROR(C11/C6,0)</f>
        <v>9.239074243487104E-2</v>
      </c>
      <c r="D16" s="23">
        <f>IFERROR(D11/D6,0)</f>
        <v>8.8990447982228785E-2</v>
      </c>
      <c r="E16" s="80"/>
      <c r="F16" s="80"/>
      <c r="G16" s="80"/>
    </row>
    <row r="17" spans="1:7">
      <c r="A17" s="40" t="s">
        <v>330</v>
      </c>
      <c r="B17" s="41">
        <f>0</f>
        <v>0</v>
      </c>
      <c r="C17" s="41">
        <f>C11-B11</f>
        <v>1099.8714712319997</v>
      </c>
      <c r="D17" s="41">
        <f>D11-C11</f>
        <v>2056.9157364463244</v>
      </c>
      <c r="E17" s="80"/>
      <c r="F17" s="80"/>
      <c r="G17" s="80"/>
    </row>
    <row r="18" spans="1:7">
      <c r="A18" s="80"/>
      <c r="B18" s="80"/>
      <c r="C18" s="80"/>
      <c r="D18" s="80"/>
      <c r="E18" s="80"/>
      <c r="F18" s="80"/>
      <c r="G18" s="80"/>
    </row>
    <row r="19" spans="1:7">
      <c r="A19" s="80"/>
      <c r="B19" s="80"/>
      <c r="C19" s="80"/>
      <c r="D19" s="80"/>
      <c r="E19" s="80"/>
      <c r="F19" s="80"/>
      <c r="G19" s="80"/>
    </row>
    <row r="20" spans="1:7">
      <c r="A20" s="118" t="s">
        <v>331</v>
      </c>
      <c r="B20" s="119" t="s">
        <v>331</v>
      </c>
      <c r="C20" s="119" t="s">
        <v>331</v>
      </c>
      <c r="D20" s="119" t="s">
        <v>331</v>
      </c>
      <c r="E20" s="120" t="s">
        <v>331</v>
      </c>
      <c r="F20" s="80"/>
      <c r="G20" s="80"/>
    </row>
    <row r="21" spans="1:7">
      <c r="A21" s="121" t="s">
        <v>331</v>
      </c>
      <c r="B21" s="122" t="s">
        <v>331</v>
      </c>
      <c r="C21" s="122" t="s">
        <v>331</v>
      </c>
      <c r="D21" s="122" t="s">
        <v>331</v>
      </c>
      <c r="E21" s="123" t="s">
        <v>331</v>
      </c>
      <c r="F21" s="80"/>
      <c r="G21" s="80"/>
    </row>
    <row r="22" spans="1:7">
      <c r="A22" s="121" t="s">
        <v>331</v>
      </c>
      <c r="B22" s="122" t="s">
        <v>331</v>
      </c>
      <c r="C22" s="122" t="s">
        <v>331</v>
      </c>
      <c r="D22" s="122" t="s">
        <v>331</v>
      </c>
      <c r="E22" s="123" t="s">
        <v>331</v>
      </c>
      <c r="F22" s="80"/>
      <c r="G22" s="80"/>
    </row>
    <row r="23" spans="1:7">
      <c r="A23" s="124" t="s">
        <v>331</v>
      </c>
      <c r="B23" s="125" t="s">
        <v>331</v>
      </c>
      <c r="C23" s="125" t="s">
        <v>331</v>
      </c>
      <c r="D23" s="125" t="s">
        <v>331</v>
      </c>
      <c r="E23" s="126" t="s">
        <v>331</v>
      </c>
      <c r="F23" s="80"/>
      <c r="G23" s="80"/>
    </row>
  </sheetData>
  <mergeCells count="3">
    <mergeCell ref="A1:E1"/>
    <mergeCell ref="A2:E2"/>
    <mergeCell ref="A20:E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3"/>
  <sheetViews>
    <sheetView showGridLines="0" workbookViewId="0"/>
  </sheetViews>
  <sheetFormatPr defaultRowHeight="14.25"/>
  <cols>
    <col min="1" max="12" width="12" customWidth="1"/>
    <col min="13" max="13" width="0" hidden="1" customWidth="1"/>
    <col min="14" max="16" width="14" hidden="1" customWidth="1"/>
    <col min="17" max="17" width="0" hidden="1" customWidth="1"/>
  </cols>
  <sheetData>
    <row r="1" spans="1:16" ht="30" customHeight="1">
      <c r="A1" s="115" t="s">
        <v>332</v>
      </c>
      <c r="B1" s="115" t="s">
        <v>332</v>
      </c>
      <c r="C1" s="115" t="s">
        <v>332</v>
      </c>
      <c r="D1" s="115" t="s">
        <v>332</v>
      </c>
      <c r="E1" s="115" t="s">
        <v>332</v>
      </c>
      <c r="F1" s="115" t="s">
        <v>332</v>
      </c>
      <c r="G1" s="115" t="s">
        <v>332</v>
      </c>
      <c r="H1" s="115" t="s">
        <v>332</v>
      </c>
      <c r="I1" s="115" t="s">
        <v>332</v>
      </c>
      <c r="J1" s="115" t="s">
        <v>332</v>
      </c>
      <c r="K1" s="115" t="s">
        <v>332</v>
      </c>
      <c r="L1" s="115" t="s">
        <v>332</v>
      </c>
      <c r="M1" s="80"/>
      <c r="N1" s="80"/>
      <c r="O1" s="80"/>
      <c r="P1" s="80"/>
    </row>
    <row r="2" spans="1:16" ht="33.950000000000003" customHeight="1">
      <c r="A2" s="116" t="s">
        <v>333</v>
      </c>
      <c r="B2" s="116" t="s">
        <v>333</v>
      </c>
      <c r="C2" s="116" t="s">
        <v>333</v>
      </c>
      <c r="D2" s="116" t="s">
        <v>333</v>
      </c>
      <c r="E2" s="116" t="s">
        <v>333</v>
      </c>
      <c r="F2" s="116" t="s">
        <v>333</v>
      </c>
      <c r="G2" s="116" t="s">
        <v>333</v>
      </c>
      <c r="H2" s="116" t="s">
        <v>333</v>
      </c>
      <c r="I2" s="116" t="s">
        <v>333</v>
      </c>
      <c r="J2" s="116" t="s">
        <v>333</v>
      </c>
      <c r="K2" s="116" t="s">
        <v>333</v>
      </c>
      <c r="L2" s="116" t="s">
        <v>333</v>
      </c>
      <c r="M2" s="80"/>
      <c r="N2" s="102" t="s">
        <v>44</v>
      </c>
      <c r="O2" s="102" t="s">
        <v>334</v>
      </c>
      <c r="P2" s="102" t="s">
        <v>335</v>
      </c>
    </row>
    <row r="3" spans="1:16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103">
        <v>45658</v>
      </c>
      <c r="O3" s="102">
        <f>'05_Monthly_P&amp;L'!C7</f>
        <v>12276.934973375044</v>
      </c>
      <c r="P3" s="102">
        <f>'05_Monthly_P&amp;L'!C24</f>
        <v>12066.122777111977</v>
      </c>
    </row>
    <row r="4" spans="1:16">
      <c r="A4" s="143" t="s">
        <v>336</v>
      </c>
      <c r="B4" s="143"/>
      <c r="C4" s="143"/>
      <c r="D4" s="143" t="s">
        <v>337</v>
      </c>
      <c r="E4" s="143"/>
      <c r="F4" s="143"/>
      <c r="G4" s="143" t="s">
        <v>338</v>
      </c>
      <c r="H4" s="143"/>
      <c r="I4" s="143"/>
      <c r="J4" s="143" t="s">
        <v>339</v>
      </c>
      <c r="K4" s="143"/>
      <c r="L4" s="143"/>
      <c r="M4" s="80"/>
      <c r="N4" s="103">
        <v>45689</v>
      </c>
      <c r="O4" s="102">
        <f>'05_Monthly_P&amp;L'!D7</f>
        <v>12276.934973375044</v>
      </c>
      <c r="P4" s="102">
        <f>'05_Monthly_P&amp;L'!D24</f>
        <v>12066.122777111977</v>
      </c>
    </row>
    <row r="5" spans="1:16">
      <c r="A5" s="144">
        <f>'05_Monthly_P&amp;L'!O7</f>
        <v>155928.14561936699</v>
      </c>
      <c r="B5" s="145"/>
      <c r="C5" s="146"/>
      <c r="D5" s="153">
        <f>'06_Variance_Analysis'!E7</f>
        <v>3.9520970795779917E-2</v>
      </c>
      <c r="E5" s="154"/>
      <c r="F5" s="155"/>
      <c r="G5" s="144">
        <f>'05_Monthly_P&amp;L'!O20</f>
        <v>7072.6228858749982</v>
      </c>
      <c r="H5" s="145"/>
      <c r="I5" s="146"/>
      <c r="J5" s="153">
        <f>'06_Variance_Analysis'!E14</f>
        <v>0.45827275997422701</v>
      </c>
      <c r="K5" s="154"/>
      <c r="L5" s="155"/>
      <c r="M5" s="80"/>
      <c r="N5" s="103">
        <v>45717</v>
      </c>
      <c r="O5" s="102">
        <f>'05_Monthly_P&amp;L'!E7</f>
        <v>11581.088471458908</v>
      </c>
      <c r="P5" s="102">
        <f>'05_Monthly_P&amp;L'!E24</f>
        <v>10973.567265391801</v>
      </c>
    </row>
    <row r="6" spans="1:16">
      <c r="A6" s="147"/>
      <c r="B6" s="148"/>
      <c r="C6" s="149"/>
      <c r="D6" s="156"/>
      <c r="E6" s="157"/>
      <c r="F6" s="158"/>
      <c r="G6" s="147"/>
      <c r="H6" s="148"/>
      <c r="I6" s="149"/>
      <c r="J6" s="156"/>
      <c r="K6" s="157"/>
      <c r="L6" s="158"/>
      <c r="M6" s="80"/>
      <c r="N6" s="103">
        <v>45748</v>
      </c>
      <c r="O6" s="102">
        <f>'05_Monthly_P&amp;L'!F7</f>
        <v>12562.689992297517</v>
      </c>
      <c r="P6" s="102">
        <f>'05_Monthly_P&amp;L'!F24</f>
        <v>12949.881272284711</v>
      </c>
    </row>
    <row r="7" spans="1:16">
      <c r="A7" s="150"/>
      <c r="B7" s="151"/>
      <c r="C7" s="152"/>
      <c r="D7" s="159"/>
      <c r="E7" s="160"/>
      <c r="F7" s="161"/>
      <c r="G7" s="150"/>
      <c r="H7" s="151"/>
      <c r="I7" s="152"/>
      <c r="J7" s="159"/>
      <c r="K7" s="160"/>
      <c r="L7" s="161"/>
      <c r="M7" s="80"/>
      <c r="N7" s="103">
        <v>45778</v>
      </c>
      <c r="O7" s="102">
        <f>'05_Monthly_P&amp;L'!G7</f>
        <v>12612.764490034671</v>
      </c>
      <c r="P7" s="102">
        <f>'05_Monthly_P&amp;L'!G24</f>
        <v>12506.606322716072</v>
      </c>
    </row>
    <row r="8" spans="1:16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103">
        <v>45809</v>
      </c>
      <c r="O8" s="102">
        <f>'05_Monthly_P&amp;L'!H7</f>
        <v>12444.514177637824</v>
      </c>
      <c r="P8" s="102">
        <f>'05_Monthly_P&amp;L'!H24</f>
        <v>12707.587408162808</v>
      </c>
    </row>
    <row r="9" spans="1:16" ht="30" customHeight="1">
      <c r="A9" s="11" t="s">
        <v>340</v>
      </c>
      <c r="B9" s="11" t="s">
        <v>341</v>
      </c>
      <c r="C9" s="11" t="s">
        <v>342</v>
      </c>
      <c r="D9" s="11" t="s">
        <v>343</v>
      </c>
      <c r="E9" s="11" t="s">
        <v>344</v>
      </c>
      <c r="F9" s="11" t="s">
        <v>345</v>
      </c>
      <c r="G9" s="80"/>
      <c r="H9" s="80"/>
      <c r="I9" s="80"/>
      <c r="J9" s="80"/>
      <c r="K9" s="80"/>
      <c r="L9" s="80"/>
      <c r="M9" s="80"/>
      <c r="N9" s="103">
        <v>45839</v>
      </c>
      <c r="O9" s="102">
        <f>'05_Monthly_P&amp;L'!I7</f>
        <v>12875.101730117554</v>
      </c>
      <c r="P9" s="102">
        <f>'05_Monthly_P&amp;L'!I24</f>
        <v>12192.852517102001</v>
      </c>
    </row>
    <row r="10" spans="1:16" ht="15">
      <c r="A10" s="89" t="str">
        <f>'07_Rolling_Forecast'!B3</f>
        <v>Base</v>
      </c>
      <c r="B10" s="90">
        <f>'07_Rolling_Forecast'!B35</f>
        <v>185000</v>
      </c>
      <c r="C10" s="91">
        <f>'07_Rolling_Forecast'!B37</f>
        <v>1</v>
      </c>
      <c r="D10" s="90">
        <v>95305</v>
      </c>
      <c r="E10" s="91">
        <f>D10/'03_Master_Data'!F15</f>
        <v>0.51516216216216215</v>
      </c>
      <c r="F10" s="91">
        <f>'07_Rolling_Forecast'!B11</f>
        <v>8.7067178921598432E-2</v>
      </c>
      <c r="G10" s="80"/>
      <c r="H10" s="80"/>
      <c r="I10" s="80"/>
      <c r="J10" s="80"/>
      <c r="K10" s="80"/>
      <c r="L10" s="80"/>
      <c r="M10" s="80"/>
      <c r="N10" s="103">
        <v>45870</v>
      </c>
      <c r="O10" s="102">
        <f>'05_Monthly_P&amp;L'!J7</f>
        <v>13317.896234063397</v>
      </c>
      <c r="P10" s="102">
        <f>'05_Monthly_P&amp;L'!J24</f>
        <v>12757.832679524494</v>
      </c>
    </row>
    <row r="11" spans="1:16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103">
        <v>45901</v>
      </c>
      <c r="O11" s="102">
        <f>'05_Monthly_P&amp;L'!K7</f>
        <v>13659.509188465054</v>
      </c>
      <c r="P11" s="102">
        <f>'05_Monthly_P&amp;L'!K24</f>
        <v>13175.426712619377</v>
      </c>
    </row>
    <row r="12" spans="1:16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103">
        <v>45931</v>
      </c>
      <c r="O12" s="102">
        <f>'05_Monthly_P&amp;L'!L7</f>
        <v>14710.730780576034</v>
      </c>
      <c r="P12" s="102">
        <f>'05_Monthly_P&amp;L'!L24</f>
        <v>12936.482533254926</v>
      </c>
    </row>
    <row r="13" spans="1:16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103">
        <v>45962</v>
      </c>
      <c r="O13" s="102">
        <f>'05_Monthly_P&amp;L'!M7</f>
        <v>13878.776706942166</v>
      </c>
      <c r="P13" s="102">
        <f>'05_Monthly_P&amp;L'!M24</f>
        <v>12220.76655674738</v>
      </c>
    </row>
    <row r="14" spans="1:16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103">
        <v>45992</v>
      </c>
      <c r="O14" s="102">
        <f>'05_Monthly_P&amp;L'!N7</f>
        <v>13731.203901023777</v>
      </c>
      <c r="P14" s="102">
        <f>'05_Monthly_P&amp;L'!N24</f>
        <v>13446.75117797247</v>
      </c>
    </row>
    <row r="15" spans="1:16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02"/>
      <c r="O15" s="102"/>
      <c r="P15" s="102"/>
    </row>
    <row r="16" spans="1: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02"/>
      <c r="O16" s="102"/>
      <c r="P16" s="102"/>
    </row>
    <row r="17" spans="1:16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102" t="s">
        <v>246</v>
      </c>
      <c r="O17" s="102" t="s">
        <v>213</v>
      </c>
      <c r="P17" s="102" t="s">
        <v>214</v>
      </c>
    </row>
    <row r="18" spans="1:16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102" t="s">
        <v>67</v>
      </c>
      <c r="O18" s="102">
        <f>'06_Variance_Analysis'!B20</f>
        <v>37255.618259670868</v>
      </c>
      <c r="P18" s="102">
        <f>'06_Variance_Analysis'!C20</f>
        <v>33000</v>
      </c>
    </row>
    <row r="19" spans="1:16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102" t="s">
        <v>72</v>
      </c>
      <c r="O19" s="102">
        <f>'06_Variance_Analysis'!B21</f>
        <v>68304.049979580333</v>
      </c>
      <c r="P19" s="102">
        <f>'06_Variance_Analysis'!C21</f>
        <v>63000</v>
      </c>
    </row>
    <row r="20" spans="1:16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102" t="s">
        <v>73</v>
      </c>
      <c r="O20" s="102">
        <f>'06_Variance_Analysis'!B22</f>
        <v>46782.107377133703</v>
      </c>
      <c r="P20" s="102">
        <f>'06_Variance_Analysis'!C22</f>
        <v>46500</v>
      </c>
    </row>
    <row r="21" spans="1:16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102" t="s">
        <v>75</v>
      </c>
      <c r="O21" s="102">
        <f>'06_Variance_Analysis'!B23</f>
        <v>3586.3700029820743</v>
      </c>
      <c r="P21" s="102">
        <f>'06_Variance_Analysis'!C23</f>
        <v>7500</v>
      </c>
    </row>
    <row r="22" spans="1:16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102"/>
      <c r="O22" s="102"/>
      <c r="P22" s="102"/>
    </row>
    <row r="23" spans="1:16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102"/>
      <c r="O23" s="102"/>
      <c r="P23" s="102"/>
    </row>
    <row r="24" spans="1:16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02" t="s">
        <v>44</v>
      </c>
      <c r="O24" s="102" t="s">
        <v>346</v>
      </c>
      <c r="P24" s="102" t="s">
        <v>347</v>
      </c>
    </row>
    <row r="25" spans="1:16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103">
        <v>46023</v>
      </c>
      <c r="O25" s="102">
        <f>'07_Rolling_Forecast'!C30</f>
        <v>16102.000000000002</v>
      </c>
      <c r="P25" s="102">
        <f>'03_Master_Data'!$F$15*1/12</f>
        <v>15416.666666666666</v>
      </c>
    </row>
    <row r="26" spans="1:1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103">
        <v>46054</v>
      </c>
      <c r="O26" s="102">
        <f>'07_Rolling_Forecast'!D30</f>
        <v>32204.000000000004</v>
      </c>
      <c r="P26" s="102">
        <f>'03_Master_Data'!$F$15*2/12</f>
        <v>30833.333333333332</v>
      </c>
    </row>
    <row r="27" spans="1:16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103">
        <v>46082</v>
      </c>
      <c r="O27" s="102">
        <f>'07_Rolling_Forecast'!E30</f>
        <v>46508</v>
      </c>
      <c r="P27" s="102">
        <f>'03_Master_Data'!$F$15*3/12</f>
        <v>46250</v>
      </c>
    </row>
    <row r="28" spans="1:16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103">
        <v>46113</v>
      </c>
      <c r="O28" s="102">
        <f>'07_Rolling_Forecast'!F30</f>
        <v>62496</v>
      </c>
      <c r="P28" s="102">
        <f>'03_Master_Data'!$F$15*4/12</f>
        <v>61666.666666666664</v>
      </c>
    </row>
    <row r="29" spans="1:16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103">
        <v>46143</v>
      </c>
      <c r="O29" s="102">
        <f>'07_Rolling_Forecast'!G30</f>
        <v>79159</v>
      </c>
      <c r="P29" s="102">
        <f>'03_Master_Data'!$F$15*5/12</f>
        <v>77083.333333333328</v>
      </c>
    </row>
    <row r="30" spans="1:16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103">
        <v>46174</v>
      </c>
      <c r="O30" s="102">
        <f>'07_Rolling_Forecast'!H30</f>
        <v>95305</v>
      </c>
      <c r="P30" s="102">
        <f>'03_Master_Data'!$F$15*6/12</f>
        <v>92500</v>
      </c>
    </row>
    <row r="31" spans="1:16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103">
        <v>46204</v>
      </c>
      <c r="O31" s="102">
        <f>'07_Rolling_Forecast'!I30</f>
        <v>109275.98738350038</v>
      </c>
      <c r="P31" s="102">
        <f>'03_Master_Data'!$F$15*7/12</f>
        <v>107916.66666666667</v>
      </c>
    </row>
    <row r="32" spans="1:16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103">
        <v>46235</v>
      </c>
      <c r="O32" s="102">
        <f>'07_Rolling_Forecast'!J30</f>
        <v>123727.4584600841</v>
      </c>
      <c r="P32" s="102">
        <f>'03_Master_Data'!$F$15*8/12</f>
        <v>123333.33333333333</v>
      </c>
    </row>
    <row r="33" spans="1:16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103">
        <v>46266</v>
      </c>
      <c r="O33" s="102">
        <f>'07_Rolling_Forecast'!K30</f>
        <v>138549.61944468011</v>
      </c>
      <c r="P33" s="102">
        <f>'03_Master_Data'!$F$15*9/12</f>
        <v>138750</v>
      </c>
    </row>
    <row r="34" spans="1:16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103">
        <v>46296</v>
      </c>
      <c r="O34" s="102">
        <f>'07_Rolling_Forecast'!L30</f>
        <v>154695.82825320261</v>
      </c>
      <c r="P34" s="102">
        <f>'03_Master_Data'!$F$15*10/12</f>
        <v>154166.66666666666</v>
      </c>
    </row>
    <row r="35" spans="1:16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103">
        <v>46327</v>
      </c>
      <c r="O35" s="102">
        <f>'07_Rolling_Forecast'!M30</f>
        <v>169928.90063143097</v>
      </c>
      <c r="P35" s="102">
        <f>'03_Master_Data'!$F$15*11/12</f>
        <v>169583.33333333334</v>
      </c>
    </row>
    <row r="36" spans="1:1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103">
        <v>46357</v>
      </c>
      <c r="O36" s="102">
        <f>'07_Rolling_Forecast'!N30</f>
        <v>185000</v>
      </c>
      <c r="P36" s="102">
        <f>'03_Master_Data'!$F$15*12/12</f>
        <v>185000</v>
      </c>
    </row>
    <row r="37" spans="1:16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102"/>
      <c r="O37" s="102"/>
      <c r="P37" s="102"/>
    </row>
    <row r="38" spans="1:16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102"/>
      <c r="O38" s="102"/>
      <c r="P38" s="102"/>
    </row>
    <row r="39" spans="1:16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102" t="s">
        <v>319</v>
      </c>
      <c r="O39" s="102" t="s">
        <v>266</v>
      </c>
      <c r="P39" s="102"/>
    </row>
    <row r="40" spans="1:16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102" t="s">
        <v>348</v>
      </c>
      <c r="O40" s="104">
        <f>'05_Monthly_P&amp;L'!O7/'05_Monthly_P&amp;L'!O24</f>
        <v>1.03952097079578</v>
      </c>
      <c r="P40" s="102"/>
    </row>
    <row r="41" spans="1:16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102" t="s">
        <v>349</v>
      </c>
      <c r="O41" s="104">
        <f>'05_Monthly_P&amp;L'!O20/'05_Monthly_P&amp;L'!O37</f>
        <v>1.4582727599742269</v>
      </c>
      <c r="P41" s="102"/>
    </row>
    <row r="42" spans="1:16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102" t="s">
        <v>350</v>
      </c>
      <c r="O42" s="104">
        <f>D10/'03_Master_Data'!F15</f>
        <v>0.51516216216216215</v>
      </c>
      <c r="P42" s="102"/>
    </row>
    <row r="43" spans="1:16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102" t="s">
        <v>351</v>
      </c>
      <c r="O43" s="104">
        <f>'07_Rolling_Forecast'!B37</f>
        <v>1</v>
      </c>
      <c r="P43" s="102"/>
    </row>
  </sheetData>
  <mergeCells count="10">
    <mergeCell ref="A1:L1"/>
    <mergeCell ref="A2:L2"/>
    <mergeCell ref="A4:C4"/>
    <mergeCell ref="A5:C7"/>
    <mergeCell ref="D4:F4"/>
    <mergeCell ref="D5:F7"/>
    <mergeCell ref="G4:I4"/>
    <mergeCell ref="G5:I7"/>
    <mergeCell ref="J4:L4"/>
    <mergeCell ref="J5:L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showGridLines="0" workbookViewId="0"/>
  </sheetViews>
  <sheetFormatPr defaultRowHeight="14.25"/>
  <cols>
    <col min="1" max="1" width="36" customWidth="1"/>
    <col min="2" max="6" width="15" customWidth="1"/>
    <col min="7" max="7" width="24" customWidth="1"/>
    <col min="8" max="8" width="32" customWidth="1"/>
  </cols>
  <sheetData>
    <row r="1" spans="1:8" ht="30" customHeight="1">
      <c r="A1" s="115" t="s">
        <v>352</v>
      </c>
      <c r="B1" s="115" t="s">
        <v>352</v>
      </c>
      <c r="C1" s="115" t="s">
        <v>352</v>
      </c>
      <c r="D1" s="115" t="s">
        <v>352</v>
      </c>
      <c r="E1" s="115" t="s">
        <v>352</v>
      </c>
      <c r="F1" s="115" t="s">
        <v>352</v>
      </c>
      <c r="G1" s="115" t="s">
        <v>352</v>
      </c>
      <c r="H1" s="115" t="s">
        <v>352</v>
      </c>
    </row>
    <row r="2" spans="1:8" ht="18">
      <c r="A2" s="92" t="s">
        <v>35</v>
      </c>
      <c r="B2" s="93" t="str">
        <f>IF(COUNTIF(F6:F21,"FAIL")=0,"PASS","FAIL")</f>
        <v>PASS</v>
      </c>
      <c r="C2" s="80"/>
      <c r="D2" s="80"/>
      <c r="E2" s="80"/>
      <c r="F2" s="80"/>
      <c r="G2" s="80"/>
      <c r="H2" s="80"/>
    </row>
    <row r="3" spans="1:8">
      <c r="A3" s="80"/>
      <c r="B3" s="80"/>
      <c r="C3" s="80"/>
      <c r="D3" s="80"/>
      <c r="E3" s="80"/>
      <c r="F3" s="80"/>
      <c r="G3" s="80"/>
      <c r="H3" s="80"/>
    </row>
    <row r="4" spans="1:8">
      <c r="A4" s="80"/>
      <c r="B4" s="80"/>
      <c r="C4" s="80"/>
      <c r="D4" s="80"/>
      <c r="E4" s="80"/>
      <c r="F4" s="80"/>
      <c r="G4" s="80"/>
      <c r="H4" s="80"/>
    </row>
    <row r="5" spans="1:8" ht="30" customHeight="1">
      <c r="A5" s="11" t="s">
        <v>353</v>
      </c>
      <c r="B5" s="11" t="s">
        <v>213</v>
      </c>
      <c r="C5" s="11" t="s">
        <v>354</v>
      </c>
      <c r="D5" s="11" t="s">
        <v>355</v>
      </c>
      <c r="E5" s="11" t="s">
        <v>356</v>
      </c>
      <c r="F5" s="11" t="s">
        <v>125</v>
      </c>
      <c r="G5" s="11" t="s">
        <v>357</v>
      </c>
      <c r="H5" s="11" t="s">
        <v>358</v>
      </c>
    </row>
    <row r="6" spans="1:8">
      <c r="A6" s="12" t="s">
        <v>359</v>
      </c>
      <c r="B6" s="18">
        <f>'05_Monthly_P&amp;L'!O7</f>
        <v>155928.14561936699</v>
      </c>
      <c r="C6" s="18">
        <f>155928.145619367</f>
        <v>155928.14561936699</v>
      </c>
      <c r="D6" s="18">
        <f t="shared" ref="D6:D21" si="0">B6-C6</f>
        <v>0</v>
      </c>
      <c r="E6" s="18">
        <v>0.1</v>
      </c>
      <c r="F6" s="12" t="str">
        <f t="shared" ref="F6:F21" si="1">IF(ABS(D6)&lt;=E6,"PASS","FAIL")</f>
        <v>PASS</v>
      </c>
      <c r="G6" s="12" t="s">
        <v>360</v>
      </c>
      <c r="H6" s="12" t="s">
        <v>361</v>
      </c>
    </row>
    <row r="7" spans="1:8">
      <c r="A7" s="13" t="s">
        <v>362</v>
      </c>
      <c r="B7" s="19">
        <f>'05_Monthly_P&amp;L'!O20</f>
        <v>7072.6228858749982</v>
      </c>
      <c r="C7" s="19">
        <f>7072.622885875</f>
        <v>7072.6228858750001</v>
      </c>
      <c r="D7" s="19">
        <f t="shared" si="0"/>
        <v>0</v>
      </c>
      <c r="E7" s="19">
        <v>0.1</v>
      </c>
      <c r="F7" s="13" t="str">
        <f t="shared" si="1"/>
        <v>PASS</v>
      </c>
      <c r="G7" s="13" t="s">
        <v>360</v>
      </c>
      <c r="H7" s="13" t="s">
        <v>361</v>
      </c>
    </row>
    <row r="8" spans="1:8">
      <c r="A8" s="13" t="s">
        <v>363</v>
      </c>
      <c r="B8" s="19">
        <f>'05_Monthly_P&amp;L'!O24</f>
        <v>150000</v>
      </c>
      <c r="C8" s="19">
        <f>150000</f>
        <v>150000</v>
      </c>
      <c r="D8" s="19">
        <f t="shared" si="0"/>
        <v>0</v>
      </c>
      <c r="E8" s="19">
        <v>0.1</v>
      </c>
      <c r="F8" s="13" t="str">
        <f t="shared" si="1"/>
        <v>PASS</v>
      </c>
      <c r="G8" s="13" t="s">
        <v>364</v>
      </c>
      <c r="H8" s="13" t="s">
        <v>365</v>
      </c>
    </row>
    <row r="9" spans="1:8">
      <c r="A9" s="13" t="s">
        <v>366</v>
      </c>
      <c r="B9" s="19">
        <f>'05_Monthly_P&amp;L'!O37</f>
        <v>4849.9999999999982</v>
      </c>
      <c r="C9" s="19">
        <f>4850</f>
        <v>4850</v>
      </c>
      <c r="D9" s="19">
        <f t="shared" si="0"/>
        <v>0</v>
      </c>
      <c r="E9" s="19">
        <v>0.1</v>
      </c>
      <c r="F9" s="13" t="str">
        <f t="shared" si="1"/>
        <v>PASS</v>
      </c>
      <c r="G9" s="13" t="s">
        <v>364</v>
      </c>
      <c r="H9" s="13" t="s">
        <v>365</v>
      </c>
    </row>
    <row r="10" spans="1:8">
      <c r="A10" s="13" t="s">
        <v>367</v>
      </c>
      <c r="B10" s="19">
        <f>COUNTIF('01_Raw_Actual'!$J$6:$J$569,"Unmapped")</f>
        <v>0</v>
      </c>
      <c r="C10" s="19">
        <f>0</f>
        <v>0</v>
      </c>
      <c r="D10" s="19">
        <f t="shared" si="0"/>
        <v>0</v>
      </c>
      <c r="E10" s="19">
        <v>0</v>
      </c>
      <c r="F10" s="13" t="str">
        <f t="shared" si="1"/>
        <v>PASS</v>
      </c>
      <c r="G10" s="13" t="s">
        <v>368</v>
      </c>
      <c r="H10" s="13" t="s">
        <v>369</v>
      </c>
    </row>
    <row r="11" spans="1:8">
      <c r="A11" s="13" t="s">
        <v>370</v>
      </c>
      <c r="B11" s="19">
        <f>COUNTIF('02_Raw_Budget'!$J$6:$J$869,"Unmapped")</f>
        <v>0</v>
      </c>
      <c r="C11" s="19">
        <f>0</f>
        <v>0</v>
      </c>
      <c r="D11" s="19">
        <f t="shared" si="0"/>
        <v>0</v>
      </c>
      <c r="E11" s="19">
        <v>0</v>
      </c>
      <c r="F11" s="13" t="str">
        <f t="shared" si="1"/>
        <v>PASS</v>
      </c>
      <c r="G11" s="13" t="s">
        <v>368</v>
      </c>
      <c r="H11" s="13" t="s">
        <v>369</v>
      </c>
    </row>
    <row r="12" spans="1:8">
      <c r="A12" s="13" t="s">
        <v>371</v>
      </c>
      <c r="B12" s="19">
        <f>'07_Rolling_Forecast'!B35</f>
        <v>185000</v>
      </c>
      <c r="C12" s="19">
        <f>185000</f>
        <v>185000</v>
      </c>
      <c r="D12" s="19">
        <f t="shared" si="0"/>
        <v>0</v>
      </c>
      <c r="E12" s="19">
        <v>0.1</v>
      </c>
      <c r="F12" s="13" t="str">
        <f t="shared" si="1"/>
        <v>PASS</v>
      </c>
      <c r="G12" s="13" t="s">
        <v>372</v>
      </c>
      <c r="H12" s="13" t="s">
        <v>373</v>
      </c>
    </row>
    <row r="13" spans="1:8">
      <c r="A13" s="13" t="s">
        <v>374</v>
      </c>
      <c r="B13" s="19">
        <f>'03_Master_Data'!F16</f>
        <v>9200</v>
      </c>
      <c r="C13" s="19">
        <f>9200</f>
        <v>9200</v>
      </c>
      <c r="D13" s="19">
        <f t="shared" si="0"/>
        <v>0</v>
      </c>
      <c r="E13" s="19">
        <v>0.1</v>
      </c>
      <c r="F13" s="13" t="str">
        <f t="shared" si="1"/>
        <v>PASS</v>
      </c>
      <c r="G13" s="13" t="s">
        <v>375</v>
      </c>
      <c r="H13" s="13" t="s">
        <v>365</v>
      </c>
    </row>
    <row r="14" spans="1:8">
      <c r="A14" s="13" t="s">
        <v>376</v>
      </c>
      <c r="B14" s="19">
        <f>'08_Working_Capital'!C11</f>
        <v>14406.317140266001</v>
      </c>
      <c r="C14" s="19">
        <f>'08_Working_Capital'!C8+'08_Working_Capital'!C9-'08_Working_Capital'!C10</f>
        <v>14406.317140266001</v>
      </c>
      <c r="D14" s="19">
        <f t="shared" si="0"/>
        <v>0</v>
      </c>
      <c r="E14" s="19">
        <v>0.1</v>
      </c>
      <c r="F14" s="13" t="str">
        <f t="shared" si="1"/>
        <v>PASS</v>
      </c>
      <c r="G14" s="13" t="s">
        <v>377</v>
      </c>
      <c r="H14" s="13" t="s">
        <v>378</v>
      </c>
    </row>
    <row r="15" spans="1:8">
      <c r="A15" s="13" t="s">
        <v>379</v>
      </c>
      <c r="B15" s="19">
        <v>5</v>
      </c>
      <c r="C15" s="19">
        <v>5</v>
      </c>
      <c r="D15" s="19">
        <f t="shared" si="0"/>
        <v>0</v>
      </c>
      <c r="E15" s="19">
        <v>0</v>
      </c>
      <c r="F15" s="13" t="str">
        <f t="shared" si="1"/>
        <v>PASS</v>
      </c>
      <c r="G15" s="13" t="s">
        <v>375</v>
      </c>
      <c r="H15" s="13" t="s">
        <v>380</v>
      </c>
    </row>
    <row r="16" spans="1:8">
      <c r="A16" s="13" t="s">
        <v>381</v>
      </c>
      <c r="B16" s="19">
        <v>1</v>
      </c>
      <c r="C16" s="19">
        <v>1</v>
      </c>
      <c r="D16" s="19">
        <f t="shared" si="0"/>
        <v>0</v>
      </c>
      <c r="E16" s="19">
        <v>0</v>
      </c>
      <c r="F16" s="13" t="str">
        <f t="shared" si="1"/>
        <v>PASS</v>
      </c>
      <c r="G16" s="13" t="s">
        <v>382</v>
      </c>
      <c r="H16" s="13" t="s">
        <v>383</v>
      </c>
    </row>
    <row r="17" spans="1:8">
      <c r="A17" s="13" t="s">
        <v>384</v>
      </c>
      <c r="B17" s="19">
        <f>COUNTA('11_Sources'!A6:A15)</f>
        <v>10</v>
      </c>
      <c r="C17" s="19">
        <f>10</f>
        <v>10</v>
      </c>
      <c r="D17" s="19">
        <f t="shared" si="0"/>
        <v>0</v>
      </c>
      <c r="E17" s="19">
        <v>0</v>
      </c>
      <c r="F17" s="13" t="str">
        <f t="shared" si="1"/>
        <v>PASS</v>
      </c>
      <c r="G17" s="13" t="s">
        <v>385</v>
      </c>
      <c r="H17" s="13" t="s">
        <v>386</v>
      </c>
    </row>
    <row r="18" spans="1:8">
      <c r="A18" s="13" t="s">
        <v>387</v>
      </c>
      <c r="B18" s="19">
        <f>'05A_YoY_Analysis'!B7</f>
        <v>134341.15284880198</v>
      </c>
      <c r="C18" s="19">
        <f>134341.152848802</f>
        <v>134341.15284880201</v>
      </c>
      <c r="D18" s="19">
        <f t="shared" si="0"/>
        <v>0</v>
      </c>
      <c r="E18" s="19">
        <v>0.1</v>
      </c>
      <c r="F18" s="13" t="str">
        <f t="shared" si="1"/>
        <v>PASS</v>
      </c>
      <c r="G18" s="13" t="s">
        <v>360</v>
      </c>
      <c r="H18" s="13" t="s">
        <v>388</v>
      </c>
    </row>
    <row r="19" spans="1:8">
      <c r="A19" s="13" t="s">
        <v>389</v>
      </c>
      <c r="B19" s="19">
        <f>'05A_YoY_Analysis'!B14</f>
        <v>3733.2882287200014</v>
      </c>
      <c r="C19" s="19">
        <f>3733.28822872</f>
        <v>3733.28822872</v>
      </c>
      <c r="D19" s="19">
        <f t="shared" si="0"/>
        <v>0</v>
      </c>
      <c r="E19" s="19">
        <v>0.1</v>
      </c>
      <c r="F19" s="13" t="str">
        <f t="shared" si="1"/>
        <v>PASS</v>
      </c>
      <c r="G19" s="13" t="s">
        <v>360</v>
      </c>
      <c r="H19" s="13" t="s">
        <v>388</v>
      </c>
    </row>
    <row r="20" spans="1:8">
      <c r="A20" s="13" t="s">
        <v>390</v>
      </c>
      <c r="B20" s="19">
        <f>'07A_Forecast_Variance'!C16</f>
        <v>185000</v>
      </c>
      <c r="C20" s="19">
        <f>185000</f>
        <v>185000</v>
      </c>
      <c r="D20" s="19">
        <f t="shared" si="0"/>
        <v>0</v>
      </c>
      <c r="E20" s="19">
        <v>0.1</v>
      </c>
      <c r="F20" s="13" t="str">
        <f t="shared" si="1"/>
        <v>PASS</v>
      </c>
      <c r="G20" s="13" t="s">
        <v>364</v>
      </c>
      <c r="H20" s="13" t="s">
        <v>391</v>
      </c>
    </row>
    <row r="21" spans="1:8">
      <c r="A21" s="14" t="s">
        <v>392</v>
      </c>
      <c r="B21" s="20">
        <f>'07A_Forecast_Variance'!C23</f>
        <v>9199.9999999999982</v>
      </c>
      <c r="C21" s="20">
        <f>9200</f>
        <v>9200</v>
      </c>
      <c r="D21" s="20">
        <f t="shared" si="0"/>
        <v>0</v>
      </c>
      <c r="E21" s="20">
        <v>0.1</v>
      </c>
      <c r="F21" s="14" t="str">
        <f t="shared" si="1"/>
        <v>PASS</v>
      </c>
      <c r="G21" s="14" t="s">
        <v>364</v>
      </c>
      <c r="H21" s="14" t="s">
        <v>391</v>
      </c>
    </row>
  </sheetData>
  <mergeCells count="1">
    <mergeCell ref="A1:H1"/>
  </mergeCells>
  <conditionalFormatting sqref="F6:F21">
    <cfRule type="expression" dxfId="5" priority="1">
      <formula>F6="PASS"</formula>
    </cfRule>
    <cfRule type="expression" dxfId="4" priority="2">
      <formula>F6="FAIL"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"/>
  <sheetViews>
    <sheetView showGridLines="0" workbookViewId="0"/>
  </sheetViews>
  <sheetFormatPr defaultRowHeight="14.25"/>
  <cols>
    <col min="1" max="1" width="12" customWidth="1"/>
    <col min="2" max="2" width="36" customWidth="1"/>
    <col min="3" max="5" width="16" customWidth="1"/>
    <col min="6" max="6" width="36" customWidth="1"/>
    <col min="7" max="7" width="22" customWidth="1"/>
    <col min="8" max="10" width="48" customWidth="1"/>
  </cols>
  <sheetData>
    <row r="1" spans="1:10" ht="30" customHeight="1">
      <c r="A1" s="115" t="s">
        <v>393</v>
      </c>
      <c r="B1" s="115" t="s">
        <v>393</v>
      </c>
      <c r="C1" s="115" t="s">
        <v>393</v>
      </c>
      <c r="D1" s="115" t="s">
        <v>393</v>
      </c>
      <c r="E1" s="115" t="s">
        <v>393</v>
      </c>
      <c r="F1" s="115" t="s">
        <v>393</v>
      </c>
      <c r="G1" s="115" t="s">
        <v>393</v>
      </c>
      <c r="H1" s="115" t="s">
        <v>393</v>
      </c>
      <c r="I1" s="115" t="s">
        <v>393</v>
      </c>
      <c r="J1" s="115" t="s">
        <v>393</v>
      </c>
    </row>
    <row r="2" spans="1:10" ht="33.950000000000003" customHeight="1">
      <c r="A2" s="116" t="s">
        <v>394</v>
      </c>
      <c r="B2" s="116" t="s">
        <v>394</v>
      </c>
      <c r="C2" s="116" t="s">
        <v>394</v>
      </c>
      <c r="D2" s="116" t="s">
        <v>394</v>
      </c>
      <c r="E2" s="116" t="s">
        <v>394</v>
      </c>
      <c r="F2" s="116" t="s">
        <v>394</v>
      </c>
      <c r="G2" s="116" t="s">
        <v>394</v>
      </c>
      <c r="H2" s="116" t="s">
        <v>394</v>
      </c>
      <c r="I2" s="116" t="s">
        <v>394</v>
      </c>
      <c r="J2" s="116" t="s">
        <v>394</v>
      </c>
    </row>
    <row r="5" spans="1:10" ht="30" customHeight="1">
      <c r="A5" s="11" t="s">
        <v>50</v>
      </c>
      <c r="B5" s="11" t="s">
        <v>395</v>
      </c>
      <c r="C5" s="11" t="s">
        <v>13</v>
      </c>
      <c r="D5" s="11" t="s">
        <v>42</v>
      </c>
      <c r="E5" s="11" t="s">
        <v>396</v>
      </c>
      <c r="F5" s="11" t="s">
        <v>397</v>
      </c>
      <c r="G5" s="11" t="s">
        <v>398</v>
      </c>
      <c r="H5" s="11" t="s">
        <v>399</v>
      </c>
      <c r="I5" s="11" t="s">
        <v>400</v>
      </c>
      <c r="J5" s="11" t="s">
        <v>358</v>
      </c>
    </row>
    <row r="6" spans="1:10" ht="42" customHeight="1">
      <c r="A6" s="47" t="s">
        <v>70</v>
      </c>
      <c r="B6" s="47" t="s">
        <v>401</v>
      </c>
      <c r="C6" s="47" t="s">
        <v>402</v>
      </c>
      <c r="D6" s="47" t="s">
        <v>403</v>
      </c>
      <c r="E6" s="47" t="s">
        <v>404</v>
      </c>
      <c r="F6" s="47" t="s">
        <v>405</v>
      </c>
      <c r="G6" s="47" t="s">
        <v>406</v>
      </c>
      <c r="H6" s="47" t="s">
        <v>407</v>
      </c>
      <c r="I6" s="47" t="s">
        <v>408</v>
      </c>
      <c r="J6" s="47" t="s">
        <v>409</v>
      </c>
    </row>
    <row r="7" spans="1:10" ht="42" customHeight="1">
      <c r="A7" s="48" t="s">
        <v>77</v>
      </c>
      <c r="B7" s="48" t="s">
        <v>410</v>
      </c>
      <c r="C7" s="48" t="s">
        <v>402</v>
      </c>
      <c r="D7" s="48" t="s">
        <v>411</v>
      </c>
      <c r="E7" s="48" t="s">
        <v>404</v>
      </c>
      <c r="F7" s="48" t="s">
        <v>412</v>
      </c>
      <c r="G7" s="48" t="s">
        <v>413</v>
      </c>
      <c r="H7" s="48" t="s">
        <v>414</v>
      </c>
      <c r="I7" s="48" t="s">
        <v>408</v>
      </c>
      <c r="J7" s="48" t="s">
        <v>415</v>
      </c>
    </row>
    <row r="8" spans="1:10" ht="42" customHeight="1">
      <c r="A8" s="48" t="s">
        <v>78</v>
      </c>
      <c r="B8" s="48" t="s">
        <v>416</v>
      </c>
      <c r="C8" s="48" t="s">
        <v>402</v>
      </c>
      <c r="D8" s="48" t="s">
        <v>417</v>
      </c>
      <c r="E8" s="48" t="s">
        <v>404</v>
      </c>
      <c r="F8" s="48" t="s">
        <v>418</v>
      </c>
      <c r="G8" s="48" t="s">
        <v>419</v>
      </c>
      <c r="H8" s="48" t="s">
        <v>420</v>
      </c>
      <c r="I8" s="48" t="s">
        <v>408</v>
      </c>
      <c r="J8" s="48" t="s">
        <v>421</v>
      </c>
    </row>
    <row r="9" spans="1:10" ht="42" customHeight="1">
      <c r="A9" s="48" t="s">
        <v>79</v>
      </c>
      <c r="B9" s="48" t="s">
        <v>422</v>
      </c>
      <c r="C9" s="48" t="s">
        <v>402</v>
      </c>
      <c r="D9" s="48" t="s">
        <v>168</v>
      </c>
      <c r="E9" s="48" t="s">
        <v>404</v>
      </c>
      <c r="F9" s="48" t="s">
        <v>423</v>
      </c>
      <c r="G9" s="48" t="s">
        <v>424</v>
      </c>
      <c r="H9" s="48" t="s">
        <v>425</v>
      </c>
      <c r="I9" s="48" t="s">
        <v>408</v>
      </c>
      <c r="J9" s="48" t="s">
        <v>426</v>
      </c>
    </row>
    <row r="10" spans="1:10" ht="42" customHeight="1">
      <c r="A10" s="48" t="s">
        <v>57</v>
      </c>
      <c r="B10" s="48" t="s">
        <v>427</v>
      </c>
      <c r="C10" s="48" t="s">
        <v>402</v>
      </c>
      <c r="D10" s="48" t="s">
        <v>428</v>
      </c>
      <c r="E10" s="48" t="s">
        <v>404</v>
      </c>
      <c r="F10" s="48" t="s">
        <v>429</v>
      </c>
      <c r="G10" s="48" t="s">
        <v>424</v>
      </c>
      <c r="H10" s="48" t="s">
        <v>430</v>
      </c>
      <c r="I10" s="48" t="s">
        <v>408</v>
      </c>
      <c r="J10" s="48" t="s">
        <v>431</v>
      </c>
    </row>
    <row r="11" spans="1:10" ht="42" customHeight="1">
      <c r="A11" s="48" t="s">
        <v>432</v>
      </c>
      <c r="B11" s="48" t="s">
        <v>433</v>
      </c>
      <c r="C11" s="48" t="s">
        <v>434</v>
      </c>
      <c r="D11" s="48" t="s">
        <v>435</v>
      </c>
      <c r="E11" s="48" t="s">
        <v>436</v>
      </c>
      <c r="F11" s="48" t="s">
        <v>437</v>
      </c>
      <c r="G11" s="48" t="s">
        <v>438</v>
      </c>
      <c r="H11" s="48" t="s">
        <v>439</v>
      </c>
      <c r="I11" s="48" t="s">
        <v>408</v>
      </c>
      <c r="J11" s="48" t="s">
        <v>440</v>
      </c>
    </row>
    <row r="12" spans="1:10" ht="42" customHeight="1">
      <c r="A12" s="48" t="s">
        <v>81</v>
      </c>
      <c r="B12" s="48" t="s">
        <v>441</v>
      </c>
      <c r="C12" s="48" t="s">
        <v>434</v>
      </c>
      <c r="D12" s="48" t="s">
        <v>442</v>
      </c>
      <c r="E12" s="48" t="s">
        <v>436</v>
      </c>
      <c r="F12" s="48" t="s">
        <v>443</v>
      </c>
      <c r="G12" s="48" t="s">
        <v>438</v>
      </c>
      <c r="H12" s="48" t="s">
        <v>444</v>
      </c>
      <c r="I12" s="48" t="s">
        <v>408</v>
      </c>
      <c r="J12" s="48" t="s">
        <v>445</v>
      </c>
    </row>
    <row r="13" spans="1:10" ht="42" customHeight="1">
      <c r="A13" s="48" t="s">
        <v>85</v>
      </c>
      <c r="B13" s="48" t="s">
        <v>446</v>
      </c>
      <c r="C13" s="48" t="s">
        <v>402</v>
      </c>
      <c r="D13" s="48" t="s">
        <v>168</v>
      </c>
      <c r="E13" s="48" t="s">
        <v>447</v>
      </c>
      <c r="F13" s="48" t="s">
        <v>448</v>
      </c>
      <c r="G13" s="48" t="s">
        <v>449</v>
      </c>
      <c r="H13" s="48" t="s">
        <v>450</v>
      </c>
      <c r="I13" s="48" t="s">
        <v>408</v>
      </c>
      <c r="J13" s="48" t="s">
        <v>451</v>
      </c>
    </row>
    <row r="14" spans="1:10" ht="42" customHeight="1">
      <c r="A14" s="48" t="s">
        <v>87</v>
      </c>
      <c r="B14" s="48" t="s">
        <v>452</v>
      </c>
      <c r="C14" s="48" t="s">
        <v>434</v>
      </c>
      <c r="D14" s="48" t="s">
        <v>453</v>
      </c>
      <c r="E14" s="48" t="s">
        <v>447</v>
      </c>
      <c r="F14" s="48" t="s">
        <v>454</v>
      </c>
      <c r="G14" s="48" t="s">
        <v>455</v>
      </c>
      <c r="H14" s="48" t="s">
        <v>456</v>
      </c>
      <c r="I14" s="48" t="s">
        <v>408</v>
      </c>
      <c r="J14" s="48" t="s">
        <v>457</v>
      </c>
    </row>
    <row r="15" spans="1:10" ht="42" customHeight="1">
      <c r="A15" s="49" t="s">
        <v>458</v>
      </c>
      <c r="B15" s="49" t="s">
        <v>459</v>
      </c>
      <c r="C15" s="49" t="s">
        <v>460</v>
      </c>
      <c r="D15" s="49" t="s">
        <v>461</v>
      </c>
      <c r="E15" s="49" t="s">
        <v>108</v>
      </c>
      <c r="F15" s="49" t="s">
        <v>462</v>
      </c>
      <c r="G15" s="49" t="s">
        <v>463</v>
      </c>
      <c r="H15" s="49" t="s">
        <v>464</v>
      </c>
      <c r="I15" s="49"/>
      <c r="J15" s="49" t="s">
        <v>465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65"/>
  <sheetViews>
    <sheetView showGridLines="0" workbookViewId="0"/>
  </sheetViews>
  <sheetFormatPr defaultRowHeight="14.25"/>
  <cols>
    <col min="1" max="6" width="18" customWidth="1"/>
  </cols>
  <sheetData>
    <row r="1" spans="1:6" ht="30" customHeight="1">
      <c r="A1" s="11" t="s">
        <v>466</v>
      </c>
      <c r="B1" s="11" t="s">
        <v>43</v>
      </c>
      <c r="C1" s="11" t="s">
        <v>42</v>
      </c>
      <c r="D1" s="11" t="s">
        <v>45</v>
      </c>
      <c r="E1" s="11" t="s">
        <v>467</v>
      </c>
      <c r="F1" s="11" t="s">
        <v>48</v>
      </c>
    </row>
    <row r="2" spans="1:6">
      <c r="A2" s="12" t="s">
        <v>213</v>
      </c>
      <c r="B2" s="12">
        <v>2025</v>
      </c>
      <c r="C2" s="15">
        <v>45658</v>
      </c>
      <c r="D2" s="12" t="s">
        <v>67</v>
      </c>
      <c r="E2" s="12" t="s">
        <v>144</v>
      </c>
      <c r="F2" s="18">
        <v>2823.6950438762606</v>
      </c>
    </row>
    <row r="3" spans="1:6">
      <c r="A3" s="13" t="s">
        <v>213</v>
      </c>
      <c r="B3" s="13">
        <v>2025</v>
      </c>
      <c r="C3" s="16">
        <v>45658</v>
      </c>
      <c r="D3" s="13" t="s">
        <v>67</v>
      </c>
      <c r="E3" s="13" t="s">
        <v>58</v>
      </c>
      <c r="F3" s="19">
        <v>-2261.0331602587926</v>
      </c>
    </row>
    <row r="4" spans="1:6">
      <c r="A4" s="13" t="s">
        <v>213</v>
      </c>
      <c r="B4" s="13">
        <v>2025</v>
      </c>
      <c r="C4" s="16">
        <v>45658</v>
      </c>
      <c r="D4" s="13" t="s">
        <v>67</v>
      </c>
      <c r="E4" s="13" t="s">
        <v>151</v>
      </c>
      <c r="F4" s="19">
        <v>-344.06424513104037</v>
      </c>
    </row>
    <row r="5" spans="1:6">
      <c r="A5" s="13" t="s">
        <v>213</v>
      </c>
      <c r="B5" s="13">
        <v>2025</v>
      </c>
      <c r="C5" s="16">
        <v>45658</v>
      </c>
      <c r="D5" s="13" t="s">
        <v>67</v>
      </c>
      <c r="E5" s="13" t="s">
        <v>153</v>
      </c>
      <c r="F5" s="19">
        <v>-94.912504341848134</v>
      </c>
    </row>
    <row r="6" spans="1:6">
      <c r="A6" s="13" t="s">
        <v>213</v>
      </c>
      <c r="B6" s="13">
        <v>2025</v>
      </c>
      <c r="C6" s="16">
        <v>45658</v>
      </c>
      <c r="D6" s="13" t="s">
        <v>67</v>
      </c>
      <c r="E6" s="13" t="s">
        <v>155</v>
      </c>
      <c r="F6" s="19">
        <v>54.176066053007183</v>
      </c>
    </row>
    <row r="7" spans="1:6">
      <c r="A7" s="13" t="s">
        <v>213</v>
      </c>
      <c r="B7" s="13">
        <v>2025</v>
      </c>
      <c r="C7" s="16">
        <v>45658</v>
      </c>
      <c r="D7" s="13" t="s">
        <v>67</v>
      </c>
      <c r="E7" s="13" t="s">
        <v>157</v>
      </c>
      <c r="F7" s="19">
        <v>-26.492296274705701</v>
      </c>
    </row>
    <row r="8" spans="1:6">
      <c r="A8" s="13" t="s">
        <v>213</v>
      </c>
      <c r="B8" s="13">
        <v>2025</v>
      </c>
      <c r="C8" s="16">
        <v>45658</v>
      </c>
      <c r="D8" s="13" t="s">
        <v>67</v>
      </c>
      <c r="E8" s="13" t="s">
        <v>159</v>
      </c>
      <c r="F8" s="19">
        <v>0.24457003871652216</v>
      </c>
    </row>
    <row r="9" spans="1:6">
      <c r="A9" s="13" t="s">
        <v>213</v>
      </c>
      <c r="B9" s="13">
        <v>2025</v>
      </c>
      <c r="C9" s="16">
        <v>45658</v>
      </c>
      <c r="D9" s="13" t="s">
        <v>67</v>
      </c>
      <c r="E9" s="13" t="s">
        <v>161</v>
      </c>
      <c r="F9" s="19">
        <v>-0.43317627183945312</v>
      </c>
    </row>
    <row r="10" spans="1:6">
      <c r="A10" s="13" t="s">
        <v>213</v>
      </c>
      <c r="B10" s="13">
        <v>2025</v>
      </c>
      <c r="C10" s="16">
        <v>45658</v>
      </c>
      <c r="D10" s="13" t="s">
        <v>67</v>
      </c>
      <c r="E10" s="13" t="s">
        <v>163</v>
      </c>
      <c r="F10" s="19">
        <v>-30.227881174666862</v>
      </c>
    </row>
    <row r="11" spans="1:6">
      <c r="A11" s="13" t="s">
        <v>213</v>
      </c>
      <c r="B11" s="13">
        <v>2025</v>
      </c>
      <c r="C11" s="16">
        <v>45658</v>
      </c>
      <c r="D11" s="13" t="s">
        <v>72</v>
      </c>
      <c r="E11" s="13" t="s">
        <v>144</v>
      </c>
      <c r="F11" s="19">
        <v>5635.1131527791449</v>
      </c>
    </row>
    <row r="12" spans="1:6">
      <c r="A12" s="13" t="s">
        <v>213</v>
      </c>
      <c r="B12" s="13">
        <v>2025</v>
      </c>
      <c r="C12" s="16">
        <v>45658</v>
      </c>
      <c r="D12" s="13" t="s">
        <v>72</v>
      </c>
      <c r="E12" s="13" t="s">
        <v>58</v>
      </c>
      <c r="F12" s="19">
        <v>-4512.2357415599372</v>
      </c>
    </row>
    <row r="13" spans="1:6">
      <c r="A13" s="13" t="s">
        <v>213</v>
      </c>
      <c r="B13" s="13">
        <v>2025</v>
      </c>
      <c r="C13" s="16">
        <v>45658</v>
      </c>
      <c r="D13" s="13" t="s">
        <v>72</v>
      </c>
      <c r="E13" s="13" t="s">
        <v>151</v>
      </c>
      <c r="F13" s="19">
        <v>-686.63255876151095</v>
      </c>
    </row>
    <row r="14" spans="1:6">
      <c r="A14" s="13" t="s">
        <v>213</v>
      </c>
      <c r="B14" s="13">
        <v>2025</v>
      </c>
      <c r="C14" s="16">
        <v>45658</v>
      </c>
      <c r="D14" s="13" t="s">
        <v>72</v>
      </c>
      <c r="E14" s="13" t="s">
        <v>153</v>
      </c>
      <c r="F14" s="19">
        <v>-189.41234562134036</v>
      </c>
    </row>
    <row r="15" spans="1:6">
      <c r="A15" s="13" t="s">
        <v>213</v>
      </c>
      <c r="B15" s="13">
        <v>2025</v>
      </c>
      <c r="C15" s="16">
        <v>45658</v>
      </c>
      <c r="D15" s="13" t="s">
        <v>72</v>
      </c>
      <c r="E15" s="13" t="s">
        <v>155</v>
      </c>
      <c r="F15" s="19">
        <v>108.1165839927404</v>
      </c>
    </row>
    <row r="16" spans="1:6">
      <c r="A16" s="13" t="s">
        <v>213</v>
      </c>
      <c r="B16" s="13">
        <v>2025</v>
      </c>
      <c r="C16" s="16">
        <v>45658</v>
      </c>
      <c r="D16" s="13" t="s">
        <v>72</v>
      </c>
      <c r="E16" s="13" t="s">
        <v>157</v>
      </c>
      <c r="F16" s="19">
        <v>-52.86940865256485</v>
      </c>
    </row>
    <row r="17" spans="1:6">
      <c r="A17" s="13" t="s">
        <v>213</v>
      </c>
      <c r="B17" s="13">
        <v>2025</v>
      </c>
      <c r="C17" s="16">
        <v>45658</v>
      </c>
      <c r="D17" s="13" t="s">
        <v>72</v>
      </c>
      <c r="E17" s="13" t="s">
        <v>159</v>
      </c>
      <c r="F17" s="19">
        <v>0.48807672943862457</v>
      </c>
    </row>
    <row r="18" spans="1:6">
      <c r="A18" s="13" t="s">
        <v>213</v>
      </c>
      <c r="B18" s="13">
        <v>2025</v>
      </c>
      <c r="C18" s="16">
        <v>45658</v>
      </c>
      <c r="D18" s="13" t="s">
        <v>72</v>
      </c>
      <c r="E18" s="13" t="s">
        <v>161</v>
      </c>
      <c r="F18" s="19">
        <v>-0.86446916858395195</v>
      </c>
    </row>
    <row r="19" spans="1:6">
      <c r="A19" s="13" t="s">
        <v>213</v>
      </c>
      <c r="B19" s="13">
        <v>2025</v>
      </c>
      <c r="C19" s="16">
        <v>45658</v>
      </c>
      <c r="D19" s="13" t="s">
        <v>72</v>
      </c>
      <c r="E19" s="13" t="s">
        <v>163</v>
      </c>
      <c r="F19" s="19">
        <v>-60.324336779009073</v>
      </c>
    </row>
    <row r="20" spans="1:6">
      <c r="A20" s="13" t="s">
        <v>213</v>
      </c>
      <c r="B20" s="13">
        <v>2025</v>
      </c>
      <c r="C20" s="16">
        <v>45658</v>
      </c>
      <c r="D20" s="13" t="s">
        <v>73</v>
      </c>
      <c r="E20" s="13" t="s">
        <v>144</v>
      </c>
      <c r="F20" s="19">
        <v>3548.0342073053876</v>
      </c>
    </row>
    <row r="21" spans="1:6">
      <c r="A21" s="13" t="s">
        <v>213</v>
      </c>
      <c r="B21" s="13">
        <v>2025</v>
      </c>
      <c r="C21" s="16">
        <v>45658</v>
      </c>
      <c r="D21" s="13" t="s">
        <v>73</v>
      </c>
      <c r="E21" s="13" t="s">
        <v>58</v>
      </c>
      <c r="F21" s="19">
        <v>-2841.0373187599603</v>
      </c>
    </row>
    <row r="22" spans="1:6">
      <c r="A22" s="13" t="s">
        <v>213</v>
      </c>
      <c r="B22" s="13">
        <v>2025</v>
      </c>
      <c r="C22" s="16">
        <v>45658</v>
      </c>
      <c r="D22" s="13" t="s">
        <v>73</v>
      </c>
      <c r="E22" s="13" t="s">
        <v>151</v>
      </c>
      <c r="F22" s="19">
        <v>-432.32420366465499</v>
      </c>
    </row>
    <row r="23" spans="1:6">
      <c r="A23" s="13" t="s">
        <v>213</v>
      </c>
      <c r="B23" s="13">
        <v>2025</v>
      </c>
      <c r="C23" s="16">
        <v>45658</v>
      </c>
      <c r="D23" s="13" t="s">
        <v>73</v>
      </c>
      <c r="E23" s="13" t="s">
        <v>153</v>
      </c>
      <c r="F23" s="19">
        <v>-119.25962502084393</v>
      </c>
    </row>
    <row r="24" spans="1:6">
      <c r="A24" s="13" t="s">
        <v>213</v>
      </c>
      <c r="B24" s="13">
        <v>2025</v>
      </c>
      <c r="C24" s="16">
        <v>45658</v>
      </c>
      <c r="D24" s="13" t="s">
        <v>73</v>
      </c>
      <c r="E24" s="13" t="s">
        <v>155</v>
      </c>
      <c r="F24" s="19">
        <v>68.073404736169877</v>
      </c>
    </row>
    <row r="25" spans="1:6">
      <c r="A25" s="13" t="s">
        <v>213</v>
      </c>
      <c r="B25" s="13">
        <v>2025</v>
      </c>
      <c r="C25" s="16">
        <v>45658</v>
      </c>
      <c r="D25" s="13" t="s">
        <v>73</v>
      </c>
      <c r="E25" s="13" t="s">
        <v>157</v>
      </c>
      <c r="F25" s="19">
        <v>-33.288146188651936</v>
      </c>
    </row>
    <row r="26" spans="1:6">
      <c r="A26" s="13" t="s">
        <v>213</v>
      </c>
      <c r="B26" s="13">
        <v>2025</v>
      </c>
      <c r="C26" s="16">
        <v>45658</v>
      </c>
      <c r="D26" s="13" t="s">
        <v>73</v>
      </c>
      <c r="E26" s="13" t="s">
        <v>159</v>
      </c>
      <c r="F26" s="19">
        <v>0.30730757038728213</v>
      </c>
    </row>
    <row r="27" spans="1:6">
      <c r="A27" s="13" t="s">
        <v>213</v>
      </c>
      <c r="B27" s="13">
        <v>2025</v>
      </c>
      <c r="C27" s="16">
        <v>45658</v>
      </c>
      <c r="D27" s="13" t="s">
        <v>73</v>
      </c>
      <c r="E27" s="13" t="s">
        <v>161</v>
      </c>
      <c r="F27" s="19">
        <v>-0.54429540244174746</v>
      </c>
    </row>
    <row r="28" spans="1:6">
      <c r="A28" s="13" t="s">
        <v>213</v>
      </c>
      <c r="B28" s="13">
        <v>2025</v>
      </c>
      <c r="C28" s="16">
        <v>45658</v>
      </c>
      <c r="D28" s="13" t="s">
        <v>73</v>
      </c>
      <c r="E28" s="13" t="s">
        <v>163</v>
      </c>
      <c r="F28" s="19">
        <v>-37.981989823820527</v>
      </c>
    </row>
    <row r="29" spans="1:6">
      <c r="A29" s="13" t="s">
        <v>213</v>
      </c>
      <c r="B29" s="13">
        <v>2025</v>
      </c>
      <c r="C29" s="16">
        <v>45658</v>
      </c>
      <c r="D29" s="13" t="s">
        <v>75</v>
      </c>
      <c r="E29" s="13" t="s">
        <v>144</v>
      </c>
      <c r="F29" s="19">
        <v>270.09256941425099</v>
      </c>
    </row>
    <row r="30" spans="1:6">
      <c r="A30" s="13" t="s">
        <v>213</v>
      </c>
      <c r="B30" s="13">
        <v>2025</v>
      </c>
      <c r="C30" s="16">
        <v>45658</v>
      </c>
      <c r="D30" s="13" t="s">
        <v>75</v>
      </c>
      <c r="E30" s="13" t="s">
        <v>58</v>
      </c>
      <c r="F30" s="19">
        <v>-216.27273706823229</v>
      </c>
    </row>
    <row r="31" spans="1:6">
      <c r="A31" s="13" t="s">
        <v>213</v>
      </c>
      <c r="B31" s="13">
        <v>2025</v>
      </c>
      <c r="C31" s="16">
        <v>45658</v>
      </c>
      <c r="D31" s="13" t="s">
        <v>75</v>
      </c>
      <c r="E31" s="13" t="s">
        <v>151</v>
      </c>
      <c r="F31" s="19">
        <v>-32.910493012534289</v>
      </c>
    </row>
    <row r="32" spans="1:6">
      <c r="A32" s="13" t="s">
        <v>213</v>
      </c>
      <c r="B32" s="13">
        <v>2025</v>
      </c>
      <c r="C32" s="16">
        <v>45658</v>
      </c>
      <c r="D32" s="13" t="s">
        <v>75</v>
      </c>
      <c r="E32" s="13" t="s">
        <v>153</v>
      </c>
      <c r="F32" s="19">
        <v>-9.0785873718289505</v>
      </c>
    </row>
    <row r="33" spans="1:6">
      <c r="A33" s="13" t="s">
        <v>213</v>
      </c>
      <c r="B33" s="13">
        <v>2025</v>
      </c>
      <c r="C33" s="16">
        <v>45658</v>
      </c>
      <c r="D33" s="13" t="s">
        <v>75</v>
      </c>
      <c r="E33" s="13" t="s">
        <v>155</v>
      </c>
      <c r="F33" s="19">
        <v>5.1820584920267736</v>
      </c>
    </row>
    <row r="34" spans="1:6">
      <c r="A34" s="13" t="s">
        <v>213</v>
      </c>
      <c r="B34" s="13">
        <v>2025</v>
      </c>
      <c r="C34" s="16">
        <v>45658</v>
      </c>
      <c r="D34" s="13" t="s">
        <v>75</v>
      </c>
      <c r="E34" s="13" t="s">
        <v>157</v>
      </c>
      <c r="F34" s="19">
        <v>-2.5340457306240234</v>
      </c>
    </row>
    <row r="35" spans="1:6">
      <c r="A35" s="13" t="s">
        <v>213</v>
      </c>
      <c r="B35" s="13">
        <v>2025</v>
      </c>
      <c r="C35" s="16">
        <v>45658</v>
      </c>
      <c r="D35" s="13" t="s">
        <v>75</v>
      </c>
      <c r="E35" s="13" t="s">
        <v>159</v>
      </c>
      <c r="F35" s="19">
        <v>2.339365587723255E-2</v>
      </c>
    </row>
    <row r="36" spans="1:6">
      <c r="A36" s="13" t="s">
        <v>213</v>
      </c>
      <c r="B36" s="13">
        <v>2025</v>
      </c>
      <c r="C36" s="16">
        <v>45658</v>
      </c>
      <c r="D36" s="13" t="s">
        <v>75</v>
      </c>
      <c r="E36" s="13" t="s">
        <v>161</v>
      </c>
      <c r="F36" s="19">
        <v>-4.1434252088991166E-2</v>
      </c>
    </row>
    <row r="37" spans="1:6">
      <c r="A37" s="13" t="s">
        <v>213</v>
      </c>
      <c r="B37" s="13">
        <v>2025</v>
      </c>
      <c r="C37" s="16">
        <v>45658</v>
      </c>
      <c r="D37" s="13" t="s">
        <v>75</v>
      </c>
      <c r="E37" s="13" t="s">
        <v>163</v>
      </c>
      <c r="F37" s="19">
        <v>-2.8913625471420472</v>
      </c>
    </row>
    <row r="38" spans="1:6">
      <c r="A38" s="13" t="s">
        <v>213</v>
      </c>
      <c r="B38" s="13">
        <v>2025</v>
      </c>
      <c r="C38" s="16">
        <v>45689</v>
      </c>
      <c r="D38" s="13" t="s">
        <v>67</v>
      </c>
      <c r="E38" s="13" t="s">
        <v>144</v>
      </c>
      <c r="F38" s="19">
        <v>2823.6950438762606</v>
      </c>
    </row>
    <row r="39" spans="1:6">
      <c r="A39" s="13" t="s">
        <v>213</v>
      </c>
      <c r="B39" s="13">
        <v>2025</v>
      </c>
      <c r="C39" s="16">
        <v>45689</v>
      </c>
      <c r="D39" s="13" t="s">
        <v>67</v>
      </c>
      <c r="E39" s="13" t="s">
        <v>58</v>
      </c>
      <c r="F39" s="19">
        <v>-2261.0331602587926</v>
      </c>
    </row>
    <row r="40" spans="1:6">
      <c r="A40" s="13" t="s">
        <v>213</v>
      </c>
      <c r="B40" s="13">
        <v>2025</v>
      </c>
      <c r="C40" s="16">
        <v>45689</v>
      </c>
      <c r="D40" s="13" t="s">
        <v>67</v>
      </c>
      <c r="E40" s="13" t="s">
        <v>151</v>
      </c>
      <c r="F40" s="19">
        <v>-344.06424513104037</v>
      </c>
    </row>
    <row r="41" spans="1:6">
      <c r="A41" s="13" t="s">
        <v>213</v>
      </c>
      <c r="B41" s="13">
        <v>2025</v>
      </c>
      <c r="C41" s="16">
        <v>45689</v>
      </c>
      <c r="D41" s="13" t="s">
        <v>67</v>
      </c>
      <c r="E41" s="13" t="s">
        <v>153</v>
      </c>
      <c r="F41" s="19">
        <v>-94.912504341848134</v>
      </c>
    </row>
    <row r="42" spans="1:6">
      <c r="A42" s="13" t="s">
        <v>213</v>
      </c>
      <c r="B42" s="13">
        <v>2025</v>
      </c>
      <c r="C42" s="16">
        <v>45689</v>
      </c>
      <c r="D42" s="13" t="s">
        <v>67</v>
      </c>
      <c r="E42" s="13" t="s">
        <v>155</v>
      </c>
      <c r="F42" s="19">
        <v>54.176066053007183</v>
      </c>
    </row>
    <row r="43" spans="1:6">
      <c r="A43" s="13" t="s">
        <v>213</v>
      </c>
      <c r="B43" s="13">
        <v>2025</v>
      </c>
      <c r="C43" s="16">
        <v>45689</v>
      </c>
      <c r="D43" s="13" t="s">
        <v>67</v>
      </c>
      <c r="E43" s="13" t="s">
        <v>157</v>
      </c>
      <c r="F43" s="19">
        <v>-26.492296274705701</v>
      </c>
    </row>
    <row r="44" spans="1:6">
      <c r="A44" s="13" t="s">
        <v>213</v>
      </c>
      <c r="B44" s="13">
        <v>2025</v>
      </c>
      <c r="C44" s="16">
        <v>45689</v>
      </c>
      <c r="D44" s="13" t="s">
        <v>67</v>
      </c>
      <c r="E44" s="13" t="s">
        <v>159</v>
      </c>
      <c r="F44" s="19">
        <v>0.24457003871652216</v>
      </c>
    </row>
    <row r="45" spans="1:6">
      <c r="A45" s="13" t="s">
        <v>213</v>
      </c>
      <c r="B45" s="13">
        <v>2025</v>
      </c>
      <c r="C45" s="16">
        <v>45689</v>
      </c>
      <c r="D45" s="13" t="s">
        <v>67</v>
      </c>
      <c r="E45" s="13" t="s">
        <v>161</v>
      </c>
      <c r="F45" s="19">
        <v>-0.43317627183945312</v>
      </c>
    </row>
    <row r="46" spans="1:6">
      <c r="A46" s="13" t="s">
        <v>213</v>
      </c>
      <c r="B46" s="13">
        <v>2025</v>
      </c>
      <c r="C46" s="16">
        <v>45689</v>
      </c>
      <c r="D46" s="13" t="s">
        <v>67</v>
      </c>
      <c r="E46" s="13" t="s">
        <v>163</v>
      </c>
      <c r="F46" s="19">
        <v>-30.227881174666862</v>
      </c>
    </row>
    <row r="47" spans="1:6">
      <c r="A47" s="13" t="s">
        <v>213</v>
      </c>
      <c r="B47" s="13">
        <v>2025</v>
      </c>
      <c r="C47" s="16">
        <v>45689</v>
      </c>
      <c r="D47" s="13" t="s">
        <v>72</v>
      </c>
      <c r="E47" s="13" t="s">
        <v>144</v>
      </c>
      <c r="F47" s="19">
        <v>5635.1131527791449</v>
      </c>
    </row>
    <row r="48" spans="1:6">
      <c r="A48" s="13" t="s">
        <v>213</v>
      </c>
      <c r="B48" s="13">
        <v>2025</v>
      </c>
      <c r="C48" s="16">
        <v>45689</v>
      </c>
      <c r="D48" s="13" t="s">
        <v>72</v>
      </c>
      <c r="E48" s="13" t="s">
        <v>58</v>
      </c>
      <c r="F48" s="19">
        <v>-4512.2357415599372</v>
      </c>
    </row>
    <row r="49" spans="1:6">
      <c r="A49" s="13" t="s">
        <v>213</v>
      </c>
      <c r="B49" s="13">
        <v>2025</v>
      </c>
      <c r="C49" s="16">
        <v>45689</v>
      </c>
      <c r="D49" s="13" t="s">
        <v>72</v>
      </c>
      <c r="E49" s="13" t="s">
        <v>151</v>
      </c>
      <c r="F49" s="19">
        <v>-686.63255876151095</v>
      </c>
    </row>
    <row r="50" spans="1:6">
      <c r="A50" s="13" t="s">
        <v>213</v>
      </c>
      <c r="B50" s="13">
        <v>2025</v>
      </c>
      <c r="C50" s="16">
        <v>45689</v>
      </c>
      <c r="D50" s="13" t="s">
        <v>72</v>
      </c>
      <c r="E50" s="13" t="s">
        <v>153</v>
      </c>
      <c r="F50" s="19">
        <v>-189.41234562134036</v>
      </c>
    </row>
    <row r="51" spans="1:6">
      <c r="A51" s="13" t="s">
        <v>213</v>
      </c>
      <c r="B51" s="13">
        <v>2025</v>
      </c>
      <c r="C51" s="16">
        <v>45689</v>
      </c>
      <c r="D51" s="13" t="s">
        <v>72</v>
      </c>
      <c r="E51" s="13" t="s">
        <v>155</v>
      </c>
      <c r="F51" s="19">
        <v>108.1165839927404</v>
      </c>
    </row>
    <row r="52" spans="1:6">
      <c r="A52" s="13" t="s">
        <v>213</v>
      </c>
      <c r="B52" s="13">
        <v>2025</v>
      </c>
      <c r="C52" s="16">
        <v>45689</v>
      </c>
      <c r="D52" s="13" t="s">
        <v>72</v>
      </c>
      <c r="E52" s="13" t="s">
        <v>157</v>
      </c>
      <c r="F52" s="19">
        <v>-52.86940865256485</v>
      </c>
    </row>
    <row r="53" spans="1:6">
      <c r="A53" s="13" t="s">
        <v>213</v>
      </c>
      <c r="B53" s="13">
        <v>2025</v>
      </c>
      <c r="C53" s="16">
        <v>45689</v>
      </c>
      <c r="D53" s="13" t="s">
        <v>72</v>
      </c>
      <c r="E53" s="13" t="s">
        <v>159</v>
      </c>
      <c r="F53" s="19">
        <v>0.48807672943862457</v>
      </c>
    </row>
    <row r="54" spans="1:6">
      <c r="A54" s="13" t="s">
        <v>213</v>
      </c>
      <c r="B54" s="13">
        <v>2025</v>
      </c>
      <c r="C54" s="16">
        <v>45689</v>
      </c>
      <c r="D54" s="13" t="s">
        <v>72</v>
      </c>
      <c r="E54" s="13" t="s">
        <v>161</v>
      </c>
      <c r="F54" s="19">
        <v>-0.86446916858395195</v>
      </c>
    </row>
    <row r="55" spans="1:6">
      <c r="A55" s="13" t="s">
        <v>213</v>
      </c>
      <c r="B55" s="13">
        <v>2025</v>
      </c>
      <c r="C55" s="16">
        <v>45689</v>
      </c>
      <c r="D55" s="13" t="s">
        <v>72</v>
      </c>
      <c r="E55" s="13" t="s">
        <v>163</v>
      </c>
      <c r="F55" s="19">
        <v>-60.324336779009073</v>
      </c>
    </row>
    <row r="56" spans="1:6">
      <c r="A56" s="13" t="s">
        <v>213</v>
      </c>
      <c r="B56" s="13">
        <v>2025</v>
      </c>
      <c r="C56" s="16">
        <v>45689</v>
      </c>
      <c r="D56" s="13" t="s">
        <v>73</v>
      </c>
      <c r="E56" s="13" t="s">
        <v>144</v>
      </c>
      <c r="F56" s="19">
        <v>3548.0342073053876</v>
      </c>
    </row>
    <row r="57" spans="1:6">
      <c r="A57" s="13" t="s">
        <v>213</v>
      </c>
      <c r="B57" s="13">
        <v>2025</v>
      </c>
      <c r="C57" s="16">
        <v>45689</v>
      </c>
      <c r="D57" s="13" t="s">
        <v>73</v>
      </c>
      <c r="E57" s="13" t="s">
        <v>58</v>
      </c>
      <c r="F57" s="19">
        <v>-2841.0373187599603</v>
      </c>
    </row>
    <row r="58" spans="1:6">
      <c r="A58" s="13" t="s">
        <v>213</v>
      </c>
      <c r="B58" s="13">
        <v>2025</v>
      </c>
      <c r="C58" s="16">
        <v>45689</v>
      </c>
      <c r="D58" s="13" t="s">
        <v>73</v>
      </c>
      <c r="E58" s="13" t="s">
        <v>151</v>
      </c>
      <c r="F58" s="19">
        <v>-432.32420366465499</v>
      </c>
    </row>
    <row r="59" spans="1:6">
      <c r="A59" s="13" t="s">
        <v>213</v>
      </c>
      <c r="B59" s="13">
        <v>2025</v>
      </c>
      <c r="C59" s="16">
        <v>45689</v>
      </c>
      <c r="D59" s="13" t="s">
        <v>73</v>
      </c>
      <c r="E59" s="13" t="s">
        <v>153</v>
      </c>
      <c r="F59" s="19">
        <v>-119.25962502084393</v>
      </c>
    </row>
    <row r="60" spans="1:6">
      <c r="A60" s="13" t="s">
        <v>213</v>
      </c>
      <c r="B60" s="13">
        <v>2025</v>
      </c>
      <c r="C60" s="16">
        <v>45689</v>
      </c>
      <c r="D60" s="13" t="s">
        <v>73</v>
      </c>
      <c r="E60" s="13" t="s">
        <v>155</v>
      </c>
      <c r="F60" s="19">
        <v>68.073404736169877</v>
      </c>
    </row>
    <row r="61" spans="1:6">
      <c r="A61" s="13" t="s">
        <v>213</v>
      </c>
      <c r="B61" s="13">
        <v>2025</v>
      </c>
      <c r="C61" s="16">
        <v>45689</v>
      </c>
      <c r="D61" s="13" t="s">
        <v>73</v>
      </c>
      <c r="E61" s="13" t="s">
        <v>157</v>
      </c>
      <c r="F61" s="19">
        <v>-33.288146188651936</v>
      </c>
    </row>
    <row r="62" spans="1:6">
      <c r="A62" s="13" t="s">
        <v>213</v>
      </c>
      <c r="B62" s="13">
        <v>2025</v>
      </c>
      <c r="C62" s="16">
        <v>45689</v>
      </c>
      <c r="D62" s="13" t="s">
        <v>73</v>
      </c>
      <c r="E62" s="13" t="s">
        <v>159</v>
      </c>
      <c r="F62" s="19">
        <v>0.30730757038728213</v>
      </c>
    </row>
    <row r="63" spans="1:6">
      <c r="A63" s="13" t="s">
        <v>213</v>
      </c>
      <c r="B63" s="13">
        <v>2025</v>
      </c>
      <c r="C63" s="16">
        <v>45689</v>
      </c>
      <c r="D63" s="13" t="s">
        <v>73</v>
      </c>
      <c r="E63" s="13" t="s">
        <v>161</v>
      </c>
      <c r="F63" s="19">
        <v>-0.54429540244174746</v>
      </c>
    </row>
    <row r="64" spans="1:6">
      <c r="A64" s="13" t="s">
        <v>213</v>
      </c>
      <c r="B64" s="13">
        <v>2025</v>
      </c>
      <c r="C64" s="16">
        <v>45689</v>
      </c>
      <c r="D64" s="13" t="s">
        <v>73</v>
      </c>
      <c r="E64" s="13" t="s">
        <v>163</v>
      </c>
      <c r="F64" s="19">
        <v>-37.981989823820527</v>
      </c>
    </row>
    <row r="65" spans="1:6">
      <c r="A65" s="13" t="s">
        <v>213</v>
      </c>
      <c r="B65" s="13">
        <v>2025</v>
      </c>
      <c r="C65" s="16">
        <v>45689</v>
      </c>
      <c r="D65" s="13" t="s">
        <v>75</v>
      </c>
      <c r="E65" s="13" t="s">
        <v>144</v>
      </c>
      <c r="F65" s="19">
        <v>270.09256941425099</v>
      </c>
    </row>
    <row r="66" spans="1:6">
      <c r="A66" s="13" t="s">
        <v>213</v>
      </c>
      <c r="B66" s="13">
        <v>2025</v>
      </c>
      <c r="C66" s="16">
        <v>45689</v>
      </c>
      <c r="D66" s="13" t="s">
        <v>75</v>
      </c>
      <c r="E66" s="13" t="s">
        <v>58</v>
      </c>
      <c r="F66" s="19">
        <v>-216.27273706823229</v>
      </c>
    </row>
    <row r="67" spans="1:6">
      <c r="A67" s="13" t="s">
        <v>213</v>
      </c>
      <c r="B67" s="13">
        <v>2025</v>
      </c>
      <c r="C67" s="16">
        <v>45689</v>
      </c>
      <c r="D67" s="13" t="s">
        <v>75</v>
      </c>
      <c r="E67" s="13" t="s">
        <v>151</v>
      </c>
      <c r="F67" s="19">
        <v>-32.910493012534289</v>
      </c>
    </row>
    <row r="68" spans="1:6">
      <c r="A68" s="13" t="s">
        <v>213</v>
      </c>
      <c r="B68" s="13">
        <v>2025</v>
      </c>
      <c r="C68" s="16">
        <v>45689</v>
      </c>
      <c r="D68" s="13" t="s">
        <v>75</v>
      </c>
      <c r="E68" s="13" t="s">
        <v>153</v>
      </c>
      <c r="F68" s="19">
        <v>-9.0785873718289505</v>
      </c>
    </row>
    <row r="69" spans="1:6">
      <c r="A69" s="13" t="s">
        <v>213</v>
      </c>
      <c r="B69" s="13">
        <v>2025</v>
      </c>
      <c r="C69" s="16">
        <v>45689</v>
      </c>
      <c r="D69" s="13" t="s">
        <v>75</v>
      </c>
      <c r="E69" s="13" t="s">
        <v>155</v>
      </c>
      <c r="F69" s="19">
        <v>5.1820584920267736</v>
      </c>
    </row>
    <row r="70" spans="1:6">
      <c r="A70" s="13" t="s">
        <v>213</v>
      </c>
      <c r="B70" s="13">
        <v>2025</v>
      </c>
      <c r="C70" s="16">
        <v>45689</v>
      </c>
      <c r="D70" s="13" t="s">
        <v>75</v>
      </c>
      <c r="E70" s="13" t="s">
        <v>157</v>
      </c>
      <c r="F70" s="19">
        <v>-2.5340457306240234</v>
      </c>
    </row>
    <row r="71" spans="1:6">
      <c r="A71" s="13" t="s">
        <v>213</v>
      </c>
      <c r="B71" s="13">
        <v>2025</v>
      </c>
      <c r="C71" s="16">
        <v>45689</v>
      </c>
      <c r="D71" s="13" t="s">
        <v>75</v>
      </c>
      <c r="E71" s="13" t="s">
        <v>159</v>
      </c>
      <c r="F71" s="19">
        <v>2.339365587723255E-2</v>
      </c>
    </row>
    <row r="72" spans="1:6">
      <c r="A72" s="13" t="s">
        <v>213</v>
      </c>
      <c r="B72" s="13">
        <v>2025</v>
      </c>
      <c r="C72" s="16">
        <v>45689</v>
      </c>
      <c r="D72" s="13" t="s">
        <v>75</v>
      </c>
      <c r="E72" s="13" t="s">
        <v>161</v>
      </c>
      <c r="F72" s="19">
        <v>-4.1434252088991166E-2</v>
      </c>
    </row>
    <row r="73" spans="1:6">
      <c r="A73" s="13" t="s">
        <v>213</v>
      </c>
      <c r="B73" s="13">
        <v>2025</v>
      </c>
      <c r="C73" s="16">
        <v>45689</v>
      </c>
      <c r="D73" s="13" t="s">
        <v>75</v>
      </c>
      <c r="E73" s="13" t="s">
        <v>163</v>
      </c>
      <c r="F73" s="19">
        <v>-2.8913625471420472</v>
      </c>
    </row>
    <row r="74" spans="1:6">
      <c r="A74" s="13" t="s">
        <v>213</v>
      </c>
      <c r="B74" s="13">
        <v>2025</v>
      </c>
      <c r="C74" s="16">
        <v>45717</v>
      </c>
      <c r="D74" s="13" t="s">
        <v>67</v>
      </c>
      <c r="E74" s="13" t="s">
        <v>144</v>
      </c>
      <c r="F74" s="19">
        <v>2663.6503484355489</v>
      </c>
    </row>
    <row r="75" spans="1:6">
      <c r="A75" s="13" t="s">
        <v>213</v>
      </c>
      <c r="B75" s="13">
        <v>2025</v>
      </c>
      <c r="C75" s="16">
        <v>45717</v>
      </c>
      <c r="D75" s="13" t="s">
        <v>67</v>
      </c>
      <c r="E75" s="13" t="s">
        <v>58</v>
      </c>
      <c r="F75" s="19">
        <v>-2132.8796741733358</v>
      </c>
    </row>
    <row r="76" spans="1:6">
      <c r="A76" s="13" t="s">
        <v>213</v>
      </c>
      <c r="B76" s="13">
        <v>2025</v>
      </c>
      <c r="C76" s="16">
        <v>45717</v>
      </c>
      <c r="D76" s="13" t="s">
        <v>67</v>
      </c>
      <c r="E76" s="13" t="s">
        <v>151</v>
      </c>
      <c r="F76" s="19">
        <v>-324.56296880041941</v>
      </c>
    </row>
    <row r="77" spans="1:6">
      <c r="A77" s="13" t="s">
        <v>213</v>
      </c>
      <c r="B77" s="13">
        <v>2025</v>
      </c>
      <c r="C77" s="16">
        <v>45717</v>
      </c>
      <c r="D77" s="13" t="s">
        <v>67</v>
      </c>
      <c r="E77" s="13" t="s">
        <v>153</v>
      </c>
      <c r="F77" s="19">
        <v>-89.532942237983775</v>
      </c>
    </row>
    <row r="78" spans="1:6">
      <c r="A78" s="13" t="s">
        <v>213</v>
      </c>
      <c r="B78" s="13">
        <v>2025</v>
      </c>
      <c r="C78" s="16">
        <v>45717</v>
      </c>
      <c r="D78" s="13" t="s">
        <v>67</v>
      </c>
      <c r="E78" s="13" t="s">
        <v>155</v>
      </c>
      <c r="F78" s="19">
        <v>51.105411518115638</v>
      </c>
    </row>
    <row r="79" spans="1:6">
      <c r="A79" s="13" t="s">
        <v>213</v>
      </c>
      <c r="B79" s="13">
        <v>2025</v>
      </c>
      <c r="C79" s="16">
        <v>45717</v>
      </c>
      <c r="D79" s="13" t="s">
        <v>67</v>
      </c>
      <c r="E79" s="13" t="s">
        <v>157</v>
      </c>
      <c r="F79" s="19">
        <v>-24.990734872738603</v>
      </c>
    </row>
    <row r="80" spans="1:6">
      <c r="A80" s="13" t="s">
        <v>213</v>
      </c>
      <c r="B80" s="13">
        <v>2025</v>
      </c>
      <c r="C80" s="16">
        <v>45717</v>
      </c>
      <c r="D80" s="13" t="s">
        <v>67</v>
      </c>
      <c r="E80" s="13" t="s">
        <v>159</v>
      </c>
      <c r="F80" s="19">
        <v>0.23070801156695572</v>
      </c>
    </row>
    <row r="81" spans="1:6">
      <c r="A81" s="13" t="s">
        <v>213</v>
      </c>
      <c r="B81" s="13">
        <v>2025</v>
      </c>
      <c r="C81" s="16">
        <v>45717</v>
      </c>
      <c r="D81" s="13" t="s">
        <v>67</v>
      </c>
      <c r="E81" s="13" t="s">
        <v>161</v>
      </c>
      <c r="F81" s="19">
        <v>-0.40862419967109387</v>
      </c>
    </row>
    <row r="82" spans="1:6">
      <c r="A82" s="13" t="s">
        <v>213</v>
      </c>
      <c r="B82" s="13">
        <v>2025</v>
      </c>
      <c r="C82" s="16">
        <v>45717</v>
      </c>
      <c r="D82" s="13" t="s">
        <v>67</v>
      </c>
      <c r="E82" s="13" t="s">
        <v>163</v>
      </c>
      <c r="F82" s="19">
        <v>-28.514589915786289</v>
      </c>
    </row>
    <row r="83" spans="1:6">
      <c r="A83" s="13" t="s">
        <v>213</v>
      </c>
      <c r="B83" s="13">
        <v>2025</v>
      </c>
      <c r="C83" s="16">
        <v>45717</v>
      </c>
      <c r="D83" s="13" t="s">
        <v>72</v>
      </c>
      <c r="E83" s="13" t="s">
        <v>144</v>
      </c>
      <c r="F83" s="19">
        <v>4701.4253152900865</v>
      </c>
    </row>
    <row r="84" spans="1:6">
      <c r="A84" s="13" t="s">
        <v>213</v>
      </c>
      <c r="B84" s="13">
        <v>2025</v>
      </c>
      <c r="C84" s="16">
        <v>45717</v>
      </c>
      <c r="D84" s="13" t="s">
        <v>72</v>
      </c>
      <c r="E84" s="13" t="s">
        <v>58</v>
      </c>
      <c r="F84" s="19">
        <v>-3764.5986458078946</v>
      </c>
    </row>
    <row r="85" spans="1:6">
      <c r="A85" s="13" t="s">
        <v>213</v>
      </c>
      <c r="B85" s="13">
        <v>2025</v>
      </c>
      <c r="C85" s="16">
        <v>45717</v>
      </c>
      <c r="D85" s="13" t="s">
        <v>72</v>
      </c>
      <c r="E85" s="13" t="s">
        <v>151</v>
      </c>
      <c r="F85" s="19">
        <v>-572.86368641447848</v>
      </c>
    </row>
    <row r="86" spans="1:6">
      <c r="A86" s="13" t="s">
        <v>213</v>
      </c>
      <c r="B86" s="13">
        <v>2025</v>
      </c>
      <c r="C86" s="16">
        <v>45717</v>
      </c>
      <c r="D86" s="13" t="s">
        <v>72</v>
      </c>
      <c r="E86" s="13" t="s">
        <v>153</v>
      </c>
      <c r="F86" s="19">
        <v>-158.02841444159131</v>
      </c>
    </row>
    <row r="87" spans="1:6">
      <c r="A87" s="13" t="s">
        <v>213</v>
      </c>
      <c r="B87" s="13">
        <v>2025</v>
      </c>
      <c r="C87" s="16">
        <v>45717</v>
      </c>
      <c r="D87" s="13" t="s">
        <v>72</v>
      </c>
      <c r="E87" s="13" t="s">
        <v>155</v>
      </c>
      <c r="F87" s="19">
        <v>90.202633240021186</v>
      </c>
    </row>
    <row r="88" spans="1:6">
      <c r="A88" s="13" t="s">
        <v>213</v>
      </c>
      <c r="B88" s="13">
        <v>2025</v>
      </c>
      <c r="C88" s="16">
        <v>45717</v>
      </c>
      <c r="D88" s="13" t="s">
        <v>72</v>
      </c>
      <c r="E88" s="13" t="s">
        <v>157</v>
      </c>
      <c r="F88" s="19">
        <v>-44.109420610480313</v>
      </c>
    </row>
    <row r="89" spans="1:6">
      <c r="A89" s="13" t="s">
        <v>213</v>
      </c>
      <c r="B89" s="13">
        <v>2025</v>
      </c>
      <c r="C89" s="16">
        <v>45717</v>
      </c>
      <c r="D89" s="13" t="s">
        <v>72</v>
      </c>
      <c r="E89" s="13" t="s">
        <v>159</v>
      </c>
      <c r="F89" s="19">
        <v>0.40720678172275088</v>
      </c>
    </row>
    <row r="90" spans="1:6">
      <c r="A90" s="13" t="s">
        <v>213</v>
      </c>
      <c r="B90" s="13">
        <v>2025</v>
      </c>
      <c r="C90" s="16">
        <v>45717</v>
      </c>
      <c r="D90" s="13" t="s">
        <v>72</v>
      </c>
      <c r="E90" s="13" t="s">
        <v>161</v>
      </c>
      <c r="F90" s="19">
        <v>-0.72123436092209625</v>
      </c>
    </row>
    <row r="91" spans="1:6">
      <c r="A91" s="13" t="s">
        <v>213</v>
      </c>
      <c r="B91" s="13">
        <v>2025</v>
      </c>
      <c r="C91" s="16">
        <v>45717</v>
      </c>
      <c r="D91" s="13" t="s">
        <v>72</v>
      </c>
      <c r="E91" s="13" t="s">
        <v>163</v>
      </c>
      <c r="F91" s="19">
        <v>-50.329133838429868</v>
      </c>
    </row>
    <row r="92" spans="1:6">
      <c r="A92" s="13" t="s">
        <v>213</v>
      </c>
      <c r="B92" s="13">
        <v>2025</v>
      </c>
      <c r="C92" s="16">
        <v>45717</v>
      </c>
      <c r="D92" s="13" t="s">
        <v>73</v>
      </c>
      <c r="E92" s="13" t="s">
        <v>144</v>
      </c>
      <c r="F92" s="19">
        <v>3925.0939029429683</v>
      </c>
    </row>
    <row r="93" spans="1:6">
      <c r="A93" s="13" t="s">
        <v>213</v>
      </c>
      <c r="B93" s="13">
        <v>2025</v>
      </c>
      <c r="C93" s="16">
        <v>45717</v>
      </c>
      <c r="D93" s="13" t="s">
        <v>73</v>
      </c>
      <c r="E93" s="13" t="s">
        <v>58</v>
      </c>
      <c r="F93" s="19">
        <v>-3142.9624423962991</v>
      </c>
    </row>
    <row r="94" spans="1:6">
      <c r="A94" s="13" t="s">
        <v>213</v>
      </c>
      <c r="B94" s="13">
        <v>2025</v>
      </c>
      <c r="C94" s="16">
        <v>45717</v>
      </c>
      <c r="D94" s="13" t="s">
        <v>73</v>
      </c>
      <c r="E94" s="13" t="s">
        <v>151</v>
      </c>
      <c r="F94" s="19">
        <v>-478.26852751444005</v>
      </c>
    </row>
    <row r="95" spans="1:6">
      <c r="A95" s="13" t="s">
        <v>213</v>
      </c>
      <c r="B95" s="13">
        <v>2025</v>
      </c>
      <c r="C95" s="16">
        <v>45717</v>
      </c>
      <c r="D95" s="13" t="s">
        <v>73</v>
      </c>
      <c r="E95" s="13" t="s">
        <v>153</v>
      </c>
      <c r="F95" s="19">
        <v>-131.93368487619213</v>
      </c>
    </row>
    <row r="96" spans="1:6">
      <c r="A96" s="13" t="s">
        <v>213</v>
      </c>
      <c r="B96" s="13">
        <v>2025</v>
      </c>
      <c r="C96" s="16">
        <v>45717</v>
      </c>
      <c r="D96" s="13" t="s">
        <v>73</v>
      </c>
      <c r="E96" s="13" t="s">
        <v>155</v>
      </c>
      <c r="F96" s="19">
        <v>75.30775924661522</v>
      </c>
    </row>
    <row r="97" spans="1:6">
      <c r="A97" s="13" t="s">
        <v>213</v>
      </c>
      <c r="B97" s="13">
        <v>2025</v>
      </c>
      <c r="C97" s="16">
        <v>45717</v>
      </c>
      <c r="D97" s="13" t="s">
        <v>73</v>
      </c>
      <c r="E97" s="13" t="s">
        <v>157</v>
      </c>
      <c r="F97" s="19">
        <v>-36.825772247721119</v>
      </c>
    </row>
    <row r="98" spans="1:6">
      <c r="A98" s="13" t="s">
        <v>213</v>
      </c>
      <c r="B98" s="13">
        <v>2025</v>
      </c>
      <c r="C98" s="16">
        <v>45717</v>
      </c>
      <c r="D98" s="13" t="s">
        <v>73</v>
      </c>
      <c r="E98" s="13" t="s">
        <v>159</v>
      </c>
      <c r="F98" s="19">
        <v>0.33996602072543569</v>
      </c>
    </row>
    <row r="99" spans="1:6">
      <c r="A99" s="13" t="s">
        <v>213</v>
      </c>
      <c r="B99" s="13">
        <v>2025</v>
      </c>
      <c r="C99" s="16">
        <v>45717</v>
      </c>
      <c r="D99" s="13" t="s">
        <v>73</v>
      </c>
      <c r="E99" s="13" t="s">
        <v>161</v>
      </c>
      <c r="F99" s="19">
        <v>-0.60213922434150491</v>
      </c>
    </row>
    <row r="100" spans="1:6">
      <c r="A100" s="13" t="s">
        <v>213</v>
      </c>
      <c r="B100" s="13">
        <v>2025</v>
      </c>
      <c r="C100" s="16">
        <v>45717</v>
      </c>
      <c r="D100" s="13" t="s">
        <v>73</v>
      </c>
      <c r="E100" s="13" t="s">
        <v>163</v>
      </c>
      <c r="F100" s="19">
        <v>-42.018444008278948</v>
      </c>
    </row>
    <row r="101" spans="1:6">
      <c r="A101" s="13" t="s">
        <v>213</v>
      </c>
      <c r="B101" s="13">
        <v>2025</v>
      </c>
      <c r="C101" s="16">
        <v>45717</v>
      </c>
      <c r="D101" s="13" t="s">
        <v>75</v>
      </c>
      <c r="E101" s="13" t="s">
        <v>144</v>
      </c>
      <c r="F101" s="19">
        <v>290.91890479030496</v>
      </c>
    </row>
    <row r="102" spans="1:6">
      <c r="A102" s="13" t="s">
        <v>213</v>
      </c>
      <c r="B102" s="13">
        <v>2025</v>
      </c>
      <c r="C102" s="16">
        <v>45717</v>
      </c>
      <c r="D102" s="13" t="s">
        <v>75</v>
      </c>
      <c r="E102" s="13" t="s">
        <v>58</v>
      </c>
      <c r="F102" s="19">
        <v>-232.9491253326274</v>
      </c>
    </row>
    <row r="103" spans="1:6">
      <c r="A103" s="13" t="s">
        <v>213</v>
      </c>
      <c r="B103" s="13">
        <v>2025</v>
      </c>
      <c r="C103" s="16">
        <v>45717</v>
      </c>
      <c r="D103" s="13" t="s">
        <v>75</v>
      </c>
      <c r="E103" s="13" t="s">
        <v>151</v>
      </c>
      <c r="F103" s="19">
        <v>-35.448159881181418</v>
      </c>
    </row>
    <row r="104" spans="1:6">
      <c r="A104" s="13" t="s">
        <v>213</v>
      </c>
      <c r="B104" s="13">
        <v>2025</v>
      </c>
      <c r="C104" s="16">
        <v>45717</v>
      </c>
      <c r="D104" s="13" t="s">
        <v>75</v>
      </c>
      <c r="E104" s="13" t="s">
        <v>153</v>
      </c>
      <c r="F104" s="19">
        <v>-9.7786203485100991</v>
      </c>
    </row>
    <row r="105" spans="1:6">
      <c r="A105" s="13" t="s">
        <v>213</v>
      </c>
      <c r="B105" s="13">
        <v>2025</v>
      </c>
      <c r="C105" s="16">
        <v>45717</v>
      </c>
      <c r="D105" s="13" t="s">
        <v>75</v>
      </c>
      <c r="E105" s="13" t="s">
        <v>155</v>
      </c>
      <c r="F105" s="19">
        <v>5.581637378359452</v>
      </c>
    </row>
    <row r="106" spans="1:6">
      <c r="A106" s="13" t="s">
        <v>213</v>
      </c>
      <c r="B106" s="13">
        <v>2025</v>
      </c>
      <c r="C106" s="16">
        <v>45717</v>
      </c>
      <c r="D106" s="13" t="s">
        <v>75</v>
      </c>
      <c r="E106" s="13" t="s">
        <v>157</v>
      </c>
      <c r="F106" s="19">
        <v>-2.7294412809669533</v>
      </c>
    </row>
    <row r="107" spans="1:6">
      <c r="A107" s="13" t="s">
        <v>213</v>
      </c>
      <c r="B107" s="13">
        <v>2025</v>
      </c>
      <c r="C107" s="16">
        <v>45717</v>
      </c>
      <c r="D107" s="13" t="s">
        <v>75</v>
      </c>
      <c r="E107" s="13" t="s">
        <v>159</v>
      </c>
      <c r="F107" s="19">
        <v>2.5197497145534892E-2</v>
      </c>
    </row>
    <row r="108" spans="1:6">
      <c r="A108" s="13" t="s">
        <v>213</v>
      </c>
      <c r="B108" s="13">
        <v>2025</v>
      </c>
      <c r="C108" s="16">
        <v>45717</v>
      </c>
      <c r="D108" s="13" t="s">
        <v>75</v>
      </c>
      <c r="E108" s="13" t="s">
        <v>161</v>
      </c>
      <c r="F108" s="19">
        <v>-4.4629170157017672E-2</v>
      </c>
    </row>
    <row r="109" spans="1:6">
      <c r="A109" s="13" t="s">
        <v>213</v>
      </c>
      <c r="B109" s="13">
        <v>2025</v>
      </c>
      <c r="C109" s="16">
        <v>45717</v>
      </c>
      <c r="D109" s="13" t="s">
        <v>75</v>
      </c>
      <c r="E109" s="13" t="s">
        <v>163</v>
      </c>
      <c r="F109" s="19">
        <v>-3.1143101322279061</v>
      </c>
    </row>
    <row r="110" spans="1:6">
      <c r="A110" s="13" t="s">
        <v>213</v>
      </c>
      <c r="B110" s="13">
        <v>2025</v>
      </c>
      <c r="C110" s="16">
        <v>45748</v>
      </c>
      <c r="D110" s="13" t="s">
        <v>67</v>
      </c>
      <c r="E110" s="13" t="s">
        <v>144</v>
      </c>
      <c r="F110" s="19">
        <v>2645.8813784837735</v>
      </c>
    </row>
    <row r="111" spans="1:6">
      <c r="A111" s="13" t="s">
        <v>213</v>
      </c>
      <c r="B111" s="13">
        <v>2025</v>
      </c>
      <c r="C111" s="16">
        <v>45748</v>
      </c>
      <c r="D111" s="13" t="s">
        <v>67</v>
      </c>
      <c r="E111" s="13" t="s">
        <v>58</v>
      </c>
      <c r="F111" s="19">
        <v>-2113.5607825516081</v>
      </c>
    </row>
    <row r="112" spans="1:6">
      <c r="A112" s="13" t="s">
        <v>213</v>
      </c>
      <c r="B112" s="13">
        <v>2025</v>
      </c>
      <c r="C112" s="16">
        <v>45748</v>
      </c>
      <c r="D112" s="13" t="s">
        <v>67</v>
      </c>
      <c r="E112" s="13" t="s">
        <v>151</v>
      </c>
      <c r="F112" s="19">
        <v>-330.79053209362041</v>
      </c>
    </row>
    <row r="113" spans="1:6">
      <c r="A113" s="13" t="s">
        <v>213</v>
      </c>
      <c r="B113" s="13">
        <v>2025</v>
      </c>
      <c r="C113" s="16">
        <v>45748</v>
      </c>
      <c r="D113" s="13" t="s">
        <v>67</v>
      </c>
      <c r="E113" s="13" t="s">
        <v>153</v>
      </c>
      <c r="F113" s="19">
        <v>-84.515379856356773</v>
      </c>
    </row>
    <row r="114" spans="1:6">
      <c r="A114" s="13" t="s">
        <v>213</v>
      </c>
      <c r="B114" s="13">
        <v>2025</v>
      </c>
      <c r="C114" s="16">
        <v>45748</v>
      </c>
      <c r="D114" s="13" t="s">
        <v>67</v>
      </c>
      <c r="E114" s="13" t="s">
        <v>155</v>
      </c>
      <c r="F114" s="19">
        <v>54.073381714086565</v>
      </c>
    </row>
    <row r="115" spans="1:6">
      <c r="A115" s="13" t="s">
        <v>213</v>
      </c>
      <c r="B115" s="13">
        <v>2025</v>
      </c>
      <c r="C115" s="16">
        <v>45748</v>
      </c>
      <c r="D115" s="13" t="s">
        <v>67</v>
      </c>
      <c r="E115" s="13" t="s">
        <v>157</v>
      </c>
      <c r="F115" s="19">
        <v>-28.305360748633611</v>
      </c>
    </row>
    <row r="116" spans="1:6">
      <c r="A116" s="13" t="s">
        <v>213</v>
      </c>
      <c r="B116" s="13">
        <v>2025</v>
      </c>
      <c r="C116" s="16">
        <v>45748</v>
      </c>
      <c r="D116" s="13" t="s">
        <v>67</v>
      </c>
      <c r="E116" s="13" t="s">
        <v>159</v>
      </c>
      <c r="F116" s="19">
        <v>0.78220468574207846</v>
      </c>
    </row>
    <row r="117" spans="1:6">
      <c r="A117" s="13" t="s">
        <v>213</v>
      </c>
      <c r="B117" s="13">
        <v>2025</v>
      </c>
      <c r="C117" s="16">
        <v>45748</v>
      </c>
      <c r="D117" s="13" t="s">
        <v>67</v>
      </c>
      <c r="E117" s="13" t="s">
        <v>161</v>
      </c>
      <c r="F117" s="19">
        <v>-0.91755012848858841</v>
      </c>
    </row>
    <row r="118" spans="1:6">
      <c r="A118" s="13" t="s">
        <v>213</v>
      </c>
      <c r="B118" s="13">
        <v>2025</v>
      </c>
      <c r="C118" s="16">
        <v>45748</v>
      </c>
      <c r="D118" s="13" t="s">
        <v>67</v>
      </c>
      <c r="E118" s="13" t="s">
        <v>163</v>
      </c>
      <c r="F118" s="19">
        <v>-26.070297068982978</v>
      </c>
    </row>
    <row r="119" spans="1:6">
      <c r="A119" s="13" t="s">
        <v>213</v>
      </c>
      <c r="B119" s="13">
        <v>2025</v>
      </c>
      <c r="C119" s="16">
        <v>45748</v>
      </c>
      <c r="D119" s="13" t="s">
        <v>72</v>
      </c>
      <c r="E119" s="13" t="s">
        <v>144</v>
      </c>
      <c r="F119" s="19">
        <v>5698.8313684422956</v>
      </c>
    </row>
    <row r="120" spans="1:6">
      <c r="A120" s="13" t="s">
        <v>213</v>
      </c>
      <c r="B120" s="13">
        <v>2025</v>
      </c>
      <c r="C120" s="16">
        <v>45748</v>
      </c>
      <c r="D120" s="13" t="s">
        <v>72</v>
      </c>
      <c r="E120" s="13" t="s">
        <v>58</v>
      </c>
      <c r="F120" s="19">
        <v>-4552.2927008983515</v>
      </c>
    </row>
    <row r="121" spans="1:6">
      <c r="A121" s="13" t="s">
        <v>213</v>
      </c>
      <c r="B121" s="13">
        <v>2025</v>
      </c>
      <c r="C121" s="16">
        <v>45748</v>
      </c>
      <c r="D121" s="13" t="s">
        <v>72</v>
      </c>
      <c r="E121" s="13" t="s">
        <v>151</v>
      </c>
      <c r="F121" s="19">
        <v>-712.47315771922945</v>
      </c>
    </row>
    <row r="122" spans="1:6">
      <c r="A122" s="13" t="s">
        <v>213</v>
      </c>
      <c r="B122" s="13">
        <v>2025</v>
      </c>
      <c r="C122" s="16">
        <v>45748</v>
      </c>
      <c r="D122" s="13" t="s">
        <v>72</v>
      </c>
      <c r="E122" s="13" t="s">
        <v>153</v>
      </c>
      <c r="F122" s="19">
        <v>-182.03344328203633</v>
      </c>
    </row>
    <row r="123" spans="1:6">
      <c r="A123" s="13" t="s">
        <v>213</v>
      </c>
      <c r="B123" s="13">
        <v>2025</v>
      </c>
      <c r="C123" s="16">
        <v>45748</v>
      </c>
      <c r="D123" s="13" t="s">
        <v>72</v>
      </c>
      <c r="E123" s="13" t="s">
        <v>155</v>
      </c>
      <c r="F123" s="19">
        <v>116.4659483285601</v>
      </c>
    </row>
    <row r="124" spans="1:6">
      <c r="A124" s="13" t="s">
        <v>213</v>
      </c>
      <c r="B124" s="13">
        <v>2025</v>
      </c>
      <c r="C124" s="16">
        <v>45748</v>
      </c>
      <c r="D124" s="13" t="s">
        <v>72</v>
      </c>
      <c r="E124" s="13" t="s">
        <v>157</v>
      </c>
      <c r="F124" s="19">
        <v>-60.965498695873521</v>
      </c>
    </row>
    <row r="125" spans="1:6">
      <c r="A125" s="13" t="s">
        <v>213</v>
      </c>
      <c r="B125" s="13">
        <v>2025</v>
      </c>
      <c r="C125" s="16">
        <v>45748</v>
      </c>
      <c r="D125" s="13" t="s">
        <v>72</v>
      </c>
      <c r="E125" s="13" t="s">
        <v>159</v>
      </c>
      <c r="F125" s="19">
        <v>1.6847514918465356</v>
      </c>
    </row>
    <row r="126" spans="1:6">
      <c r="A126" s="13" t="s">
        <v>213</v>
      </c>
      <c r="B126" s="13">
        <v>2025</v>
      </c>
      <c r="C126" s="16">
        <v>45748</v>
      </c>
      <c r="D126" s="13" t="s">
        <v>72</v>
      </c>
      <c r="E126" s="13" t="s">
        <v>161</v>
      </c>
      <c r="F126" s="19">
        <v>-1.9762652615006848</v>
      </c>
    </row>
    <row r="127" spans="1:6">
      <c r="A127" s="13" t="s">
        <v>213</v>
      </c>
      <c r="B127" s="13">
        <v>2025</v>
      </c>
      <c r="C127" s="16">
        <v>45748</v>
      </c>
      <c r="D127" s="13" t="s">
        <v>72</v>
      </c>
      <c r="E127" s="13" t="s">
        <v>163</v>
      </c>
      <c r="F127" s="19">
        <v>-56.151506991015538</v>
      </c>
    </row>
    <row r="128" spans="1:6">
      <c r="A128" s="13" t="s">
        <v>213</v>
      </c>
      <c r="B128" s="13">
        <v>2025</v>
      </c>
      <c r="C128" s="16">
        <v>45748</v>
      </c>
      <c r="D128" s="13" t="s">
        <v>73</v>
      </c>
      <c r="E128" s="13" t="s">
        <v>144</v>
      </c>
      <c r="F128" s="19">
        <v>3977.7428394975359</v>
      </c>
    </row>
    <row r="129" spans="1:6">
      <c r="A129" s="13" t="s">
        <v>213</v>
      </c>
      <c r="B129" s="13">
        <v>2025</v>
      </c>
      <c r="C129" s="16">
        <v>45748</v>
      </c>
      <c r="D129" s="13" t="s">
        <v>73</v>
      </c>
      <c r="E129" s="13" t="s">
        <v>58</v>
      </c>
      <c r="F129" s="19">
        <v>-3177.4671899521163</v>
      </c>
    </row>
    <row r="130" spans="1:6">
      <c r="A130" s="13" t="s">
        <v>213</v>
      </c>
      <c r="B130" s="13">
        <v>2025</v>
      </c>
      <c r="C130" s="16">
        <v>45748</v>
      </c>
      <c r="D130" s="13" t="s">
        <v>73</v>
      </c>
      <c r="E130" s="13" t="s">
        <v>151</v>
      </c>
      <c r="F130" s="19">
        <v>-497.30108126124662</v>
      </c>
    </row>
    <row r="131" spans="1:6">
      <c r="A131" s="13" t="s">
        <v>213</v>
      </c>
      <c r="B131" s="13">
        <v>2025</v>
      </c>
      <c r="C131" s="16">
        <v>45748</v>
      </c>
      <c r="D131" s="13" t="s">
        <v>73</v>
      </c>
      <c r="E131" s="13" t="s">
        <v>153</v>
      </c>
      <c r="F131" s="19">
        <v>-127.05801922370615</v>
      </c>
    </row>
    <row r="132" spans="1:6">
      <c r="A132" s="13" t="s">
        <v>213</v>
      </c>
      <c r="B132" s="13">
        <v>2025</v>
      </c>
      <c r="C132" s="16">
        <v>45748</v>
      </c>
      <c r="D132" s="13" t="s">
        <v>73</v>
      </c>
      <c r="E132" s="13" t="s">
        <v>155</v>
      </c>
      <c r="F132" s="19">
        <v>81.292384711472778</v>
      </c>
    </row>
    <row r="133" spans="1:6">
      <c r="A133" s="13" t="s">
        <v>213</v>
      </c>
      <c r="B133" s="13">
        <v>2025</v>
      </c>
      <c r="C133" s="16">
        <v>45748</v>
      </c>
      <c r="D133" s="13" t="s">
        <v>73</v>
      </c>
      <c r="E133" s="13" t="s">
        <v>157</v>
      </c>
      <c r="F133" s="19">
        <v>-42.553474601266011</v>
      </c>
    </row>
    <row r="134" spans="1:6">
      <c r="A134" s="13" t="s">
        <v>213</v>
      </c>
      <c r="B134" s="13">
        <v>2025</v>
      </c>
      <c r="C134" s="16">
        <v>45748</v>
      </c>
      <c r="D134" s="13" t="s">
        <v>73</v>
      </c>
      <c r="E134" s="13" t="s">
        <v>159</v>
      </c>
      <c r="F134" s="19">
        <v>1.175944285724166</v>
      </c>
    </row>
    <row r="135" spans="1:6">
      <c r="A135" s="13" t="s">
        <v>213</v>
      </c>
      <c r="B135" s="13">
        <v>2025</v>
      </c>
      <c r="C135" s="16">
        <v>45748</v>
      </c>
      <c r="D135" s="13" t="s">
        <v>73</v>
      </c>
      <c r="E135" s="13" t="s">
        <v>161</v>
      </c>
      <c r="F135" s="19">
        <v>-1.3794187763500712</v>
      </c>
    </row>
    <row r="136" spans="1:6">
      <c r="A136" s="13" t="s">
        <v>213</v>
      </c>
      <c r="B136" s="13">
        <v>2025</v>
      </c>
      <c r="C136" s="16">
        <v>45748</v>
      </c>
      <c r="D136" s="13" t="s">
        <v>73</v>
      </c>
      <c r="E136" s="13" t="s">
        <v>163</v>
      </c>
      <c r="F136" s="19">
        <v>-39.193343410257725</v>
      </c>
    </row>
    <row r="137" spans="1:6">
      <c r="A137" s="13" t="s">
        <v>213</v>
      </c>
      <c r="B137" s="13">
        <v>2025</v>
      </c>
      <c r="C137" s="16">
        <v>45748</v>
      </c>
      <c r="D137" s="13" t="s">
        <v>75</v>
      </c>
      <c r="E137" s="13" t="s">
        <v>144</v>
      </c>
      <c r="F137" s="19">
        <v>240.23440587391198</v>
      </c>
    </row>
    <row r="138" spans="1:6">
      <c r="A138" s="13" t="s">
        <v>213</v>
      </c>
      <c r="B138" s="13">
        <v>2025</v>
      </c>
      <c r="C138" s="16">
        <v>45748</v>
      </c>
      <c r="D138" s="13" t="s">
        <v>75</v>
      </c>
      <c r="E138" s="13" t="s">
        <v>58</v>
      </c>
      <c r="F138" s="19">
        <v>-191.90203423467648</v>
      </c>
    </row>
    <row r="139" spans="1:6">
      <c r="A139" s="13" t="s">
        <v>213</v>
      </c>
      <c r="B139" s="13">
        <v>2025</v>
      </c>
      <c r="C139" s="16">
        <v>45748</v>
      </c>
      <c r="D139" s="13" t="s">
        <v>75</v>
      </c>
      <c r="E139" s="13" t="s">
        <v>151</v>
      </c>
      <c r="F139" s="19">
        <v>-30.034327159354721</v>
      </c>
    </row>
    <row r="140" spans="1:6">
      <c r="A140" s="13" t="s">
        <v>213</v>
      </c>
      <c r="B140" s="13">
        <v>2025</v>
      </c>
      <c r="C140" s="16">
        <v>45748</v>
      </c>
      <c r="D140" s="13" t="s">
        <v>75</v>
      </c>
      <c r="E140" s="13" t="s">
        <v>153</v>
      </c>
      <c r="F140" s="19">
        <v>-7.6736252169531545</v>
      </c>
    </row>
    <row r="141" spans="1:6">
      <c r="A141" s="13" t="s">
        <v>213</v>
      </c>
      <c r="B141" s="13">
        <v>2025</v>
      </c>
      <c r="C141" s="16">
        <v>45748</v>
      </c>
      <c r="D141" s="13" t="s">
        <v>75</v>
      </c>
      <c r="E141" s="13" t="s">
        <v>155</v>
      </c>
      <c r="F141" s="19">
        <v>4.9096255165909763</v>
      </c>
    </row>
    <row r="142" spans="1:6">
      <c r="A142" s="13" t="s">
        <v>213</v>
      </c>
      <c r="B142" s="13">
        <v>2025</v>
      </c>
      <c r="C142" s="16">
        <v>45748</v>
      </c>
      <c r="D142" s="13" t="s">
        <v>75</v>
      </c>
      <c r="E142" s="13" t="s">
        <v>157</v>
      </c>
      <c r="F142" s="19">
        <v>-2.5700024112159743</v>
      </c>
    </row>
    <row r="143" spans="1:6">
      <c r="A143" s="13" t="s">
        <v>213</v>
      </c>
      <c r="B143" s="13">
        <v>2025</v>
      </c>
      <c r="C143" s="16">
        <v>45748</v>
      </c>
      <c r="D143" s="13" t="s">
        <v>75</v>
      </c>
      <c r="E143" s="13" t="s">
        <v>159</v>
      </c>
      <c r="F143" s="19">
        <v>7.1020749259258859E-2</v>
      </c>
    </row>
    <row r="144" spans="1:6">
      <c r="A144" s="13" t="s">
        <v>213</v>
      </c>
      <c r="B144" s="13">
        <v>2025</v>
      </c>
      <c r="C144" s="16">
        <v>45748</v>
      </c>
      <c r="D144" s="13" t="s">
        <v>75</v>
      </c>
      <c r="E144" s="13" t="s">
        <v>161</v>
      </c>
      <c r="F144" s="19">
        <v>-8.3309520891410388E-2</v>
      </c>
    </row>
    <row r="145" spans="1:6">
      <c r="A145" s="13" t="s">
        <v>213</v>
      </c>
      <c r="B145" s="13">
        <v>2025</v>
      </c>
      <c r="C145" s="16">
        <v>45748</v>
      </c>
      <c r="D145" s="13" t="s">
        <v>75</v>
      </c>
      <c r="E145" s="13" t="s">
        <v>163</v>
      </c>
      <c r="F145" s="19">
        <v>-2.3670684476839723</v>
      </c>
    </row>
    <row r="146" spans="1:6">
      <c r="A146" s="13" t="s">
        <v>213</v>
      </c>
      <c r="B146" s="13">
        <v>2025</v>
      </c>
      <c r="C146" s="16">
        <v>45778</v>
      </c>
      <c r="D146" s="13" t="s">
        <v>67</v>
      </c>
      <c r="E146" s="13" t="s">
        <v>144</v>
      </c>
      <c r="F146" s="19">
        <v>2715.2315533798705</v>
      </c>
    </row>
    <row r="147" spans="1:6">
      <c r="A147" s="13" t="s">
        <v>213</v>
      </c>
      <c r="B147" s="13">
        <v>2025</v>
      </c>
      <c r="C147" s="16">
        <v>45778</v>
      </c>
      <c r="D147" s="13" t="s">
        <v>67</v>
      </c>
      <c r="E147" s="13" t="s">
        <v>58</v>
      </c>
      <c r="F147" s="19">
        <v>-2168.9585079052226</v>
      </c>
    </row>
    <row r="148" spans="1:6">
      <c r="A148" s="13" t="s">
        <v>213</v>
      </c>
      <c r="B148" s="13">
        <v>2025</v>
      </c>
      <c r="C148" s="16">
        <v>45778</v>
      </c>
      <c r="D148" s="13" t="s">
        <v>67</v>
      </c>
      <c r="E148" s="13" t="s">
        <v>151</v>
      </c>
      <c r="F148" s="19">
        <v>-339.4607549695271</v>
      </c>
    </row>
    <row r="149" spans="1:6">
      <c r="A149" s="13" t="s">
        <v>213</v>
      </c>
      <c r="B149" s="13">
        <v>2025</v>
      </c>
      <c r="C149" s="16">
        <v>45778</v>
      </c>
      <c r="D149" s="13" t="s">
        <v>67</v>
      </c>
      <c r="E149" s="13" t="s">
        <v>153</v>
      </c>
      <c r="F149" s="19">
        <v>-86.730579835505949</v>
      </c>
    </row>
    <row r="150" spans="1:6">
      <c r="A150" s="13" t="s">
        <v>213</v>
      </c>
      <c r="B150" s="13">
        <v>2025</v>
      </c>
      <c r="C150" s="16">
        <v>45778</v>
      </c>
      <c r="D150" s="13" t="s">
        <v>67</v>
      </c>
      <c r="E150" s="13" t="s">
        <v>155</v>
      </c>
      <c r="F150" s="19">
        <v>55.490678237502244</v>
      </c>
    </row>
    <row r="151" spans="1:6">
      <c r="A151" s="13" t="s">
        <v>213</v>
      </c>
      <c r="B151" s="13">
        <v>2025</v>
      </c>
      <c r="C151" s="16">
        <v>45778</v>
      </c>
      <c r="D151" s="13" t="s">
        <v>67</v>
      </c>
      <c r="E151" s="13" t="s">
        <v>157</v>
      </c>
      <c r="F151" s="19">
        <v>-29.047261626873194</v>
      </c>
    </row>
    <row r="152" spans="1:6">
      <c r="A152" s="13" t="s">
        <v>213</v>
      </c>
      <c r="B152" s="13">
        <v>2025</v>
      </c>
      <c r="C152" s="16">
        <v>45778</v>
      </c>
      <c r="D152" s="13" t="s">
        <v>67</v>
      </c>
      <c r="E152" s="13" t="s">
        <v>159</v>
      </c>
      <c r="F152" s="19">
        <v>0.80270675065016062</v>
      </c>
    </row>
    <row r="153" spans="1:6">
      <c r="A153" s="13" t="s">
        <v>213</v>
      </c>
      <c r="B153" s="13">
        <v>2025</v>
      </c>
      <c r="C153" s="16">
        <v>45778</v>
      </c>
      <c r="D153" s="13" t="s">
        <v>67</v>
      </c>
      <c r="E153" s="13" t="s">
        <v>161</v>
      </c>
      <c r="F153" s="19">
        <v>-0.94159968052220411</v>
      </c>
    </row>
    <row r="154" spans="1:6">
      <c r="A154" s="13" t="s">
        <v>213</v>
      </c>
      <c r="B154" s="13">
        <v>2025</v>
      </c>
      <c r="C154" s="16">
        <v>45778</v>
      </c>
      <c r="D154" s="13" t="s">
        <v>67</v>
      </c>
      <c r="E154" s="13" t="s">
        <v>163</v>
      </c>
      <c r="F154" s="19">
        <v>-26.753615556360987</v>
      </c>
    </row>
    <row r="155" spans="1:6">
      <c r="A155" s="13" t="s">
        <v>213</v>
      </c>
      <c r="B155" s="13">
        <v>2025</v>
      </c>
      <c r="C155" s="16">
        <v>45778</v>
      </c>
      <c r="D155" s="13" t="s">
        <v>72</v>
      </c>
      <c r="E155" s="13" t="s">
        <v>144</v>
      </c>
      <c r="F155" s="19">
        <v>5674.0004265043954</v>
      </c>
    </row>
    <row r="156" spans="1:6">
      <c r="A156" s="13" t="s">
        <v>213</v>
      </c>
      <c r="B156" s="13">
        <v>2025</v>
      </c>
      <c r="C156" s="16">
        <v>45778</v>
      </c>
      <c r="D156" s="13" t="s">
        <v>72</v>
      </c>
      <c r="E156" s="13" t="s">
        <v>58</v>
      </c>
      <c r="F156" s="19">
        <v>-4532.4574560152878</v>
      </c>
    </row>
    <row r="157" spans="1:6">
      <c r="A157" s="13" t="s">
        <v>213</v>
      </c>
      <c r="B157" s="13">
        <v>2025</v>
      </c>
      <c r="C157" s="16">
        <v>45778</v>
      </c>
      <c r="D157" s="13" t="s">
        <v>72</v>
      </c>
      <c r="E157" s="13" t="s">
        <v>151</v>
      </c>
      <c r="F157" s="19">
        <v>-709.36877043912739</v>
      </c>
    </row>
    <row r="158" spans="1:6">
      <c r="A158" s="13" t="s">
        <v>213</v>
      </c>
      <c r="B158" s="13">
        <v>2025</v>
      </c>
      <c r="C158" s="16">
        <v>45778</v>
      </c>
      <c r="D158" s="13" t="s">
        <v>72</v>
      </c>
      <c r="E158" s="13" t="s">
        <v>153</v>
      </c>
      <c r="F158" s="19">
        <v>-181.2402873578371</v>
      </c>
    </row>
    <row r="159" spans="1:6">
      <c r="A159" s="13" t="s">
        <v>213</v>
      </c>
      <c r="B159" s="13">
        <v>2025</v>
      </c>
      <c r="C159" s="16">
        <v>45778</v>
      </c>
      <c r="D159" s="13" t="s">
        <v>72</v>
      </c>
      <c r="E159" s="13" t="s">
        <v>155</v>
      </c>
      <c r="F159" s="19">
        <v>115.95848302318127</v>
      </c>
    </row>
    <row r="160" spans="1:6">
      <c r="A160" s="13" t="s">
        <v>213</v>
      </c>
      <c r="B160" s="13">
        <v>2025</v>
      </c>
      <c r="C160" s="16">
        <v>45778</v>
      </c>
      <c r="D160" s="13" t="s">
        <v>72</v>
      </c>
      <c r="E160" s="13" t="s">
        <v>157</v>
      </c>
      <c r="F160" s="19">
        <v>-60.699859890220246</v>
      </c>
    </row>
    <row r="161" spans="1:6">
      <c r="A161" s="13" t="s">
        <v>213</v>
      </c>
      <c r="B161" s="13">
        <v>2025</v>
      </c>
      <c r="C161" s="16">
        <v>45778</v>
      </c>
      <c r="D161" s="13" t="s">
        <v>72</v>
      </c>
      <c r="E161" s="13" t="s">
        <v>159</v>
      </c>
      <c r="F161" s="19">
        <v>1.6774106944498111</v>
      </c>
    </row>
    <row r="162" spans="1:6">
      <c r="A162" s="13" t="s">
        <v>213</v>
      </c>
      <c r="B162" s="13">
        <v>2025</v>
      </c>
      <c r="C162" s="16">
        <v>45778</v>
      </c>
      <c r="D162" s="13" t="s">
        <v>72</v>
      </c>
      <c r="E162" s="13" t="s">
        <v>161</v>
      </c>
      <c r="F162" s="19">
        <v>-1.9676542806188926</v>
      </c>
    </row>
    <row r="163" spans="1:6">
      <c r="A163" s="13" t="s">
        <v>213</v>
      </c>
      <c r="B163" s="13">
        <v>2025</v>
      </c>
      <c r="C163" s="16">
        <v>45778</v>
      </c>
      <c r="D163" s="13" t="s">
        <v>72</v>
      </c>
      <c r="E163" s="13" t="s">
        <v>163</v>
      </c>
      <c r="F163" s="19">
        <v>-55.906843704865231</v>
      </c>
    </row>
    <row r="164" spans="1:6">
      <c r="A164" s="13" t="s">
        <v>213</v>
      </c>
      <c r="B164" s="13">
        <v>2025</v>
      </c>
      <c r="C164" s="16">
        <v>45778</v>
      </c>
      <c r="D164" s="13" t="s">
        <v>73</v>
      </c>
      <c r="E164" s="13" t="s">
        <v>144</v>
      </c>
      <c r="F164" s="19">
        <v>3884.7314629306779</v>
      </c>
    </row>
    <row r="165" spans="1:6">
      <c r="A165" s="13" t="s">
        <v>213</v>
      </c>
      <c r="B165" s="13">
        <v>2025</v>
      </c>
      <c r="C165" s="16">
        <v>45778</v>
      </c>
      <c r="D165" s="13" t="s">
        <v>73</v>
      </c>
      <c r="E165" s="13" t="s">
        <v>58</v>
      </c>
      <c r="F165" s="19">
        <v>-3103.1686218297978</v>
      </c>
    </row>
    <row r="166" spans="1:6">
      <c r="A166" s="13" t="s">
        <v>213</v>
      </c>
      <c r="B166" s="13">
        <v>2025</v>
      </c>
      <c r="C166" s="16">
        <v>45778</v>
      </c>
      <c r="D166" s="13" t="s">
        <v>73</v>
      </c>
      <c r="E166" s="13" t="s">
        <v>151</v>
      </c>
      <c r="F166" s="19">
        <v>-485.67271311310907</v>
      </c>
    </row>
    <row r="167" spans="1:6">
      <c r="A167" s="13" t="s">
        <v>213</v>
      </c>
      <c r="B167" s="13">
        <v>2025</v>
      </c>
      <c r="C167" s="16">
        <v>45778</v>
      </c>
      <c r="D167" s="13" t="s">
        <v>73</v>
      </c>
      <c r="E167" s="13" t="s">
        <v>153</v>
      </c>
      <c r="F167" s="19">
        <v>-124.08702744552774</v>
      </c>
    </row>
    <row r="168" spans="1:6">
      <c r="A168" s="13" t="s">
        <v>213</v>
      </c>
      <c r="B168" s="13">
        <v>2025</v>
      </c>
      <c r="C168" s="16">
        <v>45778</v>
      </c>
      <c r="D168" s="13" t="s">
        <v>73</v>
      </c>
      <c r="E168" s="13" t="s">
        <v>155</v>
      </c>
      <c r="F168" s="19">
        <v>79.391528645228988</v>
      </c>
    </row>
    <row r="169" spans="1:6">
      <c r="A169" s="13" t="s">
        <v>213</v>
      </c>
      <c r="B169" s="13">
        <v>2025</v>
      </c>
      <c r="C169" s="16">
        <v>45778</v>
      </c>
      <c r="D169" s="13" t="s">
        <v>73</v>
      </c>
      <c r="E169" s="13" t="s">
        <v>157</v>
      </c>
      <c r="F169" s="19">
        <v>-41.558448675742241</v>
      </c>
    </row>
    <row r="170" spans="1:6">
      <c r="A170" s="13" t="s">
        <v>213</v>
      </c>
      <c r="B170" s="13">
        <v>2025</v>
      </c>
      <c r="C170" s="16">
        <v>45778</v>
      </c>
      <c r="D170" s="13" t="s">
        <v>73</v>
      </c>
      <c r="E170" s="13" t="s">
        <v>159</v>
      </c>
      <c r="F170" s="19">
        <v>1.1484472349608363</v>
      </c>
    </row>
    <row r="171" spans="1:6">
      <c r="A171" s="13" t="s">
        <v>213</v>
      </c>
      <c r="B171" s="13">
        <v>2025</v>
      </c>
      <c r="C171" s="16">
        <v>45778</v>
      </c>
      <c r="D171" s="13" t="s">
        <v>73</v>
      </c>
      <c r="E171" s="13" t="s">
        <v>161</v>
      </c>
      <c r="F171" s="19">
        <v>-1.3471638909973775</v>
      </c>
    </row>
    <row r="172" spans="1:6">
      <c r="A172" s="13" t="s">
        <v>213</v>
      </c>
      <c r="B172" s="13">
        <v>2025</v>
      </c>
      <c r="C172" s="16">
        <v>45778</v>
      </c>
      <c r="D172" s="13" t="s">
        <v>73</v>
      </c>
      <c r="E172" s="13" t="s">
        <v>163</v>
      </c>
      <c r="F172" s="19">
        <v>-38.276887276731969</v>
      </c>
    </row>
    <row r="173" spans="1:6">
      <c r="A173" s="13" t="s">
        <v>213</v>
      </c>
      <c r="B173" s="13">
        <v>2025</v>
      </c>
      <c r="C173" s="16">
        <v>45778</v>
      </c>
      <c r="D173" s="13" t="s">
        <v>75</v>
      </c>
      <c r="E173" s="13" t="s">
        <v>144</v>
      </c>
      <c r="F173" s="19">
        <v>338.80104721972839</v>
      </c>
    </row>
    <row r="174" spans="1:6">
      <c r="A174" s="13" t="s">
        <v>213</v>
      </c>
      <c r="B174" s="13">
        <v>2025</v>
      </c>
      <c r="C174" s="16">
        <v>45778</v>
      </c>
      <c r="D174" s="13" t="s">
        <v>75</v>
      </c>
      <c r="E174" s="13" t="s">
        <v>58</v>
      </c>
      <c r="F174" s="19">
        <v>-270.63821239838887</v>
      </c>
    </row>
    <row r="175" spans="1:6">
      <c r="A175" s="13" t="s">
        <v>213</v>
      </c>
      <c r="B175" s="13">
        <v>2025</v>
      </c>
      <c r="C175" s="16">
        <v>45778</v>
      </c>
      <c r="D175" s="13" t="s">
        <v>75</v>
      </c>
      <c r="E175" s="13" t="s">
        <v>151</v>
      </c>
      <c r="F175" s="19">
        <v>-42.357219637681901</v>
      </c>
    </row>
    <row r="176" spans="1:6">
      <c r="A176" s="13" t="s">
        <v>213</v>
      </c>
      <c r="B176" s="13">
        <v>2025</v>
      </c>
      <c r="C176" s="16">
        <v>45778</v>
      </c>
      <c r="D176" s="13" t="s">
        <v>75</v>
      </c>
      <c r="E176" s="13" t="s">
        <v>153</v>
      </c>
      <c r="F176" s="19">
        <v>-10.822064599855763</v>
      </c>
    </row>
    <row r="177" spans="1:6">
      <c r="A177" s="13" t="s">
        <v>213</v>
      </c>
      <c r="B177" s="13">
        <v>2025</v>
      </c>
      <c r="C177" s="16">
        <v>45778</v>
      </c>
      <c r="D177" s="13" t="s">
        <v>75</v>
      </c>
      <c r="E177" s="13" t="s">
        <v>155</v>
      </c>
      <c r="F177" s="19">
        <v>6.9240134876881783</v>
      </c>
    </row>
    <row r="178" spans="1:6">
      <c r="A178" s="13" t="s">
        <v>213</v>
      </c>
      <c r="B178" s="13">
        <v>2025</v>
      </c>
      <c r="C178" s="16">
        <v>45778</v>
      </c>
      <c r="D178" s="13" t="s">
        <v>75</v>
      </c>
      <c r="E178" s="13" t="s">
        <v>157</v>
      </c>
      <c r="F178" s="19">
        <v>-3.624457975158645</v>
      </c>
    </row>
    <row r="179" spans="1:6">
      <c r="A179" s="13" t="s">
        <v>213</v>
      </c>
      <c r="B179" s="13">
        <v>2025</v>
      </c>
      <c r="C179" s="16">
        <v>45778</v>
      </c>
      <c r="D179" s="13" t="s">
        <v>75</v>
      </c>
      <c r="E179" s="13" t="s">
        <v>159</v>
      </c>
      <c r="F179" s="19">
        <v>0.10016010877307741</v>
      </c>
    </row>
    <row r="180" spans="1:6">
      <c r="A180" s="13" t="s">
        <v>213</v>
      </c>
      <c r="B180" s="13">
        <v>2025</v>
      </c>
      <c r="C180" s="16">
        <v>45778</v>
      </c>
      <c r="D180" s="13" t="s">
        <v>75</v>
      </c>
      <c r="E180" s="13" t="s">
        <v>161</v>
      </c>
      <c r="F180" s="19">
        <v>-0.11749088486599987</v>
      </c>
    </row>
    <row r="181" spans="1:6">
      <c r="A181" s="13" t="s">
        <v>213</v>
      </c>
      <c r="B181" s="13">
        <v>2025</v>
      </c>
      <c r="C181" s="16">
        <v>45778</v>
      </c>
      <c r="D181" s="13" t="s">
        <v>75</v>
      </c>
      <c r="E181" s="13" t="s">
        <v>163</v>
      </c>
      <c r="F181" s="19">
        <v>-3.3382615033794174</v>
      </c>
    </row>
    <row r="182" spans="1:6">
      <c r="A182" s="13" t="s">
        <v>213</v>
      </c>
      <c r="B182" s="13">
        <v>2025</v>
      </c>
      <c r="C182" s="16">
        <v>45809</v>
      </c>
      <c r="D182" s="13" t="s">
        <v>67</v>
      </c>
      <c r="E182" s="13" t="s">
        <v>144</v>
      </c>
      <c r="F182" s="19">
        <v>2922.656146846442</v>
      </c>
    </row>
    <row r="183" spans="1:6">
      <c r="A183" s="13" t="s">
        <v>213</v>
      </c>
      <c r="B183" s="13">
        <v>2025</v>
      </c>
      <c r="C183" s="16">
        <v>45809</v>
      </c>
      <c r="D183" s="13" t="s">
        <v>67</v>
      </c>
      <c r="E183" s="13" t="s">
        <v>58</v>
      </c>
      <c r="F183" s="19">
        <v>-2334.6516828346607</v>
      </c>
    </row>
    <row r="184" spans="1:6">
      <c r="A184" s="13" t="s">
        <v>213</v>
      </c>
      <c r="B184" s="13">
        <v>2025</v>
      </c>
      <c r="C184" s="16">
        <v>45809</v>
      </c>
      <c r="D184" s="13" t="s">
        <v>67</v>
      </c>
      <c r="E184" s="13" t="s">
        <v>151</v>
      </c>
      <c r="F184" s="19">
        <v>-365.39316909817165</v>
      </c>
    </row>
    <row r="185" spans="1:6">
      <c r="A185" s="13" t="s">
        <v>213</v>
      </c>
      <c r="B185" s="13">
        <v>2025</v>
      </c>
      <c r="C185" s="16">
        <v>45809</v>
      </c>
      <c r="D185" s="13" t="s">
        <v>67</v>
      </c>
      <c r="E185" s="13" t="s">
        <v>153</v>
      </c>
      <c r="F185" s="19">
        <v>-93.356186127207337</v>
      </c>
    </row>
    <row r="186" spans="1:6">
      <c r="A186" s="13" t="s">
        <v>213</v>
      </c>
      <c r="B186" s="13">
        <v>2025</v>
      </c>
      <c r="C186" s="16">
        <v>45809</v>
      </c>
      <c r="D186" s="13" t="s">
        <v>67</v>
      </c>
      <c r="E186" s="13" t="s">
        <v>155</v>
      </c>
      <c r="F186" s="19">
        <v>59.729775768713019</v>
      </c>
    </row>
    <row r="187" spans="1:6">
      <c r="A187" s="13" t="s">
        <v>213</v>
      </c>
      <c r="B187" s="13">
        <v>2025</v>
      </c>
      <c r="C187" s="16">
        <v>45809</v>
      </c>
      <c r="D187" s="13" t="s">
        <v>67</v>
      </c>
      <c r="E187" s="13" t="s">
        <v>157</v>
      </c>
      <c r="F187" s="19">
        <v>-31.266268115204308</v>
      </c>
    </row>
    <row r="188" spans="1:6">
      <c r="A188" s="13" t="s">
        <v>213</v>
      </c>
      <c r="B188" s="13">
        <v>2025</v>
      </c>
      <c r="C188" s="16">
        <v>45809</v>
      </c>
      <c r="D188" s="13" t="s">
        <v>67</v>
      </c>
      <c r="E188" s="13" t="s">
        <v>159</v>
      </c>
      <c r="F188" s="19">
        <v>0.86402790067113189</v>
      </c>
    </row>
    <row r="189" spans="1:6">
      <c r="A189" s="13" t="s">
        <v>213</v>
      </c>
      <c r="B189" s="13">
        <v>2025</v>
      </c>
      <c r="C189" s="16">
        <v>45809</v>
      </c>
      <c r="D189" s="13" t="s">
        <v>67</v>
      </c>
      <c r="E189" s="13" t="s">
        <v>161</v>
      </c>
      <c r="F189" s="19">
        <v>-1.0135312735008772</v>
      </c>
    </row>
    <row r="190" spans="1:6">
      <c r="A190" s="13" t="s">
        <v>213</v>
      </c>
      <c r="B190" s="13">
        <v>2025</v>
      </c>
      <c r="C190" s="16">
        <v>45809</v>
      </c>
      <c r="D190" s="13" t="s">
        <v>67</v>
      </c>
      <c r="E190" s="13" t="s">
        <v>163</v>
      </c>
      <c r="F190" s="19">
        <v>-28.797403616952497</v>
      </c>
    </row>
    <row r="191" spans="1:6">
      <c r="A191" s="13" t="s">
        <v>213</v>
      </c>
      <c r="B191" s="13">
        <v>2025</v>
      </c>
      <c r="C191" s="16">
        <v>45809</v>
      </c>
      <c r="D191" s="13" t="s">
        <v>72</v>
      </c>
      <c r="E191" s="13" t="s">
        <v>144</v>
      </c>
      <c r="F191" s="19">
        <v>5550.2533232264677</v>
      </c>
    </row>
    <row r="192" spans="1:6">
      <c r="A192" s="13" t="s">
        <v>213</v>
      </c>
      <c r="B192" s="13">
        <v>2025</v>
      </c>
      <c r="C192" s="16">
        <v>45809</v>
      </c>
      <c r="D192" s="13" t="s">
        <v>72</v>
      </c>
      <c r="E192" s="13" t="s">
        <v>58</v>
      </c>
      <c r="F192" s="19">
        <v>-4433.6068323367354</v>
      </c>
    </row>
    <row r="193" spans="1:6">
      <c r="A193" s="13" t="s">
        <v>213</v>
      </c>
      <c r="B193" s="13">
        <v>2025</v>
      </c>
      <c r="C193" s="16">
        <v>45809</v>
      </c>
      <c r="D193" s="13" t="s">
        <v>72</v>
      </c>
      <c r="E193" s="13" t="s">
        <v>151</v>
      </c>
      <c r="F193" s="19">
        <v>-693.89779336841411</v>
      </c>
    </row>
    <row r="194" spans="1:6">
      <c r="A194" s="13" t="s">
        <v>213</v>
      </c>
      <c r="B194" s="13">
        <v>2025</v>
      </c>
      <c r="C194" s="16">
        <v>45809</v>
      </c>
      <c r="D194" s="13" t="s">
        <v>72</v>
      </c>
      <c r="E194" s="13" t="s">
        <v>153</v>
      </c>
      <c r="F194" s="19">
        <v>-177.28752759895059</v>
      </c>
    </row>
    <row r="195" spans="1:6">
      <c r="A195" s="13" t="s">
        <v>213</v>
      </c>
      <c r="B195" s="13">
        <v>2025</v>
      </c>
      <c r="C195" s="16">
        <v>45809</v>
      </c>
      <c r="D195" s="13" t="s">
        <v>72</v>
      </c>
      <c r="E195" s="13" t="s">
        <v>155</v>
      </c>
      <c r="F195" s="19">
        <v>113.42948667210737</v>
      </c>
    </row>
    <row r="196" spans="1:6">
      <c r="A196" s="13" t="s">
        <v>213</v>
      </c>
      <c r="B196" s="13">
        <v>2025</v>
      </c>
      <c r="C196" s="16">
        <v>45809</v>
      </c>
      <c r="D196" s="13" t="s">
        <v>72</v>
      </c>
      <c r="E196" s="13" t="s">
        <v>157</v>
      </c>
      <c r="F196" s="19">
        <v>-59.376026392481442</v>
      </c>
    </row>
    <row r="197" spans="1:6">
      <c r="A197" s="13" t="s">
        <v>213</v>
      </c>
      <c r="B197" s="13">
        <v>2025</v>
      </c>
      <c r="C197" s="16">
        <v>45809</v>
      </c>
      <c r="D197" s="13" t="s">
        <v>72</v>
      </c>
      <c r="E197" s="13" t="s">
        <v>159</v>
      </c>
      <c r="F197" s="19">
        <v>1.6408272085769589</v>
      </c>
    </row>
    <row r="198" spans="1:6">
      <c r="A198" s="13" t="s">
        <v>213</v>
      </c>
      <c r="B198" s="13">
        <v>2025</v>
      </c>
      <c r="C198" s="16">
        <v>45809</v>
      </c>
      <c r="D198" s="13" t="s">
        <v>72</v>
      </c>
      <c r="E198" s="13" t="s">
        <v>161</v>
      </c>
      <c r="F198" s="19">
        <v>-1.9247407277150888</v>
      </c>
    </row>
    <row r="199" spans="1:6">
      <c r="A199" s="13" t="s">
        <v>213</v>
      </c>
      <c r="B199" s="13">
        <v>2025</v>
      </c>
      <c r="C199" s="16">
        <v>45809</v>
      </c>
      <c r="D199" s="13" t="s">
        <v>72</v>
      </c>
      <c r="E199" s="13" t="s">
        <v>163</v>
      </c>
      <c r="F199" s="19">
        <v>-54.68754348599812</v>
      </c>
    </row>
    <row r="200" spans="1:6">
      <c r="A200" s="13" t="s">
        <v>213</v>
      </c>
      <c r="B200" s="13">
        <v>2025</v>
      </c>
      <c r="C200" s="16">
        <v>45809</v>
      </c>
      <c r="D200" s="13" t="s">
        <v>73</v>
      </c>
      <c r="E200" s="13" t="s">
        <v>144</v>
      </c>
      <c r="F200" s="19">
        <v>3759.1456240958478</v>
      </c>
    </row>
    <row r="201" spans="1:6">
      <c r="A201" s="13" t="s">
        <v>213</v>
      </c>
      <c r="B201" s="13">
        <v>2025</v>
      </c>
      <c r="C201" s="16">
        <v>45809</v>
      </c>
      <c r="D201" s="13" t="s">
        <v>73</v>
      </c>
      <c r="E201" s="13" t="s">
        <v>58</v>
      </c>
      <c r="F201" s="19">
        <v>-3002.8491948276505</v>
      </c>
    </row>
    <row r="202" spans="1:6">
      <c r="A202" s="13" t="s">
        <v>213</v>
      </c>
      <c r="B202" s="13">
        <v>2025</v>
      </c>
      <c r="C202" s="16">
        <v>45809</v>
      </c>
      <c r="D202" s="13" t="s">
        <v>73</v>
      </c>
      <c r="E202" s="13" t="s">
        <v>151</v>
      </c>
      <c r="F202" s="19">
        <v>-469.97185562591392</v>
      </c>
    </row>
    <row r="203" spans="1:6">
      <c r="A203" s="13" t="s">
        <v>213</v>
      </c>
      <c r="B203" s="13">
        <v>2025</v>
      </c>
      <c r="C203" s="16">
        <v>45809</v>
      </c>
      <c r="D203" s="13" t="s">
        <v>73</v>
      </c>
      <c r="E203" s="13" t="s">
        <v>153</v>
      </c>
      <c r="F203" s="19">
        <v>-120.07553435289817</v>
      </c>
    </row>
    <row r="204" spans="1:6">
      <c r="A204" s="13" t="s">
        <v>213</v>
      </c>
      <c r="B204" s="13">
        <v>2025</v>
      </c>
      <c r="C204" s="16">
        <v>45809</v>
      </c>
      <c r="D204" s="13" t="s">
        <v>73</v>
      </c>
      <c r="E204" s="13" t="s">
        <v>155</v>
      </c>
      <c r="F204" s="19">
        <v>76.824954400282664</v>
      </c>
    </row>
    <row r="205" spans="1:6">
      <c r="A205" s="13" t="s">
        <v>213</v>
      </c>
      <c r="B205" s="13">
        <v>2025</v>
      </c>
      <c r="C205" s="16">
        <v>45809</v>
      </c>
      <c r="D205" s="13" t="s">
        <v>73</v>
      </c>
      <c r="E205" s="13" t="s">
        <v>157</v>
      </c>
      <c r="F205" s="19">
        <v>-40.214944578375381</v>
      </c>
    </row>
    <row r="206" spans="1:6">
      <c r="A206" s="13" t="s">
        <v>213</v>
      </c>
      <c r="B206" s="13">
        <v>2025</v>
      </c>
      <c r="C206" s="16">
        <v>45809</v>
      </c>
      <c r="D206" s="13" t="s">
        <v>73</v>
      </c>
      <c r="E206" s="13" t="s">
        <v>159</v>
      </c>
      <c r="F206" s="19">
        <v>1.1113201617676509</v>
      </c>
    </row>
    <row r="207" spans="1:6">
      <c r="A207" s="13" t="s">
        <v>213</v>
      </c>
      <c r="B207" s="13">
        <v>2025</v>
      </c>
      <c r="C207" s="16">
        <v>45809</v>
      </c>
      <c r="D207" s="13" t="s">
        <v>73</v>
      </c>
      <c r="E207" s="13" t="s">
        <v>161</v>
      </c>
      <c r="F207" s="19">
        <v>-1.3036126934658847</v>
      </c>
    </row>
    <row r="208" spans="1:6">
      <c r="A208" s="13" t="s">
        <v>213</v>
      </c>
      <c r="B208" s="13">
        <v>2025</v>
      </c>
      <c r="C208" s="16">
        <v>45809</v>
      </c>
      <c r="D208" s="13" t="s">
        <v>73</v>
      </c>
      <c r="E208" s="13" t="s">
        <v>163</v>
      </c>
      <c r="F208" s="19">
        <v>-37.039469699093758</v>
      </c>
    </row>
    <row r="209" spans="1:6">
      <c r="A209" s="13" t="s">
        <v>213</v>
      </c>
      <c r="B209" s="13">
        <v>2025</v>
      </c>
      <c r="C209" s="16">
        <v>45809</v>
      </c>
      <c r="D209" s="13" t="s">
        <v>75</v>
      </c>
      <c r="E209" s="13" t="s">
        <v>144</v>
      </c>
      <c r="F209" s="19">
        <v>212.45908346906643</v>
      </c>
    </row>
    <row r="210" spans="1:6">
      <c r="A210" s="13" t="s">
        <v>213</v>
      </c>
      <c r="B210" s="13">
        <v>2025</v>
      </c>
      <c r="C210" s="16">
        <v>45809</v>
      </c>
      <c r="D210" s="13" t="s">
        <v>75</v>
      </c>
      <c r="E210" s="13" t="s">
        <v>58</v>
      </c>
      <c r="F210" s="19">
        <v>-169.71478402951061</v>
      </c>
    </row>
    <row r="211" spans="1:6">
      <c r="A211" s="13" t="s">
        <v>213</v>
      </c>
      <c r="B211" s="13">
        <v>2025</v>
      </c>
      <c r="C211" s="16">
        <v>45809</v>
      </c>
      <c r="D211" s="13" t="s">
        <v>75</v>
      </c>
      <c r="E211" s="13" t="s">
        <v>151</v>
      </c>
      <c r="F211" s="19">
        <v>-26.561830715604167</v>
      </c>
    </row>
    <row r="212" spans="1:6">
      <c r="A212" s="13" t="s">
        <v>213</v>
      </c>
      <c r="B212" s="13">
        <v>2025</v>
      </c>
      <c r="C212" s="16">
        <v>45809</v>
      </c>
      <c r="D212" s="13" t="s">
        <v>75</v>
      </c>
      <c r="E212" s="13" t="s">
        <v>153</v>
      </c>
      <c r="F212" s="19">
        <v>-6.7864191831650844</v>
      </c>
    </row>
    <row r="213" spans="1:6">
      <c r="A213" s="13" t="s">
        <v>213</v>
      </c>
      <c r="B213" s="13">
        <v>2025</v>
      </c>
      <c r="C213" s="16">
        <v>45809</v>
      </c>
      <c r="D213" s="13" t="s">
        <v>75</v>
      </c>
      <c r="E213" s="13" t="s">
        <v>155</v>
      </c>
      <c r="F213" s="19">
        <v>4.341986459586197</v>
      </c>
    </row>
    <row r="214" spans="1:6">
      <c r="A214" s="13" t="s">
        <v>213</v>
      </c>
      <c r="B214" s="13">
        <v>2025</v>
      </c>
      <c r="C214" s="16">
        <v>45809</v>
      </c>
      <c r="D214" s="13" t="s">
        <v>75</v>
      </c>
      <c r="E214" s="13" t="s">
        <v>157</v>
      </c>
      <c r="F214" s="19">
        <v>-2.272864932955597</v>
      </c>
    </row>
    <row r="215" spans="1:6">
      <c r="A215" s="13" t="s">
        <v>213</v>
      </c>
      <c r="B215" s="13">
        <v>2025</v>
      </c>
      <c r="C215" s="16">
        <v>45809</v>
      </c>
      <c r="D215" s="13" t="s">
        <v>75</v>
      </c>
      <c r="E215" s="13" t="s">
        <v>159</v>
      </c>
      <c r="F215" s="19">
        <v>6.2809501578337784E-2</v>
      </c>
    </row>
    <row r="216" spans="1:6">
      <c r="A216" s="13" t="s">
        <v>213</v>
      </c>
      <c r="B216" s="13">
        <v>2025</v>
      </c>
      <c r="C216" s="16">
        <v>45809</v>
      </c>
      <c r="D216" s="13" t="s">
        <v>75</v>
      </c>
      <c r="E216" s="13" t="s">
        <v>161</v>
      </c>
      <c r="F216" s="19">
        <v>-7.3677475082923549E-2</v>
      </c>
    </row>
    <row r="217" spans="1:6">
      <c r="A217" s="13" t="s">
        <v>213</v>
      </c>
      <c r="B217" s="13">
        <v>2025</v>
      </c>
      <c r="C217" s="16">
        <v>45809</v>
      </c>
      <c r="D217" s="13" t="s">
        <v>75</v>
      </c>
      <c r="E217" s="13" t="s">
        <v>163</v>
      </c>
      <c r="F217" s="19">
        <v>-2.0933937046778985</v>
      </c>
    </row>
    <row r="218" spans="1:6">
      <c r="A218" s="13" t="s">
        <v>213</v>
      </c>
      <c r="B218" s="13">
        <v>2025</v>
      </c>
      <c r="C218" s="16">
        <v>45839</v>
      </c>
      <c r="D218" s="13" t="s">
        <v>67</v>
      </c>
      <c r="E218" s="13" t="s">
        <v>144</v>
      </c>
      <c r="F218" s="19">
        <v>3070.2228854431592</v>
      </c>
    </row>
    <row r="219" spans="1:6">
      <c r="A219" s="13" t="s">
        <v>213</v>
      </c>
      <c r="B219" s="13">
        <v>2025</v>
      </c>
      <c r="C219" s="16">
        <v>45839</v>
      </c>
      <c r="D219" s="13" t="s">
        <v>67</v>
      </c>
      <c r="E219" s="13" t="s">
        <v>58</v>
      </c>
      <c r="F219" s="19">
        <v>-2494.1060452602474</v>
      </c>
    </row>
    <row r="220" spans="1:6">
      <c r="A220" s="13" t="s">
        <v>213</v>
      </c>
      <c r="B220" s="13">
        <v>2025</v>
      </c>
      <c r="C220" s="16">
        <v>45839</v>
      </c>
      <c r="D220" s="13" t="s">
        <v>67</v>
      </c>
      <c r="E220" s="13" t="s">
        <v>151</v>
      </c>
      <c r="F220" s="19">
        <v>-352.13537601099637</v>
      </c>
    </row>
    <row r="221" spans="1:6">
      <c r="A221" s="13" t="s">
        <v>213</v>
      </c>
      <c r="B221" s="13">
        <v>2025</v>
      </c>
      <c r="C221" s="16">
        <v>45839</v>
      </c>
      <c r="D221" s="13" t="s">
        <v>67</v>
      </c>
      <c r="E221" s="13" t="s">
        <v>153</v>
      </c>
      <c r="F221" s="19">
        <v>-86.239274078354171</v>
      </c>
    </row>
    <row r="222" spans="1:6">
      <c r="A222" s="13" t="s">
        <v>213</v>
      </c>
      <c r="B222" s="13">
        <v>2025</v>
      </c>
      <c r="C222" s="16">
        <v>45839</v>
      </c>
      <c r="D222" s="13" t="s">
        <v>67</v>
      </c>
      <c r="E222" s="13" t="s">
        <v>155</v>
      </c>
      <c r="F222" s="19">
        <v>62.330378243919164</v>
      </c>
    </row>
    <row r="223" spans="1:6">
      <c r="A223" s="13" t="s">
        <v>213</v>
      </c>
      <c r="B223" s="13">
        <v>2025</v>
      </c>
      <c r="C223" s="16">
        <v>45839</v>
      </c>
      <c r="D223" s="13" t="s">
        <v>67</v>
      </c>
      <c r="E223" s="13" t="s">
        <v>157</v>
      </c>
      <c r="F223" s="19">
        <v>-31.643514925404279</v>
      </c>
    </row>
    <row r="224" spans="1:6">
      <c r="A224" s="13" t="s">
        <v>213</v>
      </c>
      <c r="B224" s="13">
        <v>2025</v>
      </c>
      <c r="C224" s="16">
        <v>45839</v>
      </c>
      <c r="D224" s="13" t="s">
        <v>67</v>
      </c>
      <c r="E224" s="13" t="s">
        <v>159</v>
      </c>
      <c r="F224" s="19">
        <v>0.32177157729789263</v>
      </c>
    </row>
    <row r="225" spans="1:6">
      <c r="A225" s="13" t="s">
        <v>213</v>
      </c>
      <c r="B225" s="13">
        <v>2025</v>
      </c>
      <c r="C225" s="16">
        <v>45839</v>
      </c>
      <c r="D225" s="13" t="s">
        <v>67</v>
      </c>
      <c r="E225" s="13" t="s">
        <v>161</v>
      </c>
      <c r="F225" s="19">
        <v>-1.3936687691022633</v>
      </c>
    </row>
    <row r="226" spans="1:6">
      <c r="A226" s="13" t="s">
        <v>213</v>
      </c>
      <c r="B226" s="13">
        <v>2025</v>
      </c>
      <c r="C226" s="16">
        <v>45839</v>
      </c>
      <c r="D226" s="13" t="s">
        <v>67</v>
      </c>
      <c r="E226" s="13" t="s">
        <v>163</v>
      </c>
      <c r="F226" s="19">
        <v>-29.944194258714738</v>
      </c>
    </row>
    <row r="227" spans="1:6">
      <c r="A227" s="13" t="s">
        <v>213</v>
      </c>
      <c r="B227" s="13">
        <v>2025</v>
      </c>
      <c r="C227" s="16">
        <v>45839</v>
      </c>
      <c r="D227" s="13" t="s">
        <v>72</v>
      </c>
      <c r="E227" s="13" t="s">
        <v>144</v>
      </c>
      <c r="F227" s="19">
        <v>5655.6328735490733</v>
      </c>
    </row>
    <row r="228" spans="1:6">
      <c r="A228" s="13" t="s">
        <v>213</v>
      </c>
      <c r="B228" s="13">
        <v>2025</v>
      </c>
      <c r="C228" s="16">
        <v>45839</v>
      </c>
      <c r="D228" s="13" t="s">
        <v>72</v>
      </c>
      <c r="E228" s="13" t="s">
        <v>58</v>
      </c>
      <c r="F228" s="19">
        <v>-4594.3726778179134</v>
      </c>
    </row>
    <row r="229" spans="1:6">
      <c r="A229" s="13" t="s">
        <v>213</v>
      </c>
      <c r="B229" s="13">
        <v>2025</v>
      </c>
      <c r="C229" s="16">
        <v>45839</v>
      </c>
      <c r="D229" s="13" t="s">
        <v>72</v>
      </c>
      <c r="E229" s="13" t="s">
        <v>151</v>
      </c>
      <c r="F229" s="19">
        <v>-648.66574278690939</v>
      </c>
    </row>
    <row r="230" spans="1:6">
      <c r="A230" s="13" t="s">
        <v>213</v>
      </c>
      <c r="B230" s="13">
        <v>2025</v>
      </c>
      <c r="C230" s="16">
        <v>45839</v>
      </c>
      <c r="D230" s="13" t="s">
        <v>72</v>
      </c>
      <c r="E230" s="13" t="s">
        <v>153</v>
      </c>
      <c r="F230" s="19">
        <v>-158.86067287852546</v>
      </c>
    </row>
    <row r="231" spans="1:6">
      <c r="A231" s="13" t="s">
        <v>213</v>
      </c>
      <c r="B231" s="13">
        <v>2025</v>
      </c>
      <c r="C231" s="16">
        <v>45839</v>
      </c>
      <c r="D231" s="13" t="s">
        <v>72</v>
      </c>
      <c r="E231" s="13" t="s">
        <v>155</v>
      </c>
      <c r="F231" s="19">
        <v>114.81828823843661</v>
      </c>
    </row>
    <row r="232" spans="1:6">
      <c r="A232" s="13" t="s">
        <v>213</v>
      </c>
      <c r="B232" s="13">
        <v>2025</v>
      </c>
      <c r="C232" s="16">
        <v>45839</v>
      </c>
      <c r="D232" s="13" t="s">
        <v>72</v>
      </c>
      <c r="E232" s="13" t="s">
        <v>157</v>
      </c>
      <c r="F232" s="19">
        <v>-58.290264233023379</v>
      </c>
    </row>
    <row r="233" spans="1:6">
      <c r="A233" s="13" t="s">
        <v>213</v>
      </c>
      <c r="B233" s="13">
        <v>2025</v>
      </c>
      <c r="C233" s="16">
        <v>45839</v>
      </c>
      <c r="D233" s="13" t="s">
        <v>72</v>
      </c>
      <c r="E233" s="13" t="s">
        <v>159</v>
      </c>
      <c r="F233" s="19">
        <v>0.59273283349167116</v>
      </c>
    </row>
    <row r="234" spans="1:6">
      <c r="A234" s="13" t="s">
        <v>213</v>
      </c>
      <c r="B234" s="13">
        <v>2025</v>
      </c>
      <c r="C234" s="16">
        <v>45839</v>
      </c>
      <c r="D234" s="13" t="s">
        <v>72</v>
      </c>
      <c r="E234" s="13" t="s">
        <v>161</v>
      </c>
      <c r="F234" s="19">
        <v>-2.5672660257809672</v>
      </c>
    </row>
    <row r="235" spans="1:6">
      <c r="A235" s="13" t="s">
        <v>213</v>
      </c>
      <c r="B235" s="13">
        <v>2025</v>
      </c>
      <c r="C235" s="16">
        <v>45839</v>
      </c>
      <c r="D235" s="13" t="s">
        <v>72</v>
      </c>
      <c r="E235" s="13" t="s">
        <v>163</v>
      </c>
      <c r="F235" s="19">
        <v>-55.159959306042971</v>
      </c>
    </row>
    <row r="236" spans="1:6">
      <c r="A236" s="13" t="s">
        <v>213</v>
      </c>
      <c r="B236" s="13">
        <v>2025</v>
      </c>
      <c r="C236" s="16">
        <v>45839</v>
      </c>
      <c r="D236" s="13" t="s">
        <v>73</v>
      </c>
      <c r="E236" s="13" t="s">
        <v>144</v>
      </c>
      <c r="F236" s="19">
        <v>3865.993733062734</v>
      </c>
    </row>
    <row r="237" spans="1:6">
      <c r="A237" s="13" t="s">
        <v>213</v>
      </c>
      <c r="B237" s="13">
        <v>2025</v>
      </c>
      <c r="C237" s="16">
        <v>45839</v>
      </c>
      <c r="D237" s="13" t="s">
        <v>73</v>
      </c>
      <c r="E237" s="13" t="s">
        <v>58</v>
      </c>
      <c r="F237" s="19">
        <v>-3140.553210741321</v>
      </c>
    </row>
    <row r="238" spans="1:6">
      <c r="A238" s="13" t="s">
        <v>213</v>
      </c>
      <c r="B238" s="13">
        <v>2025</v>
      </c>
      <c r="C238" s="16">
        <v>45839</v>
      </c>
      <c r="D238" s="13" t="s">
        <v>73</v>
      </c>
      <c r="E238" s="13" t="s">
        <v>151</v>
      </c>
      <c r="F238" s="19">
        <v>-443.40531865057164</v>
      </c>
    </row>
    <row r="239" spans="1:6">
      <c r="A239" s="13" t="s">
        <v>213</v>
      </c>
      <c r="B239" s="13">
        <v>2025</v>
      </c>
      <c r="C239" s="16">
        <v>45839</v>
      </c>
      <c r="D239" s="13" t="s">
        <v>73</v>
      </c>
      <c r="E239" s="13" t="s">
        <v>153</v>
      </c>
      <c r="F239" s="19">
        <v>-108.59162528933899</v>
      </c>
    </row>
    <row r="240" spans="1:6">
      <c r="A240" s="13" t="s">
        <v>213</v>
      </c>
      <c r="B240" s="13">
        <v>2025</v>
      </c>
      <c r="C240" s="16">
        <v>45839</v>
      </c>
      <c r="D240" s="13" t="s">
        <v>73</v>
      </c>
      <c r="E240" s="13" t="s">
        <v>155</v>
      </c>
      <c r="F240" s="19">
        <v>78.485784472823241</v>
      </c>
    </row>
    <row r="241" spans="1:6">
      <c r="A241" s="13" t="s">
        <v>213</v>
      </c>
      <c r="B241" s="13">
        <v>2025</v>
      </c>
      <c r="C241" s="16">
        <v>45839</v>
      </c>
      <c r="D241" s="13" t="s">
        <v>73</v>
      </c>
      <c r="E241" s="13" t="s">
        <v>157</v>
      </c>
      <c r="F241" s="19">
        <v>-39.845195270255523</v>
      </c>
    </row>
    <row r="242" spans="1:6">
      <c r="A242" s="13" t="s">
        <v>213</v>
      </c>
      <c r="B242" s="13">
        <v>2025</v>
      </c>
      <c r="C242" s="16">
        <v>45839</v>
      </c>
      <c r="D242" s="13" t="s">
        <v>73</v>
      </c>
      <c r="E242" s="13" t="s">
        <v>159</v>
      </c>
      <c r="F242" s="19">
        <v>0.40517152914512544</v>
      </c>
    </row>
    <row r="243" spans="1:6">
      <c r="A243" s="13" t="s">
        <v>213</v>
      </c>
      <c r="B243" s="13">
        <v>2025</v>
      </c>
      <c r="C243" s="16">
        <v>45839</v>
      </c>
      <c r="D243" s="13" t="s">
        <v>73</v>
      </c>
      <c r="E243" s="13" t="s">
        <v>161</v>
      </c>
      <c r="F243" s="19">
        <v>-1.754893676566712</v>
      </c>
    </row>
    <row r="244" spans="1:6">
      <c r="A244" s="13" t="s">
        <v>213</v>
      </c>
      <c r="B244" s="13">
        <v>2025</v>
      </c>
      <c r="C244" s="16">
        <v>45839</v>
      </c>
      <c r="D244" s="13" t="s">
        <v>73</v>
      </c>
      <c r="E244" s="13" t="s">
        <v>163</v>
      </c>
      <c r="F244" s="19">
        <v>-37.705427802872613</v>
      </c>
    </row>
    <row r="245" spans="1:6">
      <c r="A245" s="13" t="s">
        <v>213</v>
      </c>
      <c r="B245" s="13">
        <v>2025</v>
      </c>
      <c r="C245" s="16">
        <v>45839</v>
      </c>
      <c r="D245" s="13" t="s">
        <v>75</v>
      </c>
      <c r="E245" s="13" t="s">
        <v>144</v>
      </c>
      <c r="F245" s="19">
        <v>283.25223806258629</v>
      </c>
    </row>
    <row r="246" spans="1:6">
      <c r="A246" s="13" t="s">
        <v>213</v>
      </c>
      <c r="B246" s="13">
        <v>2025</v>
      </c>
      <c r="C246" s="16">
        <v>45839</v>
      </c>
      <c r="D246" s="13" t="s">
        <v>75</v>
      </c>
      <c r="E246" s="13" t="s">
        <v>58</v>
      </c>
      <c r="F246" s="19">
        <v>-230.10092284665512</v>
      </c>
    </row>
    <row r="247" spans="1:6">
      <c r="A247" s="13" t="s">
        <v>213</v>
      </c>
      <c r="B247" s="13">
        <v>2025</v>
      </c>
      <c r="C247" s="16">
        <v>45839</v>
      </c>
      <c r="D247" s="13" t="s">
        <v>75</v>
      </c>
      <c r="E247" s="13" t="s">
        <v>151</v>
      </c>
      <c r="F247" s="19">
        <v>-32.487261374096647</v>
      </c>
    </row>
    <row r="248" spans="1:6">
      <c r="A248" s="13" t="s">
        <v>213</v>
      </c>
      <c r="B248" s="13">
        <v>2025</v>
      </c>
      <c r="C248" s="16">
        <v>45839</v>
      </c>
      <c r="D248" s="13" t="s">
        <v>75</v>
      </c>
      <c r="E248" s="13" t="s">
        <v>153</v>
      </c>
      <c r="F248" s="19">
        <v>-7.9562521364180094</v>
      </c>
    </row>
    <row r="249" spans="1:6">
      <c r="A249" s="13" t="s">
        <v>213</v>
      </c>
      <c r="B249" s="13">
        <v>2025</v>
      </c>
      <c r="C249" s="16">
        <v>45839</v>
      </c>
      <c r="D249" s="13" t="s">
        <v>75</v>
      </c>
      <c r="E249" s="13" t="s">
        <v>155</v>
      </c>
      <c r="F249" s="19">
        <v>5.7504682218956455</v>
      </c>
    </row>
    <row r="250" spans="1:6">
      <c r="A250" s="13" t="s">
        <v>213</v>
      </c>
      <c r="B250" s="13">
        <v>2025</v>
      </c>
      <c r="C250" s="16">
        <v>45839</v>
      </c>
      <c r="D250" s="13" t="s">
        <v>75</v>
      </c>
      <c r="E250" s="13" t="s">
        <v>157</v>
      </c>
      <c r="F250" s="19">
        <v>-2.9193634329560649</v>
      </c>
    </row>
    <row r="251" spans="1:6">
      <c r="A251" s="13" t="s">
        <v>213</v>
      </c>
      <c r="B251" s="13">
        <v>2025</v>
      </c>
      <c r="C251" s="16">
        <v>45839</v>
      </c>
      <c r="D251" s="13" t="s">
        <v>75</v>
      </c>
      <c r="E251" s="13" t="s">
        <v>159</v>
      </c>
      <c r="F251" s="19">
        <v>2.9685961839021655E-2</v>
      </c>
    </row>
    <row r="252" spans="1:6">
      <c r="A252" s="13" t="s">
        <v>213</v>
      </c>
      <c r="B252" s="13">
        <v>2025</v>
      </c>
      <c r="C252" s="16">
        <v>45839</v>
      </c>
      <c r="D252" s="13" t="s">
        <v>75</v>
      </c>
      <c r="E252" s="13" t="s">
        <v>161</v>
      </c>
      <c r="F252" s="19">
        <v>-0.12857691858067363</v>
      </c>
    </row>
    <row r="253" spans="1:6">
      <c r="A253" s="13" t="s">
        <v>213</v>
      </c>
      <c r="B253" s="13">
        <v>2025</v>
      </c>
      <c r="C253" s="16">
        <v>45839</v>
      </c>
      <c r="D253" s="13" t="s">
        <v>75</v>
      </c>
      <c r="E253" s="13" t="s">
        <v>163</v>
      </c>
      <c r="F253" s="19">
        <v>-2.7625877199262461</v>
      </c>
    </row>
    <row r="254" spans="1:6">
      <c r="A254" s="13" t="s">
        <v>213</v>
      </c>
      <c r="B254" s="13">
        <v>2025</v>
      </c>
      <c r="C254" s="16">
        <v>45870</v>
      </c>
      <c r="D254" s="13" t="s">
        <v>67</v>
      </c>
      <c r="E254" s="13" t="s">
        <v>144</v>
      </c>
      <c r="F254" s="19">
        <v>2923.1820508149735</v>
      </c>
    </row>
    <row r="255" spans="1:6">
      <c r="A255" s="13" t="s">
        <v>213</v>
      </c>
      <c r="B255" s="13">
        <v>2025</v>
      </c>
      <c r="C255" s="16">
        <v>45870</v>
      </c>
      <c r="D255" s="13" t="s">
        <v>67</v>
      </c>
      <c r="E255" s="13" t="s">
        <v>58</v>
      </c>
      <c r="F255" s="19">
        <v>-2374.6569211314841</v>
      </c>
    </row>
    <row r="256" spans="1:6">
      <c r="A256" s="13" t="s">
        <v>213</v>
      </c>
      <c r="B256" s="13">
        <v>2025</v>
      </c>
      <c r="C256" s="16">
        <v>45870</v>
      </c>
      <c r="D256" s="13" t="s">
        <v>67</v>
      </c>
      <c r="E256" s="13" t="s">
        <v>151</v>
      </c>
      <c r="F256" s="19">
        <v>-335.27071128705626</v>
      </c>
    </row>
    <row r="257" spans="1:6">
      <c r="A257" s="13" t="s">
        <v>213</v>
      </c>
      <c r="B257" s="13">
        <v>2025</v>
      </c>
      <c r="C257" s="16">
        <v>45870</v>
      </c>
      <c r="D257" s="13" t="s">
        <v>67</v>
      </c>
      <c r="E257" s="13" t="s">
        <v>153</v>
      </c>
      <c r="F257" s="19">
        <v>-82.109054445658117</v>
      </c>
    </row>
    <row r="258" spans="1:6">
      <c r="A258" s="13" t="s">
        <v>213</v>
      </c>
      <c r="B258" s="13">
        <v>2025</v>
      </c>
      <c r="C258" s="16">
        <v>45870</v>
      </c>
      <c r="D258" s="13" t="s">
        <v>67</v>
      </c>
      <c r="E258" s="13" t="s">
        <v>155</v>
      </c>
      <c r="F258" s="19">
        <v>59.345216846311551</v>
      </c>
    </row>
    <row r="259" spans="1:6">
      <c r="A259" s="13" t="s">
        <v>213</v>
      </c>
      <c r="B259" s="13">
        <v>2025</v>
      </c>
      <c r="C259" s="16">
        <v>45870</v>
      </c>
      <c r="D259" s="13" t="s">
        <v>67</v>
      </c>
      <c r="E259" s="13" t="s">
        <v>157</v>
      </c>
      <c r="F259" s="19">
        <v>-30.128025979223327</v>
      </c>
    </row>
    <row r="260" spans="1:6">
      <c r="A260" s="13" t="s">
        <v>213</v>
      </c>
      <c r="B260" s="13">
        <v>2025</v>
      </c>
      <c r="C260" s="16">
        <v>45870</v>
      </c>
      <c r="D260" s="13" t="s">
        <v>67</v>
      </c>
      <c r="E260" s="13" t="s">
        <v>159</v>
      </c>
      <c r="F260" s="19">
        <v>0.30636111263428872</v>
      </c>
    </row>
    <row r="261" spans="1:6">
      <c r="A261" s="13" t="s">
        <v>213</v>
      </c>
      <c r="B261" s="13">
        <v>2025</v>
      </c>
      <c r="C261" s="16">
        <v>45870</v>
      </c>
      <c r="D261" s="13" t="s">
        <v>67</v>
      </c>
      <c r="E261" s="13" t="s">
        <v>161</v>
      </c>
      <c r="F261" s="19">
        <v>-1.3269224035612959</v>
      </c>
    </row>
    <row r="262" spans="1:6">
      <c r="A262" s="13" t="s">
        <v>213</v>
      </c>
      <c r="B262" s="13">
        <v>2025</v>
      </c>
      <c r="C262" s="16">
        <v>45870</v>
      </c>
      <c r="D262" s="13" t="s">
        <v>67</v>
      </c>
      <c r="E262" s="13" t="s">
        <v>163</v>
      </c>
      <c r="F262" s="19">
        <v>-28.510090130006049</v>
      </c>
    </row>
    <row r="263" spans="1:6">
      <c r="A263" s="13" t="s">
        <v>213</v>
      </c>
      <c r="B263" s="13">
        <v>2025</v>
      </c>
      <c r="C263" s="16">
        <v>45870</v>
      </c>
      <c r="D263" s="13" t="s">
        <v>72</v>
      </c>
      <c r="E263" s="13" t="s">
        <v>144</v>
      </c>
      <c r="F263" s="19">
        <v>6026.4442184756299</v>
      </c>
    </row>
    <row r="264" spans="1:6">
      <c r="A264" s="13" t="s">
        <v>213</v>
      </c>
      <c r="B264" s="13">
        <v>2025</v>
      </c>
      <c r="C264" s="16">
        <v>45870</v>
      </c>
      <c r="D264" s="13" t="s">
        <v>72</v>
      </c>
      <c r="E264" s="13" t="s">
        <v>58</v>
      </c>
      <c r="F264" s="19">
        <v>-4895.602540124446</v>
      </c>
    </row>
    <row r="265" spans="1:6">
      <c r="A265" s="13" t="s">
        <v>213</v>
      </c>
      <c r="B265" s="13">
        <v>2025</v>
      </c>
      <c r="C265" s="16">
        <v>45870</v>
      </c>
      <c r="D265" s="13" t="s">
        <v>72</v>
      </c>
      <c r="E265" s="13" t="s">
        <v>151</v>
      </c>
      <c r="F265" s="19">
        <v>-691.19548647227987</v>
      </c>
    </row>
    <row r="266" spans="1:6">
      <c r="A266" s="13" t="s">
        <v>213</v>
      </c>
      <c r="B266" s="13">
        <v>2025</v>
      </c>
      <c r="C266" s="16">
        <v>45870</v>
      </c>
      <c r="D266" s="13" t="s">
        <v>72</v>
      </c>
      <c r="E266" s="13" t="s">
        <v>153</v>
      </c>
      <c r="F266" s="19">
        <v>-169.27636659187246</v>
      </c>
    </row>
    <row r="267" spans="1:6">
      <c r="A267" s="13" t="s">
        <v>213</v>
      </c>
      <c r="B267" s="13">
        <v>2025</v>
      </c>
      <c r="C267" s="16">
        <v>45870</v>
      </c>
      <c r="D267" s="13" t="s">
        <v>72</v>
      </c>
      <c r="E267" s="13" t="s">
        <v>155</v>
      </c>
      <c r="F267" s="19">
        <v>122.34634475055283</v>
      </c>
    </row>
    <row r="268" spans="1:6">
      <c r="A268" s="13" t="s">
        <v>213</v>
      </c>
      <c r="B268" s="13">
        <v>2025</v>
      </c>
      <c r="C268" s="16">
        <v>45870</v>
      </c>
      <c r="D268" s="13" t="s">
        <v>72</v>
      </c>
      <c r="E268" s="13" t="s">
        <v>157</v>
      </c>
      <c r="F268" s="19">
        <v>-62.112063094378371</v>
      </c>
    </row>
    <row r="269" spans="1:6">
      <c r="A269" s="13" t="s">
        <v>213</v>
      </c>
      <c r="B269" s="13">
        <v>2025</v>
      </c>
      <c r="C269" s="16">
        <v>45870</v>
      </c>
      <c r="D269" s="13" t="s">
        <v>72</v>
      </c>
      <c r="E269" s="13" t="s">
        <v>159</v>
      </c>
      <c r="F269" s="19">
        <v>0.63159533819863767</v>
      </c>
    </row>
    <row r="270" spans="1:6">
      <c r="A270" s="13" t="s">
        <v>213</v>
      </c>
      <c r="B270" s="13">
        <v>2025</v>
      </c>
      <c r="C270" s="16">
        <v>45870</v>
      </c>
      <c r="D270" s="13" t="s">
        <v>72</v>
      </c>
      <c r="E270" s="13" t="s">
        <v>161</v>
      </c>
      <c r="F270" s="19">
        <v>-2.7355887208866534</v>
      </c>
    </row>
    <row r="271" spans="1:6">
      <c r="A271" s="13" t="s">
        <v>213</v>
      </c>
      <c r="B271" s="13">
        <v>2025</v>
      </c>
      <c r="C271" s="16">
        <v>45870</v>
      </c>
      <c r="D271" s="13" t="s">
        <v>72</v>
      </c>
      <c r="E271" s="13" t="s">
        <v>163</v>
      </c>
      <c r="F271" s="19">
        <v>-58.776519849077737</v>
      </c>
    </row>
    <row r="272" spans="1:6">
      <c r="A272" s="13" t="s">
        <v>213</v>
      </c>
      <c r="B272" s="13">
        <v>2025</v>
      </c>
      <c r="C272" s="16">
        <v>45870</v>
      </c>
      <c r="D272" s="13" t="s">
        <v>73</v>
      </c>
      <c r="E272" s="13" t="s">
        <v>144</v>
      </c>
      <c r="F272" s="19">
        <v>3975.2958533059805</v>
      </c>
    </row>
    <row r="273" spans="1:6">
      <c r="A273" s="13" t="s">
        <v>213</v>
      </c>
      <c r="B273" s="13">
        <v>2025</v>
      </c>
      <c r="C273" s="16">
        <v>45870</v>
      </c>
      <c r="D273" s="13" t="s">
        <v>73</v>
      </c>
      <c r="E273" s="13" t="s">
        <v>58</v>
      </c>
      <c r="F273" s="19">
        <v>-3229.3451613684151</v>
      </c>
    </row>
    <row r="274" spans="1:6">
      <c r="A274" s="13" t="s">
        <v>213</v>
      </c>
      <c r="B274" s="13">
        <v>2025</v>
      </c>
      <c r="C274" s="16">
        <v>45870</v>
      </c>
      <c r="D274" s="13" t="s">
        <v>73</v>
      </c>
      <c r="E274" s="13" t="s">
        <v>151</v>
      </c>
      <c r="F274" s="19">
        <v>-455.94158870221617</v>
      </c>
    </row>
    <row r="275" spans="1:6">
      <c r="A275" s="13" t="s">
        <v>213</v>
      </c>
      <c r="B275" s="13">
        <v>2025</v>
      </c>
      <c r="C275" s="16">
        <v>45870</v>
      </c>
      <c r="D275" s="13" t="s">
        <v>73</v>
      </c>
      <c r="E275" s="13" t="s">
        <v>153</v>
      </c>
      <c r="F275" s="19">
        <v>-111.66180483548682</v>
      </c>
    </row>
    <row r="276" spans="1:6">
      <c r="A276" s="13" t="s">
        <v>213</v>
      </c>
      <c r="B276" s="13">
        <v>2025</v>
      </c>
      <c r="C276" s="16">
        <v>45870</v>
      </c>
      <c r="D276" s="13" t="s">
        <v>73</v>
      </c>
      <c r="E276" s="13" t="s">
        <v>155</v>
      </c>
      <c r="F276" s="19">
        <v>80.704790307847659</v>
      </c>
    </row>
    <row r="277" spans="1:6">
      <c r="A277" s="13" t="s">
        <v>213</v>
      </c>
      <c r="B277" s="13">
        <v>2025</v>
      </c>
      <c r="C277" s="16">
        <v>45870</v>
      </c>
      <c r="D277" s="13" t="s">
        <v>73</v>
      </c>
      <c r="E277" s="13" t="s">
        <v>157</v>
      </c>
      <c r="F277" s="19">
        <v>-40.971726926863987</v>
      </c>
    </row>
    <row r="278" spans="1:6">
      <c r="A278" s="13" t="s">
        <v>213</v>
      </c>
      <c r="B278" s="13">
        <v>2025</v>
      </c>
      <c r="C278" s="16">
        <v>45870</v>
      </c>
      <c r="D278" s="13" t="s">
        <v>73</v>
      </c>
      <c r="E278" s="13" t="s">
        <v>159</v>
      </c>
      <c r="F278" s="19">
        <v>0.41662682634827841</v>
      </c>
    </row>
    <row r="279" spans="1:6">
      <c r="A279" s="13" t="s">
        <v>213</v>
      </c>
      <c r="B279" s="13">
        <v>2025</v>
      </c>
      <c r="C279" s="16">
        <v>45870</v>
      </c>
      <c r="D279" s="13" t="s">
        <v>73</v>
      </c>
      <c r="E279" s="13" t="s">
        <v>161</v>
      </c>
      <c r="F279" s="19">
        <v>-1.8045092768222892</v>
      </c>
    </row>
    <row r="280" spans="1:6">
      <c r="A280" s="13" t="s">
        <v>213</v>
      </c>
      <c r="B280" s="13">
        <v>2025</v>
      </c>
      <c r="C280" s="16">
        <v>45870</v>
      </c>
      <c r="D280" s="13" t="s">
        <v>73</v>
      </c>
      <c r="E280" s="13" t="s">
        <v>163</v>
      </c>
      <c r="F280" s="19">
        <v>-38.771462434094751</v>
      </c>
    </row>
    <row r="281" spans="1:6">
      <c r="A281" s="13" t="s">
        <v>213</v>
      </c>
      <c r="B281" s="13">
        <v>2025</v>
      </c>
      <c r="C281" s="16">
        <v>45870</v>
      </c>
      <c r="D281" s="13" t="s">
        <v>75</v>
      </c>
      <c r="E281" s="13" t="s">
        <v>144</v>
      </c>
      <c r="F281" s="19">
        <v>392.97411146681287</v>
      </c>
    </row>
    <row r="282" spans="1:6">
      <c r="A282" s="13" t="s">
        <v>213</v>
      </c>
      <c r="B282" s="13">
        <v>2025</v>
      </c>
      <c r="C282" s="16">
        <v>45870</v>
      </c>
      <c r="D282" s="13" t="s">
        <v>75</v>
      </c>
      <c r="E282" s="13" t="s">
        <v>58</v>
      </c>
      <c r="F282" s="19">
        <v>-319.23386138745462</v>
      </c>
    </row>
    <row r="283" spans="1:6">
      <c r="A283" s="13" t="s">
        <v>213</v>
      </c>
      <c r="B283" s="13">
        <v>2025</v>
      </c>
      <c r="C283" s="16">
        <v>45870</v>
      </c>
      <c r="D283" s="13" t="s">
        <v>75</v>
      </c>
      <c r="E283" s="13" t="s">
        <v>151</v>
      </c>
      <c r="F283" s="19">
        <v>-45.071674489840646</v>
      </c>
    </row>
    <row r="284" spans="1:6">
      <c r="A284" s="13" t="s">
        <v>213</v>
      </c>
      <c r="B284" s="13">
        <v>2025</v>
      </c>
      <c r="C284" s="16">
        <v>45870</v>
      </c>
      <c r="D284" s="13" t="s">
        <v>75</v>
      </c>
      <c r="E284" s="13" t="s">
        <v>153</v>
      </c>
      <c r="F284" s="19">
        <v>-11.03822209949832</v>
      </c>
    </row>
    <row r="285" spans="1:6">
      <c r="A285" s="13" t="s">
        <v>213</v>
      </c>
      <c r="B285" s="13">
        <v>2025</v>
      </c>
      <c r="C285" s="16">
        <v>45870</v>
      </c>
      <c r="D285" s="13" t="s">
        <v>75</v>
      </c>
      <c r="E285" s="13" t="s">
        <v>155</v>
      </c>
      <c r="F285" s="19">
        <v>7.9779957096694556</v>
      </c>
    </row>
    <row r="286" spans="1:6">
      <c r="A286" s="13" t="s">
        <v>213</v>
      </c>
      <c r="B286" s="13">
        <v>2025</v>
      </c>
      <c r="C286" s="16">
        <v>45870</v>
      </c>
      <c r="D286" s="13" t="s">
        <v>75</v>
      </c>
      <c r="E286" s="13" t="s">
        <v>157</v>
      </c>
      <c r="F286" s="19">
        <v>-4.0502213114415913</v>
      </c>
    </row>
    <row r="287" spans="1:6">
      <c r="A287" s="13" t="s">
        <v>213</v>
      </c>
      <c r="B287" s="13">
        <v>2025</v>
      </c>
      <c r="C287" s="16">
        <v>45870</v>
      </c>
      <c r="D287" s="13" t="s">
        <v>75</v>
      </c>
      <c r="E287" s="13" t="s">
        <v>159</v>
      </c>
      <c r="F287" s="19">
        <v>4.1185250843983154E-2</v>
      </c>
    </row>
    <row r="288" spans="1:6">
      <c r="A288" s="13" t="s">
        <v>213</v>
      </c>
      <c r="B288" s="13">
        <v>2025</v>
      </c>
      <c r="C288" s="16">
        <v>45870</v>
      </c>
      <c r="D288" s="13" t="s">
        <v>75</v>
      </c>
      <c r="E288" s="13" t="s">
        <v>161</v>
      </c>
      <c r="F288" s="19">
        <v>-0.17838305772968555</v>
      </c>
    </row>
    <row r="289" spans="1:6">
      <c r="A289" s="13" t="s">
        <v>213</v>
      </c>
      <c r="B289" s="13">
        <v>2025</v>
      </c>
      <c r="C289" s="16">
        <v>45870</v>
      </c>
      <c r="D289" s="13" t="s">
        <v>75</v>
      </c>
      <c r="E289" s="13" t="s">
        <v>163</v>
      </c>
      <c r="F289" s="19">
        <v>-3.8327162461723234</v>
      </c>
    </row>
    <row r="290" spans="1:6">
      <c r="A290" s="13" t="s">
        <v>213</v>
      </c>
      <c r="B290" s="13">
        <v>2025</v>
      </c>
      <c r="C290" s="16">
        <v>45901</v>
      </c>
      <c r="D290" s="13" t="s">
        <v>67</v>
      </c>
      <c r="E290" s="13" t="s">
        <v>144</v>
      </c>
      <c r="F290" s="19">
        <v>3541.6086906166361</v>
      </c>
    </row>
    <row r="291" spans="1:6">
      <c r="A291" s="13" t="s">
        <v>213</v>
      </c>
      <c r="B291" s="13">
        <v>2025</v>
      </c>
      <c r="C291" s="16">
        <v>45901</v>
      </c>
      <c r="D291" s="13" t="s">
        <v>67</v>
      </c>
      <c r="E291" s="13" t="s">
        <v>58</v>
      </c>
      <c r="F291" s="19">
        <v>-2877.0379137924365</v>
      </c>
    </row>
    <row r="292" spans="1:6">
      <c r="A292" s="13" t="s">
        <v>213</v>
      </c>
      <c r="B292" s="13">
        <v>2025</v>
      </c>
      <c r="C292" s="16">
        <v>45901</v>
      </c>
      <c r="D292" s="13" t="s">
        <v>67</v>
      </c>
      <c r="E292" s="13" t="s">
        <v>151</v>
      </c>
      <c r="F292" s="19">
        <v>-406.20038169446786</v>
      </c>
    </row>
    <row r="293" spans="1:6">
      <c r="A293" s="13" t="s">
        <v>213</v>
      </c>
      <c r="B293" s="13">
        <v>2025</v>
      </c>
      <c r="C293" s="16">
        <v>45901</v>
      </c>
      <c r="D293" s="13" t="s">
        <v>67</v>
      </c>
      <c r="E293" s="13" t="s">
        <v>153</v>
      </c>
      <c r="F293" s="19">
        <v>-99.479996711796915</v>
      </c>
    </row>
    <row r="294" spans="1:6">
      <c r="A294" s="13" t="s">
        <v>213</v>
      </c>
      <c r="B294" s="13">
        <v>2025</v>
      </c>
      <c r="C294" s="16">
        <v>45901</v>
      </c>
      <c r="D294" s="13" t="s">
        <v>67</v>
      </c>
      <c r="E294" s="13" t="s">
        <v>155</v>
      </c>
      <c r="F294" s="19">
        <v>71.900255295707282</v>
      </c>
    </row>
    <row r="295" spans="1:6">
      <c r="A295" s="13" t="s">
        <v>213</v>
      </c>
      <c r="B295" s="13">
        <v>2025</v>
      </c>
      <c r="C295" s="16">
        <v>45901</v>
      </c>
      <c r="D295" s="13" t="s">
        <v>67</v>
      </c>
      <c r="E295" s="13" t="s">
        <v>157</v>
      </c>
      <c r="F295" s="19">
        <v>-36.501893068682826</v>
      </c>
    </row>
    <row r="296" spans="1:6">
      <c r="A296" s="13" t="s">
        <v>213</v>
      </c>
      <c r="B296" s="13">
        <v>2025</v>
      </c>
      <c r="C296" s="16">
        <v>45901</v>
      </c>
      <c r="D296" s="13" t="s">
        <v>67</v>
      </c>
      <c r="E296" s="13" t="s">
        <v>159</v>
      </c>
      <c r="F296" s="19">
        <v>0.37117468570596945</v>
      </c>
    </row>
    <row r="297" spans="1:6">
      <c r="A297" s="13" t="s">
        <v>213</v>
      </c>
      <c r="B297" s="13">
        <v>2025</v>
      </c>
      <c r="C297" s="16">
        <v>45901</v>
      </c>
      <c r="D297" s="13" t="s">
        <v>67</v>
      </c>
      <c r="E297" s="13" t="s">
        <v>161</v>
      </c>
      <c r="F297" s="19">
        <v>-1.6076453106697244</v>
      </c>
    </row>
    <row r="298" spans="1:6">
      <c r="A298" s="13" t="s">
        <v>213</v>
      </c>
      <c r="B298" s="13">
        <v>2025</v>
      </c>
      <c r="C298" s="16">
        <v>45901</v>
      </c>
      <c r="D298" s="13" t="s">
        <v>67</v>
      </c>
      <c r="E298" s="13" t="s">
        <v>163</v>
      </c>
      <c r="F298" s="19">
        <v>-34.541667682497724</v>
      </c>
    </row>
    <row r="299" spans="1:6">
      <c r="A299" s="13" t="s">
        <v>213</v>
      </c>
      <c r="B299" s="13">
        <v>2025</v>
      </c>
      <c r="C299" s="16">
        <v>45901</v>
      </c>
      <c r="D299" s="13" t="s">
        <v>72</v>
      </c>
      <c r="E299" s="13" t="s">
        <v>144</v>
      </c>
      <c r="F299" s="19">
        <v>5864.8612910436486</v>
      </c>
    </row>
    <row r="300" spans="1:6">
      <c r="A300" s="13" t="s">
        <v>213</v>
      </c>
      <c r="B300" s="13">
        <v>2025</v>
      </c>
      <c r="C300" s="16">
        <v>45901</v>
      </c>
      <c r="D300" s="13" t="s">
        <v>72</v>
      </c>
      <c r="E300" s="13" t="s">
        <v>58</v>
      </c>
      <c r="F300" s="19">
        <v>-4764.340097247833</v>
      </c>
    </row>
    <row r="301" spans="1:6">
      <c r="A301" s="13" t="s">
        <v>213</v>
      </c>
      <c r="B301" s="13">
        <v>2025</v>
      </c>
      <c r="C301" s="16">
        <v>45901</v>
      </c>
      <c r="D301" s="13" t="s">
        <v>72</v>
      </c>
      <c r="E301" s="13" t="s">
        <v>151</v>
      </c>
      <c r="F301" s="19">
        <v>-672.66293459209112</v>
      </c>
    </row>
    <row r="302" spans="1:6">
      <c r="A302" s="13" t="s">
        <v>213</v>
      </c>
      <c r="B302" s="13">
        <v>2025</v>
      </c>
      <c r="C302" s="16">
        <v>45901</v>
      </c>
      <c r="D302" s="13" t="s">
        <v>72</v>
      </c>
      <c r="E302" s="13" t="s">
        <v>153</v>
      </c>
      <c r="F302" s="19">
        <v>-164.73767514010251</v>
      </c>
    </row>
    <row r="303" spans="1:6">
      <c r="A303" s="13" t="s">
        <v>213</v>
      </c>
      <c r="B303" s="13">
        <v>2025</v>
      </c>
      <c r="C303" s="16">
        <v>45901</v>
      </c>
      <c r="D303" s="13" t="s">
        <v>72</v>
      </c>
      <c r="E303" s="13" t="s">
        <v>155</v>
      </c>
      <c r="F303" s="19">
        <v>119.06595587965124</v>
      </c>
    </row>
    <row r="304" spans="1:6">
      <c r="A304" s="13" t="s">
        <v>213</v>
      </c>
      <c r="B304" s="13">
        <v>2025</v>
      </c>
      <c r="C304" s="16">
        <v>45901</v>
      </c>
      <c r="D304" s="13" t="s">
        <v>72</v>
      </c>
      <c r="E304" s="13" t="s">
        <v>157</v>
      </c>
      <c r="F304" s="19">
        <v>-60.446694824170073</v>
      </c>
    </row>
    <row r="305" spans="1:6">
      <c r="A305" s="13" t="s">
        <v>213</v>
      </c>
      <c r="B305" s="13">
        <v>2025</v>
      </c>
      <c r="C305" s="16">
        <v>45901</v>
      </c>
      <c r="D305" s="13" t="s">
        <v>72</v>
      </c>
      <c r="E305" s="13" t="s">
        <v>159</v>
      </c>
      <c r="F305" s="19">
        <v>0.61466080433443104</v>
      </c>
    </row>
    <row r="306" spans="1:6">
      <c r="A306" s="13" t="s">
        <v>213</v>
      </c>
      <c r="B306" s="13">
        <v>2025</v>
      </c>
      <c r="C306" s="16">
        <v>45901</v>
      </c>
      <c r="D306" s="13" t="s">
        <v>72</v>
      </c>
      <c r="E306" s="13" t="s">
        <v>161</v>
      </c>
      <c r="F306" s="19">
        <v>-2.6622412513430653</v>
      </c>
    </row>
    <row r="307" spans="1:6">
      <c r="A307" s="13" t="s">
        <v>213</v>
      </c>
      <c r="B307" s="13">
        <v>2025</v>
      </c>
      <c r="C307" s="16">
        <v>45901</v>
      </c>
      <c r="D307" s="13" t="s">
        <v>72</v>
      </c>
      <c r="E307" s="13" t="s">
        <v>163</v>
      </c>
      <c r="F307" s="19">
        <v>-57.200585218775927</v>
      </c>
    </row>
    <row r="308" spans="1:6">
      <c r="A308" s="13" t="s">
        <v>213</v>
      </c>
      <c r="B308" s="13">
        <v>2025</v>
      </c>
      <c r="C308" s="16">
        <v>45901</v>
      </c>
      <c r="D308" s="13" t="s">
        <v>73</v>
      </c>
      <c r="E308" s="13" t="s">
        <v>144</v>
      </c>
      <c r="F308" s="19">
        <v>3938.8704954700729</v>
      </c>
    </row>
    <row r="309" spans="1:6">
      <c r="A309" s="13" t="s">
        <v>213</v>
      </c>
      <c r="B309" s="13">
        <v>2025</v>
      </c>
      <c r="C309" s="16">
        <v>45901</v>
      </c>
      <c r="D309" s="13" t="s">
        <v>73</v>
      </c>
      <c r="E309" s="13" t="s">
        <v>58</v>
      </c>
      <c r="F309" s="19">
        <v>-3199.7548975442332</v>
      </c>
    </row>
    <row r="310" spans="1:6">
      <c r="A310" s="13" t="s">
        <v>213</v>
      </c>
      <c r="B310" s="13">
        <v>2025</v>
      </c>
      <c r="C310" s="16">
        <v>45901</v>
      </c>
      <c r="D310" s="13" t="s">
        <v>73</v>
      </c>
      <c r="E310" s="13" t="s">
        <v>151</v>
      </c>
      <c r="F310" s="19">
        <v>-451.76382781759202</v>
      </c>
    </row>
    <row r="311" spans="1:6">
      <c r="A311" s="13" t="s">
        <v>213</v>
      </c>
      <c r="B311" s="13">
        <v>2025</v>
      </c>
      <c r="C311" s="16">
        <v>45901</v>
      </c>
      <c r="D311" s="13" t="s">
        <v>73</v>
      </c>
      <c r="E311" s="13" t="s">
        <v>153</v>
      </c>
      <c r="F311" s="19">
        <v>-110.63865552840988</v>
      </c>
    </row>
    <row r="312" spans="1:6">
      <c r="A312" s="13" t="s">
        <v>213</v>
      </c>
      <c r="B312" s="13">
        <v>2025</v>
      </c>
      <c r="C312" s="16">
        <v>45901</v>
      </c>
      <c r="D312" s="13" t="s">
        <v>73</v>
      </c>
      <c r="E312" s="13" t="s">
        <v>155</v>
      </c>
      <c r="F312" s="19">
        <v>79.965297959475535</v>
      </c>
    </row>
    <row r="313" spans="1:6">
      <c r="A313" s="13" t="s">
        <v>213</v>
      </c>
      <c r="B313" s="13">
        <v>2025</v>
      </c>
      <c r="C313" s="16">
        <v>45901</v>
      </c>
      <c r="D313" s="13" t="s">
        <v>73</v>
      </c>
      <c r="E313" s="13" t="s">
        <v>157</v>
      </c>
      <c r="F313" s="19">
        <v>-40.596305858964108</v>
      </c>
    </row>
    <row r="314" spans="1:6">
      <c r="A314" s="13" t="s">
        <v>213</v>
      </c>
      <c r="B314" s="13">
        <v>2025</v>
      </c>
      <c r="C314" s="16">
        <v>45901</v>
      </c>
      <c r="D314" s="13" t="s">
        <v>73</v>
      </c>
      <c r="E314" s="13" t="s">
        <v>159</v>
      </c>
      <c r="F314" s="19">
        <v>0.4128093038810754</v>
      </c>
    </row>
    <row r="315" spans="1:6">
      <c r="A315" s="13" t="s">
        <v>213</v>
      </c>
      <c r="B315" s="13">
        <v>2025</v>
      </c>
      <c r="C315" s="16">
        <v>45901</v>
      </c>
      <c r="D315" s="13" t="s">
        <v>73</v>
      </c>
      <c r="E315" s="13" t="s">
        <v>161</v>
      </c>
      <c r="F315" s="19">
        <v>-1.7879746845423705</v>
      </c>
    </row>
    <row r="316" spans="1:6">
      <c r="A316" s="13" t="s">
        <v>213</v>
      </c>
      <c r="B316" s="13">
        <v>2025</v>
      </c>
      <c r="C316" s="16">
        <v>45901</v>
      </c>
      <c r="D316" s="13" t="s">
        <v>73</v>
      </c>
      <c r="E316" s="13" t="s">
        <v>163</v>
      </c>
      <c r="F316" s="19">
        <v>-38.416202235835833</v>
      </c>
    </row>
    <row r="317" spans="1:6">
      <c r="A317" s="13" t="s">
        <v>213</v>
      </c>
      <c r="B317" s="13">
        <v>2025</v>
      </c>
      <c r="C317" s="16">
        <v>45901</v>
      </c>
      <c r="D317" s="13" t="s">
        <v>75</v>
      </c>
      <c r="E317" s="13" t="s">
        <v>144</v>
      </c>
      <c r="F317" s="19">
        <v>314.16871133469613</v>
      </c>
    </row>
    <row r="318" spans="1:6">
      <c r="A318" s="13" t="s">
        <v>213</v>
      </c>
      <c r="B318" s="13">
        <v>2025</v>
      </c>
      <c r="C318" s="16">
        <v>45901</v>
      </c>
      <c r="D318" s="13" t="s">
        <v>75</v>
      </c>
      <c r="E318" s="13" t="s">
        <v>58</v>
      </c>
      <c r="F318" s="19">
        <v>-255.21602548356549</v>
      </c>
    </row>
    <row r="319" spans="1:6">
      <c r="A319" s="13" t="s">
        <v>213</v>
      </c>
      <c r="B319" s="13">
        <v>2025</v>
      </c>
      <c r="C319" s="16">
        <v>45901</v>
      </c>
      <c r="D319" s="13" t="s">
        <v>75</v>
      </c>
      <c r="E319" s="13" t="s">
        <v>151</v>
      </c>
      <c r="F319" s="19">
        <v>-36.033187629882761</v>
      </c>
    </row>
    <row r="320" spans="1:6">
      <c r="A320" s="13" t="s">
        <v>213</v>
      </c>
      <c r="B320" s="13">
        <v>2025</v>
      </c>
      <c r="C320" s="16">
        <v>45901</v>
      </c>
      <c r="D320" s="13" t="s">
        <v>75</v>
      </c>
      <c r="E320" s="13" t="s">
        <v>153</v>
      </c>
      <c r="F320" s="19">
        <v>-8.8246627735384955</v>
      </c>
    </row>
    <row r="321" spans="1:6">
      <c r="A321" s="13" t="s">
        <v>213</v>
      </c>
      <c r="B321" s="13">
        <v>2025</v>
      </c>
      <c r="C321" s="16">
        <v>45901</v>
      </c>
      <c r="D321" s="13" t="s">
        <v>75</v>
      </c>
      <c r="E321" s="13" t="s">
        <v>155</v>
      </c>
      <c r="F321" s="19">
        <v>6.3781215047095001</v>
      </c>
    </row>
    <row r="322" spans="1:6">
      <c r="A322" s="13" t="s">
        <v>213</v>
      </c>
      <c r="B322" s="13">
        <v>2025</v>
      </c>
      <c r="C322" s="16">
        <v>45901</v>
      </c>
      <c r="D322" s="13" t="s">
        <v>75</v>
      </c>
      <c r="E322" s="13" t="s">
        <v>157</v>
      </c>
      <c r="F322" s="19">
        <v>-3.2380067106364279</v>
      </c>
    </row>
    <row r="323" spans="1:6">
      <c r="A323" s="13" t="s">
        <v>213</v>
      </c>
      <c r="B323" s="13">
        <v>2025</v>
      </c>
      <c r="C323" s="16">
        <v>45901</v>
      </c>
      <c r="D323" s="13" t="s">
        <v>75</v>
      </c>
      <c r="E323" s="13" t="s">
        <v>159</v>
      </c>
      <c r="F323" s="19">
        <v>3.2926131279625313E-2</v>
      </c>
    </row>
    <row r="324" spans="1:6">
      <c r="A324" s="13" t="s">
        <v>213</v>
      </c>
      <c r="B324" s="13">
        <v>2025</v>
      </c>
      <c r="C324" s="16">
        <v>45901</v>
      </c>
      <c r="D324" s="13" t="s">
        <v>75</v>
      </c>
      <c r="E324" s="13" t="s">
        <v>161</v>
      </c>
      <c r="F324" s="19">
        <v>-0.14261085841429749</v>
      </c>
    </row>
    <row r="325" spans="1:6">
      <c r="A325" s="13" t="s">
        <v>213</v>
      </c>
      <c r="B325" s="13">
        <v>2025</v>
      </c>
      <c r="C325" s="16">
        <v>45901</v>
      </c>
      <c r="D325" s="13" t="s">
        <v>75</v>
      </c>
      <c r="E325" s="13" t="s">
        <v>163</v>
      </c>
      <c r="F325" s="19">
        <v>-3.0641192099831289</v>
      </c>
    </row>
    <row r="326" spans="1:6">
      <c r="A326" s="13" t="s">
        <v>213</v>
      </c>
      <c r="B326" s="13">
        <v>2025</v>
      </c>
      <c r="C326" s="16">
        <v>45931</v>
      </c>
      <c r="D326" s="13" t="s">
        <v>67</v>
      </c>
      <c r="E326" s="13" t="s">
        <v>144</v>
      </c>
      <c r="F326" s="19">
        <v>4272.8893808026151</v>
      </c>
    </row>
    <row r="327" spans="1:6">
      <c r="A327" s="13" t="s">
        <v>213</v>
      </c>
      <c r="B327" s="13">
        <v>2025</v>
      </c>
      <c r="C327" s="16">
        <v>45931</v>
      </c>
      <c r="D327" s="13" t="s">
        <v>67</v>
      </c>
      <c r="E327" s="13" t="s">
        <v>58</v>
      </c>
      <c r="F327" s="19">
        <v>-3388.9876818782218</v>
      </c>
    </row>
    <row r="328" spans="1:6">
      <c r="A328" s="13" t="s">
        <v>213</v>
      </c>
      <c r="B328" s="13">
        <v>2025</v>
      </c>
      <c r="C328" s="16">
        <v>45931</v>
      </c>
      <c r="D328" s="13" t="s">
        <v>67</v>
      </c>
      <c r="E328" s="13" t="s">
        <v>151</v>
      </c>
      <c r="F328" s="19">
        <v>-570.83110968197991</v>
      </c>
    </row>
    <row r="329" spans="1:6">
      <c r="A329" s="13" t="s">
        <v>213</v>
      </c>
      <c r="B329" s="13">
        <v>2025</v>
      </c>
      <c r="C329" s="16">
        <v>45931</v>
      </c>
      <c r="D329" s="13" t="s">
        <v>67</v>
      </c>
      <c r="E329" s="13" t="s">
        <v>153</v>
      </c>
      <c r="F329" s="19">
        <v>-107.06218525715973</v>
      </c>
    </row>
    <row r="330" spans="1:6">
      <c r="A330" s="13" t="s">
        <v>213</v>
      </c>
      <c r="B330" s="13">
        <v>2025</v>
      </c>
      <c r="C330" s="16">
        <v>45931</v>
      </c>
      <c r="D330" s="13" t="s">
        <v>67</v>
      </c>
      <c r="E330" s="13" t="s">
        <v>155</v>
      </c>
      <c r="F330" s="19">
        <v>84.421860955288281</v>
      </c>
    </row>
    <row r="331" spans="1:6">
      <c r="A331" s="13" t="s">
        <v>213</v>
      </c>
      <c r="B331" s="13">
        <v>2025</v>
      </c>
      <c r="C331" s="16">
        <v>45931</v>
      </c>
      <c r="D331" s="13" t="s">
        <v>67</v>
      </c>
      <c r="E331" s="13" t="s">
        <v>157</v>
      </c>
      <c r="F331" s="19">
        <v>-39.406218067174116</v>
      </c>
    </row>
    <row r="332" spans="1:6">
      <c r="A332" s="13" t="s">
        <v>213</v>
      </c>
      <c r="B332" s="13">
        <v>2025</v>
      </c>
      <c r="C332" s="16">
        <v>45931</v>
      </c>
      <c r="D332" s="13" t="s">
        <v>67</v>
      </c>
      <c r="E332" s="13" t="s">
        <v>159</v>
      </c>
      <c r="F332" s="19">
        <v>0.59800997124290745</v>
      </c>
    </row>
    <row r="333" spans="1:6">
      <c r="A333" s="13" t="s">
        <v>213</v>
      </c>
      <c r="B333" s="13">
        <v>2025</v>
      </c>
      <c r="C333" s="16">
        <v>45931</v>
      </c>
      <c r="D333" s="13" t="s">
        <v>67</v>
      </c>
      <c r="E333" s="13" t="s">
        <v>161</v>
      </c>
      <c r="F333" s="19">
        <v>0.57214225167586308</v>
      </c>
    </row>
    <row r="334" spans="1:6">
      <c r="A334" s="13" t="s">
        <v>213</v>
      </c>
      <c r="B334" s="13">
        <v>2025</v>
      </c>
      <c r="C334" s="16">
        <v>45931</v>
      </c>
      <c r="D334" s="13" t="s">
        <v>67</v>
      </c>
      <c r="E334" s="13" t="s">
        <v>163</v>
      </c>
      <c r="F334" s="19">
        <v>-41.825140248202842</v>
      </c>
    </row>
    <row r="335" spans="1:6">
      <c r="A335" s="13" t="s">
        <v>213</v>
      </c>
      <c r="B335" s="13">
        <v>2025</v>
      </c>
      <c r="C335" s="16">
        <v>45931</v>
      </c>
      <c r="D335" s="13" t="s">
        <v>72</v>
      </c>
      <c r="E335" s="13" t="s">
        <v>144</v>
      </c>
      <c r="F335" s="19">
        <v>6023.3237229928309</v>
      </c>
    </row>
    <row r="336" spans="1:6">
      <c r="A336" s="13" t="s">
        <v>213</v>
      </c>
      <c r="B336" s="13">
        <v>2025</v>
      </c>
      <c r="C336" s="16">
        <v>45931</v>
      </c>
      <c r="D336" s="13" t="s">
        <v>72</v>
      </c>
      <c r="E336" s="13" t="s">
        <v>58</v>
      </c>
      <c r="F336" s="19">
        <v>-4777.3223413879314</v>
      </c>
    </row>
    <row r="337" spans="1:6">
      <c r="A337" s="13" t="s">
        <v>213</v>
      </c>
      <c r="B337" s="13">
        <v>2025</v>
      </c>
      <c r="C337" s="16">
        <v>45931</v>
      </c>
      <c r="D337" s="13" t="s">
        <v>72</v>
      </c>
      <c r="E337" s="13" t="s">
        <v>151</v>
      </c>
      <c r="F337" s="19">
        <v>-804.67811317969233</v>
      </c>
    </row>
    <row r="338" spans="1:6">
      <c r="A338" s="13" t="s">
        <v>213</v>
      </c>
      <c r="B338" s="13">
        <v>2025</v>
      </c>
      <c r="C338" s="16">
        <v>45931</v>
      </c>
      <c r="D338" s="13" t="s">
        <v>72</v>
      </c>
      <c r="E338" s="13" t="s">
        <v>153</v>
      </c>
      <c r="F338" s="19">
        <v>-150.92134217005443</v>
      </c>
    </row>
    <row r="339" spans="1:6">
      <c r="A339" s="13" t="s">
        <v>213</v>
      </c>
      <c r="B339" s="13">
        <v>2025</v>
      </c>
      <c r="C339" s="16">
        <v>45931</v>
      </c>
      <c r="D339" s="13" t="s">
        <v>72</v>
      </c>
      <c r="E339" s="13" t="s">
        <v>155</v>
      </c>
      <c r="F339" s="19">
        <v>119.00616948236419</v>
      </c>
    </row>
    <row r="340" spans="1:6">
      <c r="A340" s="13" t="s">
        <v>213</v>
      </c>
      <c r="B340" s="13">
        <v>2025</v>
      </c>
      <c r="C340" s="16">
        <v>45931</v>
      </c>
      <c r="D340" s="13" t="s">
        <v>72</v>
      </c>
      <c r="E340" s="13" t="s">
        <v>157</v>
      </c>
      <c r="F340" s="19">
        <v>-55.549392217790988</v>
      </c>
    </row>
    <row r="341" spans="1:6">
      <c r="A341" s="13" t="s">
        <v>213</v>
      </c>
      <c r="B341" s="13">
        <v>2025</v>
      </c>
      <c r="C341" s="16">
        <v>45931</v>
      </c>
      <c r="D341" s="13" t="s">
        <v>72</v>
      </c>
      <c r="E341" s="13" t="s">
        <v>159</v>
      </c>
      <c r="F341" s="19">
        <v>0.8429910829325209</v>
      </c>
    </row>
    <row r="342" spans="1:6">
      <c r="A342" s="13" t="s">
        <v>213</v>
      </c>
      <c r="B342" s="13">
        <v>2025</v>
      </c>
      <c r="C342" s="16">
        <v>45931</v>
      </c>
      <c r="D342" s="13" t="s">
        <v>72</v>
      </c>
      <c r="E342" s="13" t="s">
        <v>161</v>
      </c>
      <c r="F342" s="19">
        <v>0.80652637836330565</v>
      </c>
    </row>
    <row r="343" spans="1:6">
      <c r="A343" s="13" t="s">
        <v>213</v>
      </c>
      <c r="B343" s="13">
        <v>2025</v>
      </c>
      <c r="C343" s="16">
        <v>45931</v>
      </c>
      <c r="D343" s="13" t="s">
        <v>72</v>
      </c>
      <c r="E343" s="13" t="s">
        <v>163</v>
      </c>
      <c r="F343" s="19">
        <v>-58.959251462573754</v>
      </c>
    </row>
    <row r="344" spans="1:6">
      <c r="A344" s="13" t="s">
        <v>213</v>
      </c>
      <c r="B344" s="13">
        <v>2025</v>
      </c>
      <c r="C344" s="16">
        <v>45931</v>
      </c>
      <c r="D344" s="13" t="s">
        <v>73</v>
      </c>
      <c r="E344" s="13" t="s">
        <v>144</v>
      </c>
      <c r="F344" s="19">
        <v>4076.1708688273384</v>
      </c>
    </row>
    <row r="345" spans="1:6">
      <c r="A345" s="13" t="s">
        <v>213</v>
      </c>
      <c r="B345" s="13">
        <v>2025</v>
      </c>
      <c r="C345" s="16">
        <v>45931</v>
      </c>
      <c r="D345" s="13" t="s">
        <v>73</v>
      </c>
      <c r="E345" s="13" t="s">
        <v>58</v>
      </c>
      <c r="F345" s="19">
        <v>-3232.9629046216673</v>
      </c>
    </row>
    <row r="346" spans="1:6">
      <c r="A346" s="13" t="s">
        <v>213</v>
      </c>
      <c r="B346" s="13">
        <v>2025</v>
      </c>
      <c r="C346" s="16">
        <v>45931</v>
      </c>
      <c r="D346" s="13" t="s">
        <v>73</v>
      </c>
      <c r="E346" s="13" t="s">
        <v>151</v>
      </c>
      <c r="F346" s="19">
        <v>-544.55075545836041</v>
      </c>
    </row>
    <row r="347" spans="1:6">
      <c r="A347" s="13" t="s">
        <v>213</v>
      </c>
      <c r="B347" s="13">
        <v>2025</v>
      </c>
      <c r="C347" s="16">
        <v>45931</v>
      </c>
      <c r="D347" s="13" t="s">
        <v>73</v>
      </c>
      <c r="E347" s="13" t="s">
        <v>153</v>
      </c>
      <c r="F347" s="19">
        <v>-102.13317542432063</v>
      </c>
    </row>
    <row r="348" spans="1:6">
      <c r="A348" s="13" t="s">
        <v>213</v>
      </c>
      <c r="B348" s="13">
        <v>2025</v>
      </c>
      <c r="C348" s="16">
        <v>45931</v>
      </c>
      <c r="D348" s="13" t="s">
        <v>73</v>
      </c>
      <c r="E348" s="13" t="s">
        <v>155</v>
      </c>
      <c r="F348" s="19">
        <v>80.535183490638246</v>
      </c>
    </row>
    <row r="349" spans="1:6">
      <c r="A349" s="13" t="s">
        <v>213</v>
      </c>
      <c r="B349" s="13">
        <v>2025</v>
      </c>
      <c r="C349" s="16">
        <v>45931</v>
      </c>
      <c r="D349" s="13" t="s">
        <v>73</v>
      </c>
      <c r="E349" s="13" t="s">
        <v>157</v>
      </c>
      <c r="F349" s="19">
        <v>-37.592004805399561</v>
      </c>
    </row>
    <row r="350" spans="1:6">
      <c r="A350" s="13" t="s">
        <v>213</v>
      </c>
      <c r="B350" s="13">
        <v>2025</v>
      </c>
      <c r="C350" s="16">
        <v>45931</v>
      </c>
      <c r="D350" s="13" t="s">
        <v>73</v>
      </c>
      <c r="E350" s="13" t="s">
        <v>159</v>
      </c>
      <c r="F350" s="19">
        <v>0.57047833604125253</v>
      </c>
    </row>
    <row r="351" spans="1:6">
      <c r="A351" s="13" t="s">
        <v>213</v>
      </c>
      <c r="B351" s="13">
        <v>2025</v>
      </c>
      <c r="C351" s="16">
        <v>45931</v>
      </c>
      <c r="D351" s="13" t="s">
        <v>73</v>
      </c>
      <c r="E351" s="13" t="s">
        <v>161</v>
      </c>
      <c r="F351" s="19">
        <v>0.54580153410579613</v>
      </c>
    </row>
    <row r="352" spans="1:6">
      <c r="A352" s="13" t="s">
        <v>213</v>
      </c>
      <c r="B352" s="13">
        <v>2025</v>
      </c>
      <c r="C352" s="16">
        <v>45931</v>
      </c>
      <c r="D352" s="13" t="s">
        <v>73</v>
      </c>
      <c r="E352" s="13" t="s">
        <v>163</v>
      </c>
      <c r="F352" s="19">
        <v>-39.899562818150528</v>
      </c>
    </row>
    <row r="353" spans="1:6">
      <c r="A353" s="13" t="s">
        <v>213</v>
      </c>
      <c r="B353" s="13">
        <v>2025</v>
      </c>
      <c r="C353" s="16">
        <v>45931</v>
      </c>
      <c r="D353" s="13" t="s">
        <v>75</v>
      </c>
      <c r="E353" s="13" t="s">
        <v>144</v>
      </c>
      <c r="F353" s="19">
        <v>338.34680795324903</v>
      </c>
    </row>
    <row r="354" spans="1:6">
      <c r="A354" s="13" t="s">
        <v>213</v>
      </c>
      <c r="B354" s="13">
        <v>2025</v>
      </c>
      <c r="C354" s="16">
        <v>45931</v>
      </c>
      <c r="D354" s="13" t="s">
        <v>75</v>
      </c>
      <c r="E354" s="13" t="s">
        <v>58</v>
      </c>
      <c r="F354" s="19">
        <v>-268.35545275478006</v>
      </c>
    </row>
    <row r="355" spans="1:6">
      <c r="A355" s="13" t="s">
        <v>213</v>
      </c>
      <c r="B355" s="13">
        <v>2025</v>
      </c>
      <c r="C355" s="16">
        <v>45931</v>
      </c>
      <c r="D355" s="13" t="s">
        <v>75</v>
      </c>
      <c r="E355" s="13" t="s">
        <v>151</v>
      </c>
      <c r="F355" s="19">
        <v>-45.201002560246458</v>
      </c>
    </row>
    <row r="356" spans="1:6">
      <c r="A356" s="13" t="s">
        <v>213</v>
      </c>
      <c r="B356" s="13">
        <v>2025</v>
      </c>
      <c r="C356" s="16">
        <v>45931</v>
      </c>
      <c r="D356" s="13" t="s">
        <v>75</v>
      </c>
      <c r="E356" s="13" t="s">
        <v>153</v>
      </c>
      <c r="F356" s="19">
        <v>-8.4776705891354229</v>
      </c>
    </row>
    <row r="357" spans="1:6">
      <c r="A357" s="13" t="s">
        <v>213</v>
      </c>
      <c r="B357" s="13">
        <v>2025</v>
      </c>
      <c r="C357" s="16">
        <v>45931</v>
      </c>
      <c r="D357" s="13" t="s">
        <v>75</v>
      </c>
      <c r="E357" s="13" t="s">
        <v>155</v>
      </c>
      <c r="F357" s="19">
        <v>6.6849067762033698</v>
      </c>
    </row>
    <row r="358" spans="1:6">
      <c r="A358" s="13" t="s">
        <v>213</v>
      </c>
      <c r="B358" s="13">
        <v>2025</v>
      </c>
      <c r="C358" s="16">
        <v>45931</v>
      </c>
      <c r="D358" s="13" t="s">
        <v>75</v>
      </c>
      <c r="E358" s="13" t="s">
        <v>157</v>
      </c>
      <c r="F358" s="19">
        <v>-3.1203635077567964</v>
      </c>
    </row>
    <row r="359" spans="1:6">
      <c r="A359" s="13" t="s">
        <v>213</v>
      </c>
      <c r="B359" s="13">
        <v>2025</v>
      </c>
      <c r="C359" s="16">
        <v>45931</v>
      </c>
      <c r="D359" s="13" t="s">
        <v>75</v>
      </c>
      <c r="E359" s="13" t="s">
        <v>159</v>
      </c>
      <c r="F359" s="19">
        <v>4.7353148387905532E-2</v>
      </c>
    </row>
    <row r="360" spans="1:6">
      <c r="A360" s="13" t="s">
        <v>213</v>
      </c>
      <c r="B360" s="13">
        <v>2025</v>
      </c>
      <c r="C360" s="16">
        <v>45931</v>
      </c>
      <c r="D360" s="13" t="s">
        <v>75</v>
      </c>
      <c r="E360" s="13" t="s">
        <v>161</v>
      </c>
      <c r="F360" s="19">
        <v>4.530482474445674E-2</v>
      </c>
    </row>
    <row r="361" spans="1:6">
      <c r="A361" s="13" t="s">
        <v>213</v>
      </c>
      <c r="B361" s="13">
        <v>2025</v>
      </c>
      <c r="C361" s="16">
        <v>45931</v>
      </c>
      <c r="D361" s="13" t="s">
        <v>75</v>
      </c>
      <c r="E361" s="13" t="s">
        <v>163</v>
      </c>
      <c r="F361" s="19">
        <v>-3.311904763731143</v>
      </c>
    </row>
    <row r="362" spans="1:6">
      <c r="A362" s="13" t="s">
        <v>213</v>
      </c>
      <c r="B362" s="13">
        <v>2025</v>
      </c>
      <c r="C362" s="16">
        <v>45962</v>
      </c>
      <c r="D362" s="13" t="s">
        <v>67</v>
      </c>
      <c r="E362" s="13" t="s">
        <v>144</v>
      </c>
      <c r="F362" s="19">
        <v>3571.1480047506452</v>
      </c>
    </row>
    <row r="363" spans="1:6">
      <c r="A363" s="13" t="s">
        <v>213</v>
      </c>
      <c r="B363" s="13">
        <v>2025</v>
      </c>
      <c r="C363" s="16">
        <v>45962</v>
      </c>
      <c r="D363" s="13" t="s">
        <v>67</v>
      </c>
      <c r="E363" s="13" t="s">
        <v>58</v>
      </c>
      <c r="F363" s="19">
        <v>-2832.4104650681575</v>
      </c>
    </row>
    <row r="364" spans="1:6">
      <c r="A364" s="13" t="s">
        <v>213</v>
      </c>
      <c r="B364" s="13">
        <v>2025</v>
      </c>
      <c r="C364" s="16">
        <v>45962</v>
      </c>
      <c r="D364" s="13" t="s">
        <v>67</v>
      </c>
      <c r="E364" s="13" t="s">
        <v>151</v>
      </c>
      <c r="F364" s="19">
        <v>-477.08288156233181</v>
      </c>
    </row>
    <row r="365" spans="1:6">
      <c r="A365" s="13" t="s">
        <v>213</v>
      </c>
      <c r="B365" s="13">
        <v>2025</v>
      </c>
      <c r="C365" s="16">
        <v>45962</v>
      </c>
      <c r="D365" s="13" t="s">
        <v>67</v>
      </c>
      <c r="E365" s="13" t="s">
        <v>153</v>
      </c>
      <c r="F365" s="19">
        <v>-89.479243479392977</v>
      </c>
    </row>
    <row r="366" spans="1:6">
      <c r="A366" s="13" t="s">
        <v>213</v>
      </c>
      <c r="B366" s="13">
        <v>2025</v>
      </c>
      <c r="C366" s="16">
        <v>45962</v>
      </c>
      <c r="D366" s="13" t="s">
        <v>67</v>
      </c>
      <c r="E366" s="13" t="s">
        <v>155</v>
      </c>
      <c r="F366" s="19">
        <v>70.557164822082044</v>
      </c>
    </row>
    <row r="367" spans="1:6">
      <c r="A367" s="13" t="s">
        <v>213</v>
      </c>
      <c r="B367" s="13">
        <v>2025</v>
      </c>
      <c r="C367" s="16">
        <v>45962</v>
      </c>
      <c r="D367" s="13" t="s">
        <v>67</v>
      </c>
      <c r="E367" s="13" t="s">
        <v>157</v>
      </c>
      <c r="F367" s="19">
        <v>-32.934491039626202</v>
      </c>
    </row>
    <row r="368" spans="1:6">
      <c r="A368" s="13" t="s">
        <v>213</v>
      </c>
      <c r="B368" s="13">
        <v>2025</v>
      </c>
      <c r="C368" s="16">
        <v>45962</v>
      </c>
      <c r="D368" s="13" t="s">
        <v>67</v>
      </c>
      <c r="E368" s="13" t="s">
        <v>159</v>
      </c>
      <c r="F368" s="19">
        <v>0.49979812845610205</v>
      </c>
    </row>
    <row r="369" spans="1:6">
      <c r="A369" s="13" t="s">
        <v>213</v>
      </c>
      <c r="B369" s="13">
        <v>2025</v>
      </c>
      <c r="C369" s="16">
        <v>45962</v>
      </c>
      <c r="D369" s="13" t="s">
        <v>67</v>
      </c>
      <c r="E369" s="13" t="s">
        <v>161</v>
      </c>
      <c r="F369" s="19">
        <v>0.47817869324808182</v>
      </c>
    </row>
    <row r="370" spans="1:6">
      <c r="A370" s="13" t="s">
        <v>213</v>
      </c>
      <c r="B370" s="13">
        <v>2025</v>
      </c>
      <c r="C370" s="16">
        <v>45962</v>
      </c>
      <c r="D370" s="13" t="s">
        <v>67</v>
      </c>
      <c r="E370" s="13" t="s">
        <v>163</v>
      </c>
      <c r="F370" s="19">
        <v>-34.956150940123131</v>
      </c>
    </row>
    <row r="371" spans="1:6">
      <c r="A371" s="13" t="s">
        <v>213</v>
      </c>
      <c r="B371" s="13">
        <v>2025</v>
      </c>
      <c r="C371" s="16">
        <v>45962</v>
      </c>
      <c r="D371" s="13" t="s">
        <v>72</v>
      </c>
      <c r="E371" s="13" t="s">
        <v>144</v>
      </c>
      <c r="F371" s="19">
        <v>5965.722788451877</v>
      </c>
    </row>
    <row r="372" spans="1:6">
      <c r="A372" s="13" t="s">
        <v>213</v>
      </c>
      <c r="B372" s="13">
        <v>2025</v>
      </c>
      <c r="C372" s="16">
        <v>45962</v>
      </c>
      <c r="D372" s="13" t="s">
        <v>72</v>
      </c>
      <c r="E372" s="13" t="s">
        <v>58</v>
      </c>
      <c r="F372" s="19">
        <v>-4731.6368952584317</v>
      </c>
    </row>
    <row r="373" spans="1:6">
      <c r="A373" s="13" t="s">
        <v>213</v>
      </c>
      <c r="B373" s="13">
        <v>2025</v>
      </c>
      <c r="C373" s="16">
        <v>45962</v>
      </c>
      <c r="D373" s="13" t="s">
        <v>72</v>
      </c>
      <c r="E373" s="13" t="s">
        <v>151</v>
      </c>
      <c r="F373" s="19">
        <v>-796.98299110832352</v>
      </c>
    </row>
    <row r="374" spans="1:6">
      <c r="A374" s="13" t="s">
        <v>213</v>
      </c>
      <c r="B374" s="13">
        <v>2025</v>
      </c>
      <c r="C374" s="16">
        <v>45962</v>
      </c>
      <c r="D374" s="13" t="s">
        <v>72</v>
      </c>
      <c r="E374" s="13" t="s">
        <v>153</v>
      </c>
      <c r="F374" s="19">
        <v>-149.47808413662256</v>
      </c>
    </row>
    <row r="375" spans="1:6">
      <c r="A375" s="13" t="s">
        <v>213</v>
      </c>
      <c r="B375" s="13">
        <v>2025</v>
      </c>
      <c r="C375" s="16">
        <v>45962</v>
      </c>
      <c r="D375" s="13" t="s">
        <v>72</v>
      </c>
      <c r="E375" s="13" t="s">
        <v>155</v>
      </c>
      <c r="F375" s="19">
        <v>117.86811566132245</v>
      </c>
    </row>
    <row r="376" spans="1:6">
      <c r="A376" s="13" t="s">
        <v>213</v>
      </c>
      <c r="B376" s="13">
        <v>2025</v>
      </c>
      <c r="C376" s="16">
        <v>45962</v>
      </c>
      <c r="D376" s="13" t="s">
        <v>72</v>
      </c>
      <c r="E376" s="13" t="s">
        <v>157</v>
      </c>
      <c r="F376" s="19">
        <v>-55.018174396521886</v>
      </c>
    </row>
    <row r="377" spans="1:6">
      <c r="A377" s="13" t="s">
        <v>213</v>
      </c>
      <c r="B377" s="13">
        <v>2025</v>
      </c>
      <c r="C377" s="16">
        <v>45962</v>
      </c>
      <c r="D377" s="13" t="s">
        <v>72</v>
      </c>
      <c r="E377" s="13" t="s">
        <v>159</v>
      </c>
      <c r="F377" s="19">
        <v>0.83492957463250261</v>
      </c>
    </row>
    <row r="378" spans="1:6">
      <c r="A378" s="13" t="s">
        <v>213</v>
      </c>
      <c r="B378" s="13">
        <v>2025</v>
      </c>
      <c r="C378" s="16">
        <v>45962</v>
      </c>
      <c r="D378" s="13" t="s">
        <v>72</v>
      </c>
      <c r="E378" s="13" t="s">
        <v>161</v>
      </c>
      <c r="F378" s="19">
        <v>0.79881358136580771</v>
      </c>
    </row>
    <row r="379" spans="1:6">
      <c r="A379" s="13" t="s">
        <v>213</v>
      </c>
      <c r="B379" s="13">
        <v>2025</v>
      </c>
      <c r="C379" s="16">
        <v>45962</v>
      </c>
      <c r="D379" s="13" t="s">
        <v>72</v>
      </c>
      <c r="E379" s="13" t="s">
        <v>163</v>
      </c>
      <c r="F379" s="19">
        <v>-58.395425219744503</v>
      </c>
    </row>
    <row r="380" spans="1:6">
      <c r="A380" s="13" t="s">
        <v>213</v>
      </c>
      <c r="B380" s="13">
        <v>2025</v>
      </c>
      <c r="C380" s="16">
        <v>45962</v>
      </c>
      <c r="D380" s="13" t="s">
        <v>73</v>
      </c>
      <c r="E380" s="13" t="s">
        <v>144</v>
      </c>
      <c r="F380" s="19">
        <v>4022.6940494799737</v>
      </c>
    </row>
    <row r="381" spans="1:6">
      <c r="A381" s="13" t="s">
        <v>213</v>
      </c>
      <c r="B381" s="13">
        <v>2025</v>
      </c>
      <c r="C381" s="16">
        <v>45962</v>
      </c>
      <c r="D381" s="13" t="s">
        <v>73</v>
      </c>
      <c r="E381" s="13" t="s">
        <v>58</v>
      </c>
      <c r="F381" s="19">
        <v>-3190.548447826111</v>
      </c>
    </row>
    <row r="382" spans="1:6">
      <c r="A382" s="13" t="s">
        <v>213</v>
      </c>
      <c r="B382" s="13">
        <v>2025</v>
      </c>
      <c r="C382" s="16">
        <v>45962</v>
      </c>
      <c r="D382" s="13" t="s">
        <v>73</v>
      </c>
      <c r="E382" s="13" t="s">
        <v>151</v>
      </c>
      <c r="F382" s="19">
        <v>-537.40658920227429</v>
      </c>
    </row>
    <row r="383" spans="1:6">
      <c r="A383" s="13" t="s">
        <v>213</v>
      </c>
      <c r="B383" s="13">
        <v>2025</v>
      </c>
      <c r="C383" s="16">
        <v>45962</v>
      </c>
      <c r="D383" s="13" t="s">
        <v>73</v>
      </c>
      <c r="E383" s="13" t="s">
        <v>153</v>
      </c>
      <c r="F383" s="19">
        <v>-100.79325186682011</v>
      </c>
    </row>
    <row r="384" spans="1:6">
      <c r="A384" s="13" t="s">
        <v>213</v>
      </c>
      <c r="B384" s="13">
        <v>2025</v>
      </c>
      <c r="C384" s="16">
        <v>45962</v>
      </c>
      <c r="D384" s="13" t="s">
        <v>73</v>
      </c>
      <c r="E384" s="13" t="s">
        <v>155</v>
      </c>
      <c r="F384" s="19">
        <v>79.478612115877723</v>
      </c>
    </row>
    <row r="385" spans="1:6">
      <c r="A385" s="13" t="s">
        <v>213</v>
      </c>
      <c r="B385" s="13">
        <v>2025</v>
      </c>
      <c r="C385" s="16">
        <v>45962</v>
      </c>
      <c r="D385" s="13" t="s">
        <v>73</v>
      </c>
      <c r="E385" s="13" t="s">
        <v>157</v>
      </c>
      <c r="F385" s="19">
        <v>-37.098821149813027</v>
      </c>
    </row>
    <row r="386" spans="1:6">
      <c r="A386" s="13" t="s">
        <v>213</v>
      </c>
      <c r="B386" s="13">
        <v>2025</v>
      </c>
      <c r="C386" s="16">
        <v>45962</v>
      </c>
      <c r="D386" s="13" t="s">
        <v>73</v>
      </c>
      <c r="E386" s="13" t="s">
        <v>159</v>
      </c>
      <c r="F386" s="19">
        <v>0.5629940160998661</v>
      </c>
    </row>
    <row r="387" spans="1:6">
      <c r="A387" s="13" t="s">
        <v>213</v>
      </c>
      <c r="B387" s="13">
        <v>2025</v>
      </c>
      <c r="C387" s="16">
        <v>45962</v>
      </c>
      <c r="D387" s="13" t="s">
        <v>73</v>
      </c>
      <c r="E387" s="13" t="s">
        <v>161</v>
      </c>
      <c r="F387" s="19">
        <v>0.5386409584140105</v>
      </c>
    </row>
    <row r="388" spans="1:6">
      <c r="A388" s="13" t="s">
        <v>213</v>
      </c>
      <c r="B388" s="13">
        <v>2025</v>
      </c>
      <c r="C388" s="16">
        <v>45962</v>
      </c>
      <c r="D388" s="13" t="s">
        <v>73</v>
      </c>
      <c r="E388" s="13" t="s">
        <v>163</v>
      </c>
      <c r="F388" s="19">
        <v>-39.376105440742087</v>
      </c>
    </row>
    <row r="389" spans="1:6">
      <c r="A389" s="13" t="s">
        <v>213</v>
      </c>
      <c r="B389" s="13">
        <v>2025</v>
      </c>
      <c r="C389" s="16">
        <v>45962</v>
      </c>
      <c r="D389" s="13" t="s">
        <v>75</v>
      </c>
      <c r="E389" s="13" t="s">
        <v>144</v>
      </c>
      <c r="F389" s="19">
        <v>319.21186425966988</v>
      </c>
    </row>
    <row r="390" spans="1:6">
      <c r="A390" s="13" t="s">
        <v>213</v>
      </c>
      <c r="B390" s="13">
        <v>2025</v>
      </c>
      <c r="C390" s="16">
        <v>45962</v>
      </c>
      <c r="D390" s="13" t="s">
        <v>75</v>
      </c>
      <c r="E390" s="13" t="s">
        <v>58</v>
      </c>
      <c r="F390" s="19">
        <v>-253.17881636388142</v>
      </c>
    </row>
    <row r="391" spans="1:6">
      <c r="A391" s="13" t="s">
        <v>213</v>
      </c>
      <c r="B391" s="13">
        <v>2025</v>
      </c>
      <c r="C391" s="16">
        <v>45962</v>
      </c>
      <c r="D391" s="13" t="s">
        <v>75</v>
      </c>
      <c r="E391" s="13" t="s">
        <v>151</v>
      </c>
      <c r="F391" s="19">
        <v>-42.644694598850961</v>
      </c>
    </row>
    <row r="392" spans="1:6">
      <c r="A392" s="13" t="s">
        <v>213</v>
      </c>
      <c r="B392" s="13">
        <v>2025</v>
      </c>
      <c r="C392" s="16">
        <v>45962</v>
      </c>
      <c r="D392" s="13" t="s">
        <v>75</v>
      </c>
      <c r="E392" s="13" t="s">
        <v>153</v>
      </c>
      <c r="F392" s="19">
        <v>-7.9982224443246892</v>
      </c>
    </row>
    <row r="393" spans="1:6">
      <c r="A393" s="13" t="s">
        <v>213</v>
      </c>
      <c r="B393" s="13">
        <v>2025</v>
      </c>
      <c r="C393" s="16">
        <v>45962</v>
      </c>
      <c r="D393" s="13" t="s">
        <v>75</v>
      </c>
      <c r="E393" s="13" t="s">
        <v>155</v>
      </c>
      <c r="F393" s="19">
        <v>6.3068470110373509</v>
      </c>
    </row>
    <row r="394" spans="1:6">
      <c r="A394" s="13" t="s">
        <v>213</v>
      </c>
      <c r="B394" s="13">
        <v>2025</v>
      </c>
      <c r="C394" s="16">
        <v>45962</v>
      </c>
      <c r="D394" s="13" t="s">
        <v>75</v>
      </c>
      <c r="E394" s="13" t="s">
        <v>157</v>
      </c>
      <c r="F394" s="19">
        <v>-2.9438937476735991</v>
      </c>
    </row>
    <row r="395" spans="1:6">
      <c r="A395" s="13" t="s">
        <v>213</v>
      </c>
      <c r="B395" s="13">
        <v>2025</v>
      </c>
      <c r="C395" s="16">
        <v>45962</v>
      </c>
      <c r="D395" s="13" t="s">
        <v>75</v>
      </c>
      <c r="E395" s="13" t="s">
        <v>159</v>
      </c>
      <c r="F395" s="19">
        <v>4.4675127473218869E-2</v>
      </c>
    </row>
    <row r="396" spans="1:6">
      <c r="A396" s="13" t="s">
        <v>213</v>
      </c>
      <c r="B396" s="13">
        <v>2025</v>
      </c>
      <c r="C396" s="16">
        <v>45962</v>
      </c>
      <c r="D396" s="13" t="s">
        <v>75</v>
      </c>
      <c r="E396" s="13" t="s">
        <v>161</v>
      </c>
      <c r="F396" s="19">
        <v>4.2742645199223855E-2</v>
      </c>
    </row>
    <row r="397" spans="1:6">
      <c r="A397" s="13" t="s">
        <v>213</v>
      </c>
      <c r="B397" s="13">
        <v>2025</v>
      </c>
      <c r="C397" s="16">
        <v>45962</v>
      </c>
      <c r="D397" s="13" t="s">
        <v>75</v>
      </c>
      <c r="E397" s="13" t="s">
        <v>163</v>
      </c>
      <c r="F397" s="19">
        <v>-3.1246025351218263</v>
      </c>
    </row>
    <row r="398" spans="1:6">
      <c r="A398" s="13" t="s">
        <v>213</v>
      </c>
      <c r="B398" s="13">
        <v>2025</v>
      </c>
      <c r="C398" s="16">
        <v>45992</v>
      </c>
      <c r="D398" s="13" t="s">
        <v>67</v>
      </c>
      <c r="E398" s="13" t="s">
        <v>144</v>
      </c>
      <c r="F398" s="19">
        <v>3281.7577323446826</v>
      </c>
    </row>
    <row r="399" spans="1:6">
      <c r="A399" s="13" t="s">
        <v>213</v>
      </c>
      <c r="B399" s="13">
        <v>2025</v>
      </c>
      <c r="C399" s="16">
        <v>45992</v>
      </c>
      <c r="D399" s="13" t="s">
        <v>67</v>
      </c>
      <c r="E399" s="13" t="s">
        <v>58</v>
      </c>
      <c r="F399" s="19">
        <v>-2602.8842637006492</v>
      </c>
    </row>
    <row r="400" spans="1:6">
      <c r="A400" s="13" t="s">
        <v>213</v>
      </c>
      <c r="B400" s="13">
        <v>2025</v>
      </c>
      <c r="C400" s="16">
        <v>45992</v>
      </c>
      <c r="D400" s="13" t="s">
        <v>67</v>
      </c>
      <c r="E400" s="13" t="s">
        <v>151</v>
      </c>
      <c r="F400" s="19">
        <v>-438.42216381221857</v>
      </c>
    </row>
    <row r="401" spans="1:6">
      <c r="A401" s="13" t="s">
        <v>213</v>
      </c>
      <c r="B401" s="13">
        <v>2025</v>
      </c>
      <c r="C401" s="16">
        <v>45992</v>
      </c>
      <c r="D401" s="13" t="s">
        <v>67</v>
      </c>
      <c r="E401" s="13" t="s">
        <v>153</v>
      </c>
      <c r="F401" s="19">
        <v>-82.228235509201326</v>
      </c>
    </row>
    <row r="402" spans="1:6">
      <c r="A402" s="13" t="s">
        <v>213</v>
      </c>
      <c r="B402" s="13">
        <v>2025</v>
      </c>
      <c r="C402" s="16">
        <v>45992</v>
      </c>
      <c r="D402" s="13" t="s">
        <v>67</v>
      </c>
      <c r="E402" s="13" t="s">
        <v>155</v>
      </c>
      <c r="F402" s="19">
        <v>64.839519650027498</v>
      </c>
    </row>
    <row r="403" spans="1:6">
      <c r="A403" s="13" t="s">
        <v>213</v>
      </c>
      <c r="B403" s="13">
        <v>2025</v>
      </c>
      <c r="C403" s="16">
        <v>45992</v>
      </c>
      <c r="D403" s="13" t="s">
        <v>67</v>
      </c>
      <c r="E403" s="13" t="s">
        <v>157</v>
      </c>
      <c r="F403" s="19">
        <v>-30.265623403552222</v>
      </c>
    </row>
    <row r="404" spans="1:6">
      <c r="A404" s="13" t="s">
        <v>213</v>
      </c>
      <c r="B404" s="13">
        <v>2025</v>
      </c>
      <c r="C404" s="16">
        <v>45992</v>
      </c>
      <c r="D404" s="13" t="s">
        <v>67</v>
      </c>
      <c r="E404" s="13" t="s">
        <v>159</v>
      </c>
      <c r="F404" s="19">
        <v>0.45929666608335989</v>
      </c>
    </row>
    <row r="405" spans="1:6">
      <c r="A405" s="13" t="s">
        <v>213</v>
      </c>
      <c r="B405" s="13">
        <v>2025</v>
      </c>
      <c r="C405" s="16">
        <v>45992</v>
      </c>
      <c r="D405" s="13" t="s">
        <v>67</v>
      </c>
      <c r="E405" s="13" t="s">
        <v>161</v>
      </c>
      <c r="F405" s="19">
        <v>0.43942917569414558</v>
      </c>
    </row>
    <row r="406" spans="1:6">
      <c r="A406" s="13" t="s">
        <v>213</v>
      </c>
      <c r="B406" s="13">
        <v>2025</v>
      </c>
      <c r="C406" s="16">
        <v>45992</v>
      </c>
      <c r="D406" s="13" t="s">
        <v>67</v>
      </c>
      <c r="E406" s="13" t="s">
        <v>163</v>
      </c>
      <c r="F406" s="19">
        <v>-32.123456795447794</v>
      </c>
    </row>
    <row r="407" spans="1:6">
      <c r="A407" s="13" t="s">
        <v>213</v>
      </c>
      <c r="B407" s="13">
        <v>2025</v>
      </c>
      <c r="C407" s="16">
        <v>45992</v>
      </c>
      <c r="D407" s="13" t="s">
        <v>72</v>
      </c>
      <c r="E407" s="13" t="s">
        <v>144</v>
      </c>
      <c r="F407" s="19">
        <v>5873.3283460457378</v>
      </c>
    </row>
    <row r="408" spans="1:6">
      <c r="A408" s="13" t="s">
        <v>213</v>
      </c>
      <c r="B408" s="13">
        <v>2025</v>
      </c>
      <c r="C408" s="16">
        <v>45992</v>
      </c>
      <c r="D408" s="13" t="s">
        <v>72</v>
      </c>
      <c r="E408" s="13" t="s">
        <v>58</v>
      </c>
      <c r="F408" s="19">
        <v>-4658.3554223995216</v>
      </c>
    </row>
    <row r="409" spans="1:6">
      <c r="A409" s="13" t="s">
        <v>213</v>
      </c>
      <c r="B409" s="13">
        <v>2025</v>
      </c>
      <c r="C409" s="16">
        <v>45992</v>
      </c>
      <c r="D409" s="13" t="s">
        <v>72</v>
      </c>
      <c r="E409" s="13" t="s">
        <v>151</v>
      </c>
      <c r="F409" s="19">
        <v>-784.6396755232995</v>
      </c>
    </row>
    <row r="410" spans="1:6">
      <c r="A410" s="13" t="s">
        <v>213</v>
      </c>
      <c r="B410" s="13">
        <v>2025</v>
      </c>
      <c r="C410" s="16">
        <v>45992</v>
      </c>
      <c r="D410" s="13" t="s">
        <v>72</v>
      </c>
      <c r="E410" s="13" t="s">
        <v>153</v>
      </c>
      <c r="F410" s="19">
        <v>-147.16303452310788</v>
      </c>
    </row>
    <row r="411" spans="1:6">
      <c r="A411" s="13" t="s">
        <v>213</v>
      </c>
      <c r="B411" s="13">
        <v>2025</v>
      </c>
      <c r="C411" s="16">
        <v>45992</v>
      </c>
      <c r="D411" s="13" t="s">
        <v>72</v>
      </c>
      <c r="E411" s="13" t="s">
        <v>155</v>
      </c>
      <c r="F411" s="19">
        <v>116.04262708094939</v>
      </c>
    </row>
    <row r="412" spans="1:6">
      <c r="A412" s="13" t="s">
        <v>213</v>
      </c>
      <c r="B412" s="13">
        <v>2025</v>
      </c>
      <c r="C412" s="16">
        <v>45992</v>
      </c>
      <c r="D412" s="13" t="s">
        <v>72</v>
      </c>
      <c r="E412" s="13" t="s">
        <v>157</v>
      </c>
      <c r="F412" s="19">
        <v>-54.166077554977306</v>
      </c>
    </row>
    <row r="413" spans="1:6">
      <c r="A413" s="13" t="s">
        <v>213</v>
      </c>
      <c r="B413" s="13">
        <v>2025</v>
      </c>
      <c r="C413" s="16">
        <v>45992</v>
      </c>
      <c r="D413" s="13" t="s">
        <v>72</v>
      </c>
      <c r="E413" s="13" t="s">
        <v>159</v>
      </c>
      <c r="F413" s="19">
        <v>0.82199855935872979</v>
      </c>
    </row>
    <row r="414" spans="1:6">
      <c r="A414" s="13" t="s">
        <v>213</v>
      </c>
      <c r="B414" s="13">
        <v>2025</v>
      </c>
      <c r="C414" s="16">
        <v>45992</v>
      </c>
      <c r="D414" s="13" t="s">
        <v>72</v>
      </c>
      <c r="E414" s="13" t="s">
        <v>161</v>
      </c>
      <c r="F414" s="19">
        <v>0.78644191441882616</v>
      </c>
    </row>
    <row r="415" spans="1:6">
      <c r="A415" s="13" t="s">
        <v>213</v>
      </c>
      <c r="B415" s="13">
        <v>2025</v>
      </c>
      <c r="C415" s="16">
        <v>45992</v>
      </c>
      <c r="D415" s="13" t="s">
        <v>72</v>
      </c>
      <c r="E415" s="13" t="s">
        <v>163</v>
      </c>
      <c r="F415" s="19">
        <v>-57.4910230301738</v>
      </c>
    </row>
    <row r="416" spans="1:6">
      <c r="A416" s="13" t="s">
        <v>213</v>
      </c>
      <c r="B416" s="13">
        <v>2025</v>
      </c>
      <c r="C416" s="16">
        <v>45992</v>
      </c>
      <c r="D416" s="13" t="s">
        <v>73</v>
      </c>
      <c r="E416" s="13" t="s">
        <v>144</v>
      </c>
      <c r="F416" s="19">
        <v>4260.3001329098097</v>
      </c>
    </row>
    <row r="417" spans="1:6">
      <c r="A417" s="13" t="s">
        <v>213</v>
      </c>
      <c r="B417" s="13">
        <v>2025</v>
      </c>
      <c r="C417" s="16">
        <v>45992</v>
      </c>
      <c r="D417" s="13" t="s">
        <v>73</v>
      </c>
      <c r="E417" s="13" t="s">
        <v>58</v>
      </c>
      <c r="F417" s="19">
        <v>-3379.0026805757043</v>
      </c>
    </row>
    <row r="418" spans="1:6">
      <c r="A418" s="13" t="s">
        <v>213</v>
      </c>
      <c r="B418" s="13">
        <v>2025</v>
      </c>
      <c r="C418" s="16">
        <v>45992</v>
      </c>
      <c r="D418" s="13" t="s">
        <v>73</v>
      </c>
      <c r="E418" s="13" t="s">
        <v>151</v>
      </c>
      <c r="F418" s="19">
        <v>-569.14926545334185</v>
      </c>
    </row>
    <row r="419" spans="1:6">
      <c r="A419" s="13" t="s">
        <v>213</v>
      </c>
      <c r="B419" s="13">
        <v>2025</v>
      </c>
      <c r="C419" s="16">
        <v>45992</v>
      </c>
      <c r="D419" s="13" t="s">
        <v>73</v>
      </c>
      <c r="E419" s="13" t="s">
        <v>153</v>
      </c>
      <c r="F419" s="19">
        <v>-106.74674709107862</v>
      </c>
    </row>
    <row r="420" spans="1:6">
      <c r="A420" s="13" t="s">
        <v>213</v>
      </c>
      <c r="B420" s="13">
        <v>2025</v>
      </c>
      <c r="C420" s="16">
        <v>45992</v>
      </c>
      <c r="D420" s="13" t="s">
        <v>73</v>
      </c>
      <c r="E420" s="13" t="s">
        <v>155</v>
      </c>
      <c r="F420" s="19">
        <v>84.17312815637402</v>
      </c>
    </row>
    <row r="421" spans="1:6">
      <c r="A421" s="13" t="s">
        <v>213</v>
      </c>
      <c r="B421" s="13">
        <v>2025</v>
      </c>
      <c r="C421" s="16">
        <v>45992</v>
      </c>
      <c r="D421" s="13" t="s">
        <v>73</v>
      </c>
      <c r="E421" s="13" t="s">
        <v>157</v>
      </c>
      <c r="F421" s="19">
        <v>-39.290115214150475</v>
      </c>
    </row>
    <row r="422" spans="1:6">
      <c r="A422" s="13" t="s">
        <v>213</v>
      </c>
      <c r="B422" s="13">
        <v>2025</v>
      </c>
      <c r="C422" s="16">
        <v>45992</v>
      </c>
      <c r="D422" s="13" t="s">
        <v>73</v>
      </c>
      <c r="E422" s="13" t="s">
        <v>159</v>
      </c>
      <c r="F422" s="19">
        <v>0.59624804971875789</v>
      </c>
    </row>
    <row r="423" spans="1:6">
      <c r="A423" s="13" t="s">
        <v>213</v>
      </c>
      <c r="B423" s="13">
        <v>2025</v>
      </c>
      <c r="C423" s="16">
        <v>45992</v>
      </c>
      <c r="D423" s="13" t="s">
        <v>73</v>
      </c>
      <c r="E423" s="13" t="s">
        <v>161</v>
      </c>
      <c r="F423" s="19">
        <v>0.57045654441916316</v>
      </c>
    </row>
    <row r="424" spans="1:6">
      <c r="A424" s="13" t="s">
        <v>213</v>
      </c>
      <c r="B424" s="13">
        <v>2025</v>
      </c>
      <c r="C424" s="16">
        <v>45992</v>
      </c>
      <c r="D424" s="13" t="s">
        <v>73</v>
      </c>
      <c r="E424" s="13" t="s">
        <v>163</v>
      </c>
      <c r="F424" s="19">
        <v>-41.701910505560392</v>
      </c>
    </row>
    <row r="425" spans="1:6">
      <c r="A425" s="13" t="s">
        <v>213</v>
      </c>
      <c r="B425" s="13">
        <v>2025</v>
      </c>
      <c r="C425" s="16">
        <v>45992</v>
      </c>
      <c r="D425" s="13" t="s">
        <v>75</v>
      </c>
      <c r="E425" s="13" t="s">
        <v>144</v>
      </c>
      <c r="F425" s="19">
        <v>315.81768972354678</v>
      </c>
    </row>
    <row r="426" spans="1:6">
      <c r="A426" s="13" t="s">
        <v>213</v>
      </c>
      <c r="B426" s="13">
        <v>2025</v>
      </c>
      <c r="C426" s="16">
        <v>45992</v>
      </c>
      <c r="D426" s="13" t="s">
        <v>75</v>
      </c>
      <c r="E426" s="13" t="s">
        <v>58</v>
      </c>
      <c r="F426" s="19">
        <v>-250.4867701469243</v>
      </c>
    </row>
    <row r="427" spans="1:6">
      <c r="A427" s="13" t="s">
        <v>213</v>
      </c>
      <c r="B427" s="13">
        <v>2025</v>
      </c>
      <c r="C427" s="16">
        <v>45992</v>
      </c>
      <c r="D427" s="13" t="s">
        <v>75</v>
      </c>
      <c r="E427" s="13" t="s">
        <v>151</v>
      </c>
      <c r="F427" s="19">
        <v>-42.191254258079596</v>
      </c>
    </row>
    <row r="428" spans="1:6">
      <c r="A428" s="13" t="s">
        <v>213</v>
      </c>
      <c r="B428" s="13">
        <v>2025</v>
      </c>
      <c r="C428" s="16">
        <v>45992</v>
      </c>
      <c r="D428" s="13" t="s">
        <v>75</v>
      </c>
      <c r="E428" s="13" t="s">
        <v>153</v>
      </c>
      <c r="F428" s="19">
        <v>-7.9131774757808779</v>
      </c>
    </row>
    <row r="429" spans="1:6">
      <c r="A429" s="13" t="s">
        <v>213</v>
      </c>
      <c r="B429" s="13">
        <v>2025</v>
      </c>
      <c r="C429" s="16">
        <v>45992</v>
      </c>
      <c r="D429" s="13" t="s">
        <v>75</v>
      </c>
      <c r="E429" s="13" t="s">
        <v>155</v>
      </c>
      <c r="F429" s="19">
        <v>6.2397864098352809</v>
      </c>
    </row>
    <row r="430" spans="1:6">
      <c r="A430" s="13" t="s">
        <v>213</v>
      </c>
      <c r="B430" s="13">
        <v>2025</v>
      </c>
      <c r="C430" s="16">
        <v>45992</v>
      </c>
      <c r="D430" s="13" t="s">
        <v>75</v>
      </c>
      <c r="E430" s="13" t="s">
        <v>157</v>
      </c>
      <c r="F430" s="19">
        <v>-2.9125913735636022</v>
      </c>
    </row>
    <row r="431" spans="1:6">
      <c r="A431" s="13" t="s">
        <v>213</v>
      </c>
      <c r="B431" s="13">
        <v>2025</v>
      </c>
      <c r="C431" s="16">
        <v>45992</v>
      </c>
      <c r="D431" s="13" t="s">
        <v>75</v>
      </c>
      <c r="E431" s="13" t="s">
        <v>159</v>
      </c>
      <c r="F431" s="19">
        <v>4.4200097572875623E-2</v>
      </c>
    </row>
    <row r="432" spans="1:6">
      <c r="A432" s="13" t="s">
        <v>213</v>
      </c>
      <c r="B432" s="13">
        <v>2025</v>
      </c>
      <c r="C432" s="16">
        <v>45992</v>
      </c>
      <c r="D432" s="13" t="s">
        <v>75</v>
      </c>
      <c r="E432" s="13" t="s">
        <v>161</v>
      </c>
      <c r="F432" s="19">
        <v>4.2288163351319435E-2</v>
      </c>
    </row>
    <row r="433" spans="1:6">
      <c r="A433" s="13" t="s">
        <v>213</v>
      </c>
      <c r="B433" s="13">
        <v>2025</v>
      </c>
      <c r="C433" s="16">
        <v>45992</v>
      </c>
      <c r="D433" s="13" t="s">
        <v>75</v>
      </c>
      <c r="E433" s="13" t="s">
        <v>163</v>
      </c>
      <c r="F433" s="19">
        <v>-3.0913786874280293</v>
      </c>
    </row>
    <row r="434" spans="1:6">
      <c r="A434" s="13" t="s">
        <v>214</v>
      </c>
      <c r="B434" s="13">
        <v>2025</v>
      </c>
      <c r="C434" s="16">
        <v>45658</v>
      </c>
      <c r="D434" s="13" t="s">
        <v>67</v>
      </c>
      <c r="E434" s="13" t="s">
        <v>144</v>
      </c>
      <c r="F434" s="19">
        <v>2654.5470109646349</v>
      </c>
    </row>
    <row r="435" spans="1:6">
      <c r="A435" s="13" t="s">
        <v>214</v>
      </c>
      <c r="B435" s="13">
        <v>2025</v>
      </c>
      <c r="C435" s="16">
        <v>45658</v>
      </c>
      <c r="D435" s="13" t="s">
        <v>67</v>
      </c>
      <c r="E435" s="13" t="s">
        <v>58</v>
      </c>
      <c r="F435" s="19">
        <v>-2112.9751782776666</v>
      </c>
    </row>
    <row r="436" spans="1:6">
      <c r="A436" s="13" t="s">
        <v>214</v>
      </c>
      <c r="B436" s="13">
        <v>2025</v>
      </c>
      <c r="C436" s="16">
        <v>45658</v>
      </c>
      <c r="D436" s="13" t="s">
        <v>67</v>
      </c>
      <c r="E436" s="13" t="s">
        <v>151</v>
      </c>
      <c r="F436" s="19">
        <v>-376.94567555697813</v>
      </c>
    </row>
    <row r="437" spans="1:6">
      <c r="A437" s="13" t="s">
        <v>214</v>
      </c>
      <c r="B437" s="13">
        <v>2025</v>
      </c>
      <c r="C437" s="16">
        <v>45658</v>
      </c>
      <c r="D437" s="13" t="s">
        <v>67</v>
      </c>
      <c r="E437" s="13" t="s">
        <v>153</v>
      </c>
      <c r="F437" s="19">
        <v>-71.672769296045146</v>
      </c>
    </row>
    <row r="438" spans="1:6">
      <c r="A438" s="13" t="s">
        <v>214</v>
      </c>
      <c r="B438" s="13">
        <v>2025</v>
      </c>
      <c r="C438" s="16">
        <v>45658</v>
      </c>
      <c r="D438" s="13" t="s">
        <v>67</v>
      </c>
      <c r="E438" s="13" t="s">
        <v>155</v>
      </c>
      <c r="F438" s="19">
        <v>39.818205164469525</v>
      </c>
    </row>
    <row r="439" spans="1:6">
      <c r="A439" s="13" t="s">
        <v>214</v>
      </c>
      <c r="B439" s="13">
        <v>2025</v>
      </c>
      <c r="C439" s="16">
        <v>45658</v>
      </c>
      <c r="D439" s="13" t="s">
        <v>67</v>
      </c>
      <c r="E439" s="13" t="s">
        <v>157</v>
      </c>
      <c r="F439" s="19">
        <v>-21.23637608771708</v>
      </c>
    </row>
    <row r="440" spans="1:6">
      <c r="A440" s="13" t="s">
        <v>214</v>
      </c>
      <c r="B440" s="13">
        <v>2025</v>
      </c>
      <c r="C440" s="16">
        <v>45658</v>
      </c>
      <c r="D440" s="13" t="s">
        <v>67</v>
      </c>
      <c r="E440" s="13" t="s">
        <v>159</v>
      </c>
      <c r="F440" s="19">
        <v>0</v>
      </c>
    </row>
    <row r="441" spans="1:6">
      <c r="A441" s="13" t="s">
        <v>214</v>
      </c>
      <c r="B441" s="13">
        <v>2025</v>
      </c>
      <c r="C441" s="16">
        <v>45658</v>
      </c>
      <c r="D441" s="13" t="s">
        <v>67</v>
      </c>
      <c r="E441" s="13" t="s">
        <v>161</v>
      </c>
      <c r="F441" s="19">
        <v>-4.2472752175434163</v>
      </c>
    </row>
    <row r="442" spans="1:6">
      <c r="A442" s="13" t="s">
        <v>214</v>
      </c>
      <c r="B442" s="13">
        <v>2025</v>
      </c>
      <c r="C442" s="16">
        <v>45658</v>
      </c>
      <c r="D442" s="13" t="s">
        <v>67</v>
      </c>
      <c r="E442" s="13" t="s">
        <v>163</v>
      </c>
      <c r="F442" s="19">
        <v>-21.457588338630863</v>
      </c>
    </row>
    <row r="443" spans="1:6">
      <c r="A443" s="13" t="s">
        <v>214</v>
      </c>
      <c r="B443" s="13">
        <v>2025</v>
      </c>
      <c r="C443" s="16">
        <v>45658</v>
      </c>
      <c r="D443" s="13" t="s">
        <v>72</v>
      </c>
      <c r="E443" s="13" t="s">
        <v>144</v>
      </c>
      <c r="F443" s="19">
        <v>5067.7715663870295</v>
      </c>
    </row>
    <row r="444" spans="1:6">
      <c r="A444" s="13" t="s">
        <v>214</v>
      </c>
      <c r="B444" s="13">
        <v>2025</v>
      </c>
      <c r="C444" s="16">
        <v>45658</v>
      </c>
      <c r="D444" s="13" t="s">
        <v>72</v>
      </c>
      <c r="E444" s="13" t="s">
        <v>58</v>
      </c>
      <c r="F444" s="19">
        <v>-4033.8617039846358</v>
      </c>
    </row>
    <row r="445" spans="1:6">
      <c r="A445" s="13" t="s">
        <v>214</v>
      </c>
      <c r="B445" s="13">
        <v>2025</v>
      </c>
      <c r="C445" s="16">
        <v>45658</v>
      </c>
      <c r="D445" s="13" t="s">
        <v>72</v>
      </c>
      <c r="E445" s="13" t="s">
        <v>151</v>
      </c>
      <c r="F445" s="19">
        <v>-719.62356242695807</v>
      </c>
    </row>
    <row r="446" spans="1:6">
      <c r="A446" s="13" t="s">
        <v>214</v>
      </c>
      <c r="B446" s="13">
        <v>2025</v>
      </c>
      <c r="C446" s="16">
        <v>45658</v>
      </c>
      <c r="D446" s="13" t="s">
        <v>72</v>
      </c>
      <c r="E446" s="13" t="s">
        <v>153</v>
      </c>
      <c r="F446" s="19">
        <v>-136.82983229244979</v>
      </c>
    </row>
    <row r="447" spans="1:6">
      <c r="A447" s="13" t="s">
        <v>214</v>
      </c>
      <c r="B447" s="13">
        <v>2025</v>
      </c>
      <c r="C447" s="16">
        <v>45658</v>
      </c>
      <c r="D447" s="13" t="s">
        <v>72</v>
      </c>
      <c r="E447" s="13" t="s">
        <v>155</v>
      </c>
      <c r="F447" s="19">
        <v>76.016573495805446</v>
      </c>
    </row>
    <row r="448" spans="1:6">
      <c r="A448" s="13" t="s">
        <v>214</v>
      </c>
      <c r="B448" s="13">
        <v>2025</v>
      </c>
      <c r="C448" s="16">
        <v>45658</v>
      </c>
      <c r="D448" s="13" t="s">
        <v>72</v>
      </c>
      <c r="E448" s="13" t="s">
        <v>157</v>
      </c>
      <c r="F448" s="19">
        <v>-40.542172531096234</v>
      </c>
    </row>
    <row r="449" spans="1:6">
      <c r="A449" s="13" t="s">
        <v>214</v>
      </c>
      <c r="B449" s="13">
        <v>2025</v>
      </c>
      <c r="C449" s="16">
        <v>45658</v>
      </c>
      <c r="D449" s="13" t="s">
        <v>72</v>
      </c>
      <c r="E449" s="13" t="s">
        <v>159</v>
      </c>
      <c r="F449" s="19">
        <v>0</v>
      </c>
    </row>
    <row r="450" spans="1:6">
      <c r="A450" s="13" t="s">
        <v>214</v>
      </c>
      <c r="B450" s="13">
        <v>2025</v>
      </c>
      <c r="C450" s="16">
        <v>45658</v>
      </c>
      <c r="D450" s="13" t="s">
        <v>72</v>
      </c>
      <c r="E450" s="13" t="s">
        <v>161</v>
      </c>
      <c r="F450" s="19">
        <v>-8.1084345062192469</v>
      </c>
    </row>
    <row r="451" spans="1:6">
      <c r="A451" s="13" t="s">
        <v>214</v>
      </c>
      <c r="B451" s="13">
        <v>2025</v>
      </c>
      <c r="C451" s="16">
        <v>45658</v>
      </c>
      <c r="D451" s="13" t="s">
        <v>72</v>
      </c>
      <c r="E451" s="13" t="s">
        <v>163</v>
      </c>
      <c r="F451" s="19">
        <v>-40.964486828295279</v>
      </c>
    </row>
    <row r="452" spans="1:6">
      <c r="A452" s="13" t="s">
        <v>214</v>
      </c>
      <c r="B452" s="13">
        <v>2025</v>
      </c>
      <c r="C452" s="16">
        <v>45658</v>
      </c>
      <c r="D452" s="13" t="s">
        <v>73</v>
      </c>
      <c r="E452" s="13" t="s">
        <v>144</v>
      </c>
      <c r="F452" s="19">
        <v>3740.4980609047129</v>
      </c>
    </row>
    <row r="453" spans="1:6">
      <c r="A453" s="13" t="s">
        <v>214</v>
      </c>
      <c r="B453" s="13">
        <v>2025</v>
      </c>
      <c r="C453" s="16">
        <v>45658</v>
      </c>
      <c r="D453" s="13" t="s">
        <v>73</v>
      </c>
      <c r="E453" s="13" t="s">
        <v>58</v>
      </c>
      <c r="F453" s="19">
        <v>-2977.374114845803</v>
      </c>
    </row>
    <row r="454" spans="1:6">
      <c r="A454" s="13" t="s">
        <v>214</v>
      </c>
      <c r="B454" s="13">
        <v>2025</v>
      </c>
      <c r="C454" s="16">
        <v>45658</v>
      </c>
      <c r="D454" s="13" t="s">
        <v>73</v>
      </c>
      <c r="E454" s="13" t="s">
        <v>151</v>
      </c>
      <c r="F454" s="19">
        <v>-531.15072464846912</v>
      </c>
    </row>
    <row r="455" spans="1:6">
      <c r="A455" s="13" t="s">
        <v>214</v>
      </c>
      <c r="B455" s="13">
        <v>2025</v>
      </c>
      <c r="C455" s="16">
        <v>45658</v>
      </c>
      <c r="D455" s="13" t="s">
        <v>73</v>
      </c>
      <c r="E455" s="13" t="s">
        <v>153</v>
      </c>
      <c r="F455" s="19">
        <v>-100.99344764442725</v>
      </c>
    </row>
    <row r="456" spans="1:6">
      <c r="A456" s="13" t="s">
        <v>214</v>
      </c>
      <c r="B456" s="13">
        <v>2025</v>
      </c>
      <c r="C456" s="16">
        <v>45658</v>
      </c>
      <c r="D456" s="13" t="s">
        <v>73</v>
      </c>
      <c r="E456" s="13" t="s">
        <v>155</v>
      </c>
      <c r="F456" s="19">
        <v>56.107470913570694</v>
      </c>
    </row>
    <row r="457" spans="1:6">
      <c r="A457" s="13" t="s">
        <v>214</v>
      </c>
      <c r="B457" s="13">
        <v>2025</v>
      </c>
      <c r="C457" s="16">
        <v>45658</v>
      </c>
      <c r="D457" s="13" t="s">
        <v>73</v>
      </c>
      <c r="E457" s="13" t="s">
        <v>157</v>
      </c>
      <c r="F457" s="19">
        <v>-29.923984487237703</v>
      </c>
    </row>
    <row r="458" spans="1:6">
      <c r="A458" s="13" t="s">
        <v>214</v>
      </c>
      <c r="B458" s="13">
        <v>2025</v>
      </c>
      <c r="C458" s="16">
        <v>45658</v>
      </c>
      <c r="D458" s="13" t="s">
        <v>73</v>
      </c>
      <c r="E458" s="13" t="s">
        <v>159</v>
      </c>
      <c r="F458" s="19">
        <v>0</v>
      </c>
    </row>
    <row r="459" spans="1:6">
      <c r="A459" s="13" t="s">
        <v>214</v>
      </c>
      <c r="B459" s="13">
        <v>2025</v>
      </c>
      <c r="C459" s="16">
        <v>45658</v>
      </c>
      <c r="D459" s="13" t="s">
        <v>73</v>
      </c>
      <c r="E459" s="13" t="s">
        <v>161</v>
      </c>
      <c r="F459" s="19">
        <v>-5.9847968974475405</v>
      </c>
    </row>
    <row r="460" spans="1:6">
      <c r="A460" s="13" t="s">
        <v>214</v>
      </c>
      <c r="B460" s="13">
        <v>2025</v>
      </c>
      <c r="C460" s="16">
        <v>45658</v>
      </c>
      <c r="D460" s="13" t="s">
        <v>73</v>
      </c>
      <c r="E460" s="13" t="s">
        <v>163</v>
      </c>
      <c r="F460" s="19">
        <v>-30.235692658979854</v>
      </c>
    </row>
    <row r="461" spans="1:6">
      <c r="A461" s="13" t="s">
        <v>214</v>
      </c>
      <c r="B461" s="13">
        <v>2025</v>
      </c>
      <c r="C461" s="16">
        <v>45658</v>
      </c>
      <c r="D461" s="13" t="s">
        <v>75</v>
      </c>
      <c r="E461" s="13" t="s">
        <v>144</v>
      </c>
      <c r="F461" s="19">
        <v>603.30613885559887</v>
      </c>
    </row>
    <row r="462" spans="1:6">
      <c r="A462" s="13" t="s">
        <v>214</v>
      </c>
      <c r="B462" s="13">
        <v>2025</v>
      </c>
      <c r="C462" s="16">
        <v>45658</v>
      </c>
      <c r="D462" s="13" t="s">
        <v>75</v>
      </c>
      <c r="E462" s="13" t="s">
        <v>58</v>
      </c>
      <c r="F462" s="19">
        <v>-480.22163142674248</v>
      </c>
    </row>
    <row r="463" spans="1:6">
      <c r="A463" s="13" t="s">
        <v>214</v>
      </c>
      <c r="B463" s="13">
        <v>2025</v>
      </c>
      <c r="C463" s="16">
        <v>45658</v>
      </c>
      <c r="D463" s="13" t="s">
        <v>75</v>
      </c>
      <c r="E463" s="13" t="s">
        <v>151</v>
      </c>
      <c r="F463" s="19">
        <v>-85.669471717495028</v>
      </c>
    </row>
    <row r="464" spans="1:6">
      <c r="A464" s="13" t="s">
        <v>214</v>
      </c>
      <c r="B464" s="13">
        <v>2025</v>
      </c>
      <c r="C464" s="16">
        <v>45658</v>
      </c>
      <c r="D464" s="13" t="s">
        <v>75</v>
      </c>
      <c r="E464" s="13" t="s">
        <v>153</v>
      </c>
      <c r="F464" s="19">
        <v>-16.289265749101173</v>
      </c>
    </row>
    <row r="465" spans="1:6">
      <c r="A465" s="13" t="s">
        <v>214</v>
      </c>
      <c r="B465" s="13">
        <v>2025</v>
      </c>
      <c r="C465" s="16">
        <v>45658</v>
      </c>
      <c r="D465" s="13" t="s">
        <v>75</v>
      </c>
      <c r="E465" s="13" t="s">
        <v>155</v>
      </c>
      <c r="F465" s="19">
        <v>9.0495920828339838</v>
      </c>
    </row>
    <row r="466" spans="1:6">
      <c r="A466" s="13" t="s">
        <v>214</v>
      </c>
      <c r="B466" s="13">
        <v>2025</v>
      </c>
      <c r="C466" s="16">
        <v>45658</v>
      </c>
      <c r="D466" s="13" t="s">
        <v>75</v>
      </c>
      <c r="E466" s="13" t="s">
        <v>157</v>
      </c>
      <c r="F466" s="19">
        <v>-4.8264491108447913</v>
      </c>
    </row>
    <row r="467" spans="1:6">
      <c r="A467" s="13" t="s">
        <v>214</v>
      </c>
      <c r="B467" s="13">
        <v>2025</v>
      </c>
      <c r="C467" s="16">
        <v>45658</v>
      </c>
      <c r="D467" s="13" t="s">
        <v>75</v>
      </c>
      <c r="E467" s="13" t="s">
        <v>159</v>
      </c>
      <c r="F467" s="19">
        <v>0</v>
      </c>
    </row>
    <row r="468" spans="1:6">
      <c r="A468" s="13" t="s">
        <v>214</v>
      </c>
      <c r="B468" s="13">
        <v>2025</v>
      </c>
      <c r="C468" s="16">
        <v>45658</v>
      </c>
      <c r="D468" s="13" t="s">
        <v>75</v>
      </c>
      <c r="E468" s="13" t="s">
        <v>161</v>
      </c>
      <c r="F468" s="19">
        <v>-0.96528982216895831</v>
      </c>
    </row>
    <row r="469" spans="1:6">
      <c r="A469" s="13" t="s">
        <v>214</v>
      </c>
      <c r="B469" s="13">
        <v>2025</v>
      </c>
      <c r="C469" s="16">
        <v>45658</v>
      </c>
      <c r="D469" s="13" t="s">
        <v>75</v>
      </c>
      <c r="E469" s="13" t="s">
        <v>163</v>
      </c>
      <c r="F469" s="19">
        <v>-4.8767246224161056</v>
      </c>
    </row>
    <row r="470" spans="1:6">
      <c r="A470" s="13" t="s">
        <v>214</v>
      </c>
      <c r="B470" s="13">
        <v>2025</v>
      </c>
      <c r="C470" s="16">
        <v>45689</v>
      </c>
      <c r="D470" s="13" t="s">
        <v>67</v>
      </c>
      <c r="E470" s="13" t="s">
        <v>144</v>
      </c>
      <c r="F470" s="19">
        <v>2654.5470109646349</v>
      </c>
    </row>
    <row r="471" spans="1:6">
      <c r="A471" s="13" t="s">
        <v>214</v>
      </c>
      <c r="B471" s="13">
        <v>2025</v>
      </c>
      <c r="C471" s="16">
        <v>45689</v>
      </c>
      <c r="D471" s="13" t="s">
        <v>67</v>
      </c>
      <c r="E471" s="13" t="s">
        <v>58</v>
      </c>
      <c r="F471" s="19">
        <v>-2112.9751782776666</v>
      </c>
    </row>
    <row r="472" spans="1:6">
      <c r="A472" s="13" t="s">
        <v>214</v>
      </c>
      <c r="B472" s="13">
        <v>2025</v>
      </c>
      <c r="C472" s="16">
        <v>45689</v>
      </c>
      <c r="D472" s="13" t="s">
        <v>67</v>
      </c>
      <c r="E472" s="13" t="s">
        <v>151</v>
      </c>
      <c r="F472" s="19">
        <v>-376.94567555697813</v>
      </c>
    </row>
    <row r="473" spans="1:6">
      <c r="A473" s="13" t="s">
        <v>214</v>
      </c>
      <c r="B473" s="13">
        <v>2025</v>
      </c>
      <c r="C473" s="16">
        <v>45689</v>
      </c>
      <c r="D473" s="13" t="s">
        <v>67</v>
      </c>
      <c r="E473" s="13" t="s">
        <v>153</v>
      </c>
      <c r="F473" s="19">
        <v>-71.672769296045146</v>
      </c>
    </row>
    <row r="474" spans="1:6">
      <c r="A474" s="13" t="s">
        <v>214</v>
      </c>
      <c r="B474" s="13">
        <v>2025</v>
      </c>
      <c r="C474" s="16">
        <v>45689</v>
      </c>
      <c r="D474" s="13" t="s">
        <v>67</v>
      </c>
      <c r="E474" s="13" t="s">
        <v>155</v>
      </c>
      <c r="F474" s="19">
        <v>39.818205164469525</v>
      </c>
    </row>
    <row r="475" spans="1:6">
      <c r="A475" s="13" t="s">
        <v>214</v>
      </c>
      <c r="B475" s="13">
        <v>2025</v>
      </c>
      <c r="C475" s="16">
        <v>45689</v>
      </c>
      <c r="D475" s="13" t="s">
        <v>67</v>
      </c>
      <c r="E475" s="13" t="s">
        <v>157</v>
      </c>
      <c r="F475" s="19">
        <v>-21.23637608771708</v>
      </c>
    </row>
    <row r="476" spans="1:6">
      <c r="A476" s="13" t="s">
        <v>214</v>
      </c>
      <c r="B476" s="13">
        <v>2025</v>
      </c>
      <c r="C476" s="16">
        <v>45689</v>
      </c>
      <c r="D476" s="13" t="s">
        <v>67</v>
      </c>
      <c r="E476" s="13" t="s">
        <v>159</v>
      </c>
      <c r="F476" s="19">
        <v>0</v>
      </c>
    </row>
    <row r="477" spans="1:6">
      <c r="A477" s="13" t="s">
        <v>214</v>
      </c>
      <c r="B477" s="13">
        <v>2025</v>
      </c>
      <c r="C477" s="16">
        <v>45689</v>
      </c>
      <c r="D477" s="13" t="s">
        <v>67</v>
      </c>
      <c r="E477" s="13" t="s">
        <v>161</v>
      </c>
      <c r="F477" s="19">
        <v>-4.2472752175434163</v>
      </c>
    </row>
    <row r="478" spans="1:6">
      <c r="A478" s="13" t="s">
        <v>214</v>
      </c>
      <c r="B478" s="13">
        <v>2025</v>
      </c>
      <c r="C478" s="16">
        <v>45689</v>
      </c>
      <c r="D478" s="13" t="s">
        <v>67</v>
      </c>
      <c r="E478" s="13" t="s">
        <v>163</v>
      </c>
      <c r="F478" s="19">
        <v>-21.457588338630863</v>
      </c>
    </row>
    <row r="479" spans="1:6">
      <c r="A479" s="13" t="s">
        <v>214</v>
      </c>
      <c r="B479" s="13">
        <v>2025</v>
      </c>
      <c r="C479" s="16">
        <v>45689</v>
      </c>
      <c r="D479" s="13" t="s">
        <v>72</v>
      </c>
      <c r="E479" s="13" t="s">
        <v>144</v>
      </c>
      <c r="F479" s="19">
        <v>5067.7715663870295</v>
      </c>
    </row>
    <row r="480" spans="1:6">
      <c r="A480" s="13" t="s">
        <v>214</v>
      </c>
      <c r="B480" s="13">
        <v>2025</v>
      </c>
      <c r="C480" s="16">
        <v>45689</v>
      </c>
      <c r="D480" s="13" t="s">
        <v>72</v>
      </c>
      <c r="E480" s="13" t="s">
        <v>58</v>
      </c>
      <c r="F480" s="19">
        <v>-4033.8617039846358</v>
      </c>
    </row>
    <row r="481" spans="1:6">
      <c r="A481" s="13" t="s">
        <v>214</v>
      </c>
      <c r="B481" s="13">
        <v>2025</v>
      </c>
      <c r="C481" s="16">
        <v>45689</v>
      </c>
      <c r="D481" s="13" t="s">
        <v>72</v>
      </c>
      <c r="E481" s="13" t="s">
        <v>151</v>
      </c>
      <c r="F481" s="19">
        <v>-719.62356242695807</v>
      </c>
    </row>
    <row r="482" spans="1:6">
      <c r="A482" s="13" t="s">
        <v>214</v>
      </c>
      <c r="B482" s="13">
        <v>2025</v>
      </c>
      <c r="C482" s="16">
        <v>45689</v>
      </c>
      <c r="D482" s="13" t="s">
        <v>72</v>
      </c>
      <c r="E482" s="13" t="s">
        <v>153</v>
      </c>
      <c r="F482" s="19">
        <v>-136.82983229244979</v>
      </c>
    </row>
    <row r="483" spans="1:6">
      <c r="A483" s="13" t="s">
        <v>214</v>
      </c>
      <c r="B483" s="13">
        <v>2025</v>
      </c>
      <c r="C483" s="16">
        <v>45689</v>
      </c>
      <c r="D483" s="13" t="s">
        <v>72</v>
      </c>
      <c r="E483" s="13" t="s">
        <v>155</v>
      </c>
      <c r="F483" s="19">
        <v>76.016573495805446</v>
      </c>
    </row>
    <row r="484" spans="1:6">
      <c r="A484" s="13" t="s">
        <v>214</v>
      </c>
      <c r="B484" s="13">
        <v>2025</v>
      </c>
      <c r="C484" s="16">
        <v>45689</v>
      </c>
      <c r="D484" s="13" t="s">
        <v>72</v>
      </c>
      <c r="E484" s="13" t="s">
        <v>157</v>
      </c>
      <c r="F484" s="19">
        <v>-40.542172531096234</v>
      </c>
    </row>
    <row r="485" spans="1:6">
      <c r="A485" s="13" t="s">
        <v>214</v>
      </c>
      <c r="B485" s="13">
        <v>2025</v>
      </c>
      <c r="C485" s="16">
        <v>45689</v>
      </c>
      <c r="D485" s="13" t="s">
        <v>72</v>
      </c>
      <c r="E485" s="13" t="s">
        <v>159</v>
      </c>
      <c r="F485" s="19">
        <v>0</v>
      </c>
    </row>
    <row r="486" spans="1:6">
      <c r="A486" s="13" t="s">
        <v>214</v>
      </c>
      <c r="B486" s="13">
        <v>2025</v>
      </c>
      <c r="C486" s="16">
        <v>45689</v>
      </c>
      <c r="D486" s="13" t="s">
        <v>72</v>
      </c>
      <c r="E486" s="13" t="s">
        <v>161</v>
      </c>
      <c r="F486" s="19">
        <v>-8.1084345062192469</v>
      </c>
    </row>
    <row r="487" spans="1:6">
      <c r="A487" s="13" t="s">
        <v>214</v>
      </c>
      <c r="B487" s="13">
        <v>2025</v>
      </c>
      <c r="C487" s="16">
        <v>45689</v>
      </c>
      <c r="D487" s="13" t="s">
        <v>72</v>
      </c>
      <c r="E487" s="13" t="s">
        <v>163</v>
      </c>
      <c r="F487" s="19">
        <v>-40.964486828295279</v>
      </c>
    </row>
    <row r="488" spans="1:6">
      <c r="A488" s="13" t="s">
        <v>214</v>
      </c>
      <c r="B488" s="13">
        <v>2025</v>
      </c>
      <c r="C488" s="16">
        <v>45689</v>
      </c>
      <c r="D488" s="13" t="s">
        <v>73</v>
      </c>
      <c r="E488" s="13" t="s">
        <v>144</v>
      </c>
      <c r="F488" s="19">
        <v>3740.4980609047129</v>
      </c>
    </row>
    <row r="489" spans="1:6">
      <c r="A489" s="13" t="s">
        <v>214</v>
      </c>
      <c r="B489" s="13">
        <v>2025</v>
      </c>
      <c r="C489" s="16">
        <v>45689</v>
      </c>
      <c r="D489" s="13" t="s">
        <v>73</v>
      </c>
      <c r="E489" s="13" t="s">
        <v>58</v>
      </c>
      <c r="F489" s="19">
        <v>-2977.374114845803</v>
      </c>
    </row>
    <row r="490" spans="1:6">
      <c r="A490" s="13" t="s">
        <v>214</v>
      </c>
      <c r="B490" s="13">
        <v>2025</v>
      </c>
      <c r="C490" s="16">
        <v>45689</v>
      </c>
      <c r="D490" s="13" t="s">
        <v>73</v>
      </c>
      <c r="E490" s="13" t="s">
        <v>151</v>
      </c>
      <c r="F490" s="19">
        <v>-531.15072464846912</v>
      </c>
    </row>
    <row r="491" spans="1:6">
      <c r="A491" s="13" t="s">
        <v>214</v>
      </c>
      <c r="B491" s="13">
        <v>2025</v>
      </c>
      <c r="C491" s="16">
        <v>45689</v>
      </c>
      <c r="D491" s="13" t="s">
        <v>73</v>
      </c>
      <c r="E491" s="13" t="s">
        <v>153</v>
      </c>
      <c r="F491" s="19">
        <v>-100.99344764442725</v>
      </c>
    </row>
    <row r="492" spans="1:6">
      <c r="A492" s="13" t="s">
        <v>214</v>
      </c>
      <c r="B492" s="13">
        <v>2025</v>
      </c>
      <c r="C492" s="16">
        <v>45689</v>
      </c>
      <c r="D492" s="13" t="s">
        <v>73</v>
      </c>
      <c r="E492" s="13" t="s">
        <v>155</v>
      </c>
      <c r="F492" s="19">
        <v>56.107470913570694</v>
      </c>
    </row>
    <row r="493" spans="1:6">
      <c r="A493" s="13" t="s">
        <v>214</v>
      </c>
      <c r="B493" s="13">
        <v>2025</v>
      </c>
      <c r="C493" s="16">
        <v>45689</v>
      </c>
      <c r="D493" s="13" t="s">
        <v>73</v>
      </c>
      <c r="E493" s="13" t="s">
        <v>157</v>
      </c>
      <c r="F493" s="19">
        <v>-29.923984487237703</v>
      </c>
    </row>
    <row r="494" spans="1:6">
      <c r="A494" s="13" t="s">
        <v>214</v>
      </c>
      <c r="B494" s="13">
        <v>2025</v>
      </c>
      <c r="C494" s="16">
        <v>45689</v>
      </c>
      <c r="D494" s="13" t="s">
        <v>73</v>
      </c>
      <c r="E494" s="13" t="s">
        <v>159</v>
      </c>
      <c r="F494" s="19">
        <v>0</v>
      </c>
    </row>
    <row r="495" spans="1:6">
      <c r="A495" s="13" t="s">
        <v>214</v>
      </c>
      <c r="B495" s="13">
        <v>2025</v>
      </c>
      <c r="C495" s="16">
        <v>45689</v>
      </c>
      <c r="D495" s="13" t="s">
        <v>73</v>
      </c>
      <c r="E495" s="13" t="s">
        <v>161</v>
      </c>
      <c r="F495" s="19">
        <v>-5.9847968974475405</v>
      </c>
    </row>
    <row r="496" spans="1:6">
      <c r="A496" s="13" t="s">
        <v>214</v>
      </c>
      <c r="B496" s="13">
        <v>2025</v>
      </c>
      <c r="C496" s="16">
        <v>45689</v>
      </c>
      <c r="D496" s="13" t="s">
        <v>73</v>
      </c>
      <c r="E496" s="13" t="s">
        <v>163</v>
      </c>
      <c r="F496" s="19">
        <v>-30.235692658979854</v>
      </c>
    </row>
    <row r="497" spans="1:6">
      <c r="A497" s="13" t="s">
        <v>214</v>
      </c>
      <c r="B497" s="13">
        <v>2025</v>
      </c>
      <c r="C497" s="16">
        <v>45689</v>
      </c>
      <c r="D497" s="13" t="s">
        <v>75</v>
      </c>
      <c r="E497" s="13" t="s">
        <v>144</v>
      </c>
      <c r="F497" s="19">
        <v>603.30613885559887</v>
      </c>
    </row>
    <row r="498" spans="1:6">
      <c r="A498" s="13" t="s">
        <v>214</v>
      </c>
      <c r="B498" s="13">
        <v>2025</v>
      </c>
      <c r="C498" s="16">
        <v>45689</v>
      </c>
      <c r="D498" s="13" t="s">
        <v>75</v>
      </c>
      <c r="E498" s="13" t="s">
        <v>58</v>
      </c>
      <c r="F498" s="19">
        <v>-480.22163142674248</v>
      </c>
    </row>
    <row r="499" spans="1:6">
      <c r="A499" s="13" t="s">
        <v>214</v>
      </c>
      <c r="B499" s="13">
        <v>2025</v>
      </c>
      <c r="C499" s="16">
        <v>45689</v>
      </c>
      <c r="D499" s="13" t="s">
        <v>75</v>
      </c>
      <c r="E499" s="13" t="s">
        <v>151</v>
      </c>
      <c r="F499" s="19">
        <v>-85.669471717495028</v>
      </c>
    </row>
    <row r="500" spans="1:6">
      <c r="A500" s="13" t="s">
        <v>214</v>
      </c>
      <c r="B500" s="13">
        <v>2025</v>
      </c>
      <c r="C500" s="16">
        <v>45689</v>
      </c>
      <c r="D500" s="13" t="s">
        <v>75</v>
      </c>
      <c r="E500" s="13" t="s">
        <v>153</v>
      </c>
      <c r="F500" s="19">
        <v>-16.289265749101173</v>
      </c>
    </row>
    <row r="501" spans="1:6">
      <c r="A501" s="13" t="s">
        <v>214</v>
      </c>
      <c r="B501" s="13">
        <v>2025</v>
      </c>
      <c r="C501" s="16">
        <v>45689</v>
      </c>
      <c r="D501" s="13" t="s">
        <v>75</v>
      </c>
      <c r="E501" s="13" t="s">
        <v>155</v>
      </c>
      <c r="F501" s="19">
        <v>9.0495920828339838</v>
      </c>
    </row>
    <row r="502" spans="1:6">
      <c r="A502" s="13" t="s">
        <v>214</v>
      </c>
      <c r="B502" s="13">
        <v>2025</v>
      </c>
      <c r="C502" s="16">
        <v>45689</v>
      </c>
      <c r="D502" s="13" t="s">
        <v>75</v>
      </c>
      <c r="E502" s="13" t="s">
        <v>157</v>
      </c>
      <c r="F502" s="19">
        <v>-4.8264491108447913</v>
      </c>
    </row>
    <row r="503" spans="1:6">
      <c r="A503" s="13" t="s">
        <v>214</v>
      </c>
      <c r="B503" s="13">
        <v>2025</v>
      </c>
      <c r="C503" s="16">
        <v>45689</v>
      </c>
      <c r="D503" s="13" t="s">
        <v>75</v>
      </c>
      <c r="E503" s="13" t="s">
        <v>159</v>
      </c>
      <c r="F503" s="19">
        <v>0</v>
      </c>
    </row>
    <row r="504" spans="1:6">
      <c r="A504" s="13" t="s">
        <v>214</v>
      </c>
      <c r="B504" s="13">
        <v>2025</v>
      </c>
      <c r="C504" s="16">
        <v>45689</v>
      </c>
      <c r="D504" s="13" t="s">
        <v>75</v>
      </c>
      <c r="E504" s="13" t="s">
        <v>161</v>
      </c>
      <c r="F504" s="19">
        <v>-0.96528982216895831</v>
      </c>
    </row>
    <row r="505" spans="1:6">
      <c r="A505" s="13" t="s">
        <v>214</v>
      </c>
      <c r="B505" s="13">
        <v>2025</v>
      </c>
      <c r="C505" s="16">
        <v>45689</v>
      </c>
      <c r="D505" s="13" t="s">
        <v>75</v>
      </c>
      <c r="E505" s="13" t="s">
        <v>163</v>
      </c>
      <c r="F505" s="19">
        <v>-4.8767246224161056</v>
      </c>
    </row>
    <row r="506" spans="1:6">
      <c r="A506" s="13" t="s">
        <v>214</v>
      </c>
      <c r="B506" s="13">
        <v>2025</v>
      </c>
      <c r="C506" s="16">
        <v>45717</v>
      </c>
      <c r="D506" s="13" t="s">
        <v>67</v>
      </c>
      <c r="E506" s="13" t="s">
        <v>144</v>
      </c>
      <c r="F506" s="19">
        <v>2414.1847983861962</v>
      </c>
    </row>
    <row r="507" spans="1:6">
      <c r="A507" s="13" t="s">
        <v>214</v>
      </c>
      <c r="B507" s="13">
        <v>2025</v>
      </c>
      <c r="C507" s="16">
        <v>45717</v>
      </c>
      <c r="D507" s="13" t="s">
        <v>67</v>
      </c>
      <c r="E507" s="13" t="s">
        <v>58</v>
      </c>
      <c r="F507" s="19">
        <v>-1921.6508631021059</v>
      </c>
    </row>
    <row r="508" spans="1:6">
      <c r="A508" s="13" t="s">
        <v>214</v>
      </c>
      <c r="B508" s="13">
        <v>2025</v>
      </c>
      <c r="C508" s="16">
        <v>45717</v>
      </c>
      <c r="D508" s="13" t="s">
        <v>67</v>
      </c>
      <c r="E508" s="13" t="s">
        <v>151</v>
      </c>
      <c r="F508" s="19">
        <v>-342.8142413708398</v>
      </c>
    </row>
    <row r="509" spans="1:6">
      <c r="A509" s="13" t="s">
        <v>214</v>
      </c>
      <c r="B509" s="13">
        <v>2025</v>
      </c>
      <c r="C509" s="16">
        <v>45717</v>
      </c>
      <c r="D509" s="13" t="s">
        <v>67</v>
      </c>
      <c r="E509" s="13" t="s">
        <v>153</v>
      </c>
      <c r="F509" s="19">
        <v>-65.182989556427302</v>
      </c>
    </row>
    <row r="510" spans="1:6">
      <c r="A510" s="13" t="s">
        <v>214</v>
      </c>
      <c r="B510" s="13">
        <v>2025</v>
      </c>
      <c r="C510" s="16">
        <v>45717</v>
      </c>
      <c r="D510" s="13" t="s">
        <v>67</v>
      </c>
      <c r="E510" s="13" t="s">
        <v>155</v>
      </c>
      <c r="F510" s="19">
        <v>36.212771975792947</v>
      </c>
    </row>
    <row r="511" spans="1:6">
      <c r="A511" s="13" t="s">
        <v>214</v>
      </c>
      <c r="B511" s="13">
        <v>2025</v>
      </c>
      <c r="C511" s="16">
        <v>45717</v>
      </c>
      <c r="D511" s="13" t="s">
        <v>67</v>
      </c>
      <c r="E511" s="13" t="s">
        <v>157</v>
      </c>
      <c r="F511" s="19">
        <v>-19.313478387089571</v>
      </c>
    </row>
    <row r="512" spans="1:6">
      <c r="A512" s="13" t="s">
        <v>214</v>
      </c>
      <c r="B512" s="13">
        <v>2025</v>
      </c>
      <c r="C512" s="16">
        <v>45717</v>
      </c>
      <c r="D512" s="13" t="s">
        <v>67</v>
      </c>
      <c r="E512" s="13" t="s">
        <v>159</v>
      </c>
      <c r="F512" s="19">
        <v>0</v>
      </c>
    </row>
    <row r="513" spans="1:6">
      <c r="A513" s="13" t="s">
        <v>214</v>
      </c>
      <c r="B513" s="13">
        <v>2025</v>
      </c>
      <c r="C513" s="16">
        <v>45717</v>
      </c>
      <c r="D513" s="13" t="s">
        <v>67</v>
      </c>
      <c r="E513" s="13" t="s">
        <v>161</v>
      </c>
      <c r="F513" s="19">
        <v>-3.8626956774179142</v>
      </c>
    </row>
    <row r="514" spans="1:6">
      <c r="A514" s="13" t="s">
        <v>214</v>
      </c>
      <c r="B514" s="13">
        <v>2025</v>
      </c>
      <c r="C514" s="16">
        <v>45717</v>
      </c>
      <c r="D514" s="13" t="s">
        <v>67</v>
      </c>
      <c r="E514" s="13" t="s">
        <v>163</v>
      </c>
      <c r="F514" s="19">
        <v>-19.514660453621811</v>
      </c>
    </row>
    <row r="515" spans="1:6">
      <c r="A515" s="13" t="s">
        <v>214</v>
      </c>
      <c r="B515" s="13">
        <v>2025</v>
      </c>
      <c r="C515" s="16">
        <v>45717</v>
      </c>
      <c r="D515" s="13" t="s">
        <v>72</v>
      </c>
      <c r="E515" s="13" t="s">
        <v>144</v>
      </c>
      <c r="F515" s="19">
        <v>4608.8982514645568</v>
      </c>
    </row>
    <row r="516" spans="1:6">
      <c r="A516" s="13" t="s">
        <v>214</v>
      </c>
      <c r="B516" s="13">
        <v>2025</v>
      </c>
      <c r="C516" s="16">
        <v>45717</v>
      </c>
      <c r="D516" s="13" t="s">
        <v>72</v>
      </c>
      <c r="E516" s="13" t="s">
        <v>58</v>
      </c>
      <c r="F516" s="19">
        <v>-3668.6061931949293</v>
      </c>
    </row>
    <row r="517" spans="1:6">
      <c r="A517" s="13" t="s">
        <v>214</v>
      </c>
      <c r="B517" s="13">
        <v>2025</v>
      </c>
      <c r="C517" s="16">
        <v>45717</v>
      </c>
      <c r="D517" s="13" t="s">
        <v>72</v>
      </c>
      <c r="E517" s="13" t="s">
        <v>151</v>
      </c>
      <c r="F517" s="19">
        <v>-654.46355170796687</v>
      </c>
    </row>
    <row r="518" spans="1:6">
      <c r="A518" s="13" t="s">
        <v>214</v>
      </c>
      <c r="B518" s="13">
        <v>2025</v>
      </c>
      <c r="C518" s="16">
        <v>45717</v>
      </c>
      <c r="D518" s="13" t="s">
        <v>72</v>
      </c>
      <c r="E518" s="13" t="s">
        <v>153</v>
      </c>
      <c r="F518" s="19">
        <v>-124.44025278954302</v>
      </c>
    </row>
    <row r="519" spans="1:6">
      <c r="A519" s="13" t="s">
        <v>214</v>
      </c>
      <c r="B519" s="13">
        <v>2025</v>
      </c>
      <c r="C519" s="16">
        <v>45717</v>
      </c>
      <c r="D519" s="13" t="s">
        <v>72</v>
      </c>
      <c r="E519" s="13" t="s">
        <v>155</v>
      </c>
      <c r="F519" s="19">
        <v>69.13347377196834</v>
      </c>
    </row>
    <row r="520" spans="1:6">
      <c r="A520" s="13" t="s">
        <v>214</v>
      </c>
      <c r="B520" s="13">
        <v>2025</v>
      </c>
      <c r="C520" s="16">
        <v>45717</v>
      </c>
      <c r="D520" s="13" t="s">
        <v>72</v>
      </c>
      <c r="E520" s="13" t="s">
        <v>157</v>
      </c>
      <c r="F520" s="19">
        <v>-36.871186011716453</v>
      </c>
    </row>
    <row r="521" spans="1:6">
      <c r="A521" s="13" t="s">
        <v>214</v>
      </c>
      <c r="B521" s="13">
        <v>2025</v>
      </c>
      <c r="C521" s="16">
        <v>45717</v>
      </c>
      <c r="D521" s="13" t="s">
        <v>72</v>
      </c>
      <c r="E521" s="13" t="s">
        <v>159</v>
      </c>
      <c r="F521" s="19">
        <v>0</v>
      </c>
    </row>
    <row r="522" spans="1:6">
      <c r="A522" s="13" t="s">
        <v>214</v>
      </c>
      <c r="B522" s="13">
        <v>2025</v>
      </c>
      <c r="C522" s="16">
        <v>45717</v>
      </c>
      <c r="D522" s="13" t="s">
        <v>72</v>
      </c>
      <c r="E522" s="13" t="s">
        <v>161</v>
      </c>
      <c r="F522" s="19">
        <v>-7.3742372023432905</v>
      </c>
    </row>
    <row r="523" spans="1:6">
      <c r="A523" s="13" t="s">
        <v>214</v>
      </c>
      <c r="B523" s="13">
        <v>2025</v>
      </c>
      <c r="C523" s="16">
        <v>45717</v>
      </c>
      <c r="D523" s="13" t="s">
        <v>72</v>
      </c>
      <c r="E523" s="13" t="s">
        <v>163</v>
      </c>
      <c r="F523" s="19">
        <v>-37.25526086600528</v>
      </c>
    </row>
    <row r="524" spans="1:6">
      <c r="A524" s="13" t="s">
        <v>214</v>
      </c>
      <c r="B524" s="13">
        <v>2025</v>
      </c>
      <c r="C524" s="16">
        <v>45717</v>
      </c>
      <c r="D524" s="13" t="s">
        <v>73</v>
      </c>
      <c r="E524" s="13" t="s">
        <v>144</v>
      </c>
      <c r="F524" s="19">
        <v>3401.8058522714587</v>
      </c>
    </row>
    <row r="525" spans="1:6">
      <c r="A525" s="13" t="s">
        <v>214</v>
      </c>
      <c r="B525" s="13">
        <v>2025</v>
      </c>
      <c r="C525" s="16">
        <v>45717</v>
      </c>
      <c r="D525" s="13" t="s">
        <v>73</v>
      </c>
      <c r="E525" s="13" t="s">
        <v>58</v>
      </c>
      <c r="F525" s="19">
        <v>-2707.7807616438763</v>
      </c>
    </row>
    <row r="526" spans="1:6">
      <c r="A526" s="13" t="s">
        <v>214</v>
      </c>
      <c r="B526" s="13">
        <v>2025</v>
      </c>
      <c r="C526" s="16">
        <v>45717</v>
      </c>
      <c r="D526" s="13" t="s">
        <v>73</v>
      </c>
      <c r="E526" s="13" t="s">
        <v>151</v>
      </c>
      <c r="F526" s="19">
        <v>-483.05643102254703</v>
      </c>
    </row>
    <row r="527" spans="1:6">
      <c r="A527" s="13" t="s">
        <v>214</v>
      </c>
      <c r="B527" s="13">
        <v>2025</v>
      </c>
      <c r="C527" s="16">
        <v>45717</v>
      </c>
      <c r="D527" s="13" t="s">
        <v>73</v>
      </c>
      <c r="E527" s="13" t="s">
        <v>153</v>
      </c>
      <c r="F527" s="19">
        <v>-91.84875801132938</v>
      </c>
    </row>
    <row r="528" spans="1:6">
      <c r="A528" s="13" t="s">
        <v>214</v>
      </c>
      <c r="B528" s="13">
        <v>2025</v>
      </c>
      <c r="C528" s="16">
        <v>45717</v>
      </c>
      <c r="D528" s="13" t="s">
        <v>73</v>
      </c>
      <c r="E528" s="13" t="s">
        <v>155</v>
      </c>
      <c r="F528" s="19">
        <v>51.027087784071881</v>
      </c>
    </row>
    <row r="529" spans="1:6">
      <c r="A529" s="13" t="s">
        <v>214</v>
      </c>
      <c r="B529" s="13">
        <v>2025</v>
      </c>
      <c r="C529" s="16">
        <v>45717</v>
      </c>
      <c r="D529" s="13" t="s">
        <v>73</v>
      </c>
      <c r="E529" s="13" t="s">
        <v>157</v>
      </c>
      <c r="F529" s="19">
        <v>-27.21444681817167</v>
      </c>
    </row>
    <row r="530" spans="1:6">
      <c r="A530" s="13" t="s">
        <v>214</v>
      </c>
      <c r="B530" s="13">
        <v>2025</v>
      </c>
      <c r="C530" s="16">
        <v>45717</v>
      </c>
      <c r="D530" s="13" t="s">
        <v>73</v>
      </c>
      <c r="E530" s="13" t="s">
        <v>159</v>
      </c>
      <c r="F530" s="19">
        <v>0</v>
      </c>
    </row>
    <row r="531" spans="1:6">
      <c r="A531" s="13" t="s">
        <v>214</v>
      </c>
      <c r="B531" s="13">
        <v>2025</v>
      </c>
      <c r="C531" s="16">
        <v>45717</v>
      </c>
      <c r="D531" s="13" t="s">
        <v>73</v>
      </c>
      <c r="E531" s="13" t="s">
        <v>161</v>
      </c>
      <c r="F531" s="19">
        <v>-5.4428893636343334</v>
      </c>
    </row>
    <row r="532" spans="1:6">
      <c r="A532" s="13" t="s">
        <v>214</v>
      </c>
      <c r="B532" s="13">
        <v>2025</v>
      </c>
      <c r="C532" s="16">
        <v>45717</v>
      </c>
      <c r="D532" s="13" t="s">
        <v>73</v>
      </c>
      <c r="E532" s="13" t="s">
        <v>163</v>
      </c>
      <c r="F532" s="19">
        <v>-27.497930639194372</v>
      </c>
    </row>
    <row r="533" spans="1:6">
      <c r="A533" s="13" t="s">
        <v>214</v>
      </c>
      <c r="B533" s="13">
        <v>2025</v>
      </c>
      <c r="C533" s="16">
        <v>45717</v>
      </c>
      <c r="D533" s="13" t="s">
        <v>75</v>
      </c>
      <c r="E533" s="13" t="s">
        <v>144</v>
      </c>
      <c r="F533" s="19">
        <v>548.67836326959014</v>
      </c>
    </row>
    <row r="534" spans="1:6">
      <c r="A534" s="13" t="s">
        <v>214</v>
      </c>
      <c r="B534" s="13">
        <v>2025</v>
      </c>
      <c r="C534" s="16">
        <v>45717</v>
      </c>
      <c r="D534" s="13" t="s">
        <v>75</v>
      </c>
      <c r="E534" s="13" t="s">
        <v>58</v>
      </c>
      <c r="F534" s="19">
        <v>-436.73883252320587</v>
      </c>
    </row>
    <row r="535" spans="1:6">
      <c r="A535" s="13" t="s">
        <v>214</v>
      </c>
      <c r="B535" s="13">
        <v>2025</v>
      </c>
      <c r="C535" s="16">
        <v>45717</v>
      </c>
      <c r="D535" s="13" t="s">
        <v>75</v>
      </c>
      <c r="E535" s="13" t="s">
        <v>151</v>
      </c>
      <c r="F535" s="19">
        <v>-77.912327584281783</v>
      </c>
    </row>
    <row r="536" spans="1:6">
      <c r="A536" s="13" t="s">
        <v>214</v>
      </c>
      <c r="B536" s="13">
        <v>2025</v>
      </c>
      <c r="C536" s="16">
        <v>45717</v>
      </c>
      <c r="D536" s="13" t="s">
        <v>75</v>
      </c>
      <c r="E536" s="13" t="s">
        <v>153</v>
      </c>
      <c r="F536" s="19">
        <v>-14.814315808278932</v>
      </c>
    </row>
    <row r="537" spans="1:6">
      <c r="A537" s="13" t="s">
        <v>214</v>
      </c>
      <c r="B537" s="13">
        <v>2025</v>
      </c>
      <c r="C537" s="16">
        <v>45717</v>
      </c>
      <c r="D537" s="13" t="s">
        <v>75</v>
      </c>
      <c r="E537" s="13" t="s">
        <v>155</v>
      </c>
      <c r="F537" s="19">
        <v>8.2301754490438519</v>
      </c>
    </row>
    <row r="538" spans="1:6">
      <c r="A538" s="13" t="s">
        <v>214</v>
      </c>
      <c r="B538" s="13">
        <v>2025</v>
      </c>
      <c r="C538" s="16">
        <v>45717</v>
      </c>
      <c r="D538" s="13" t="s">
        <v>75</v>
      </c>
      <c r="E538" s="13" t="s">
        <v>157</v>
      </c>
      <c r="F538" s="19">
        <v>-4.3894269061567206</v>
      </c>
    </row>
    <row r="539" spans="1:6">
      <c r="A539" s="13" t="s">
        <v>214</v>
      </c>
      <c r="B539" s="13">
        <v>2025</v>
      </c>
      <c r="C539" s="16">
        <v>45717</v>
      </c>
      <c r="D539" s="13" t="s">
        <v>75</v>
      </c>
      <c r="E539" s="13" t="s">
        <v>159</v>
      </c>
      <c r="F539" s="19">
        <v>0</v>
      </c>
    </row>
    <row r="540" spans="1:6">
      <c r="A540" s="13" t="s">
        <v>214</v>
      </c>
      <c r="B540" s="13">
        <v>2025</v>
      </c>
      <c r="C540" s="16">
        <v>45717</v>
      </c>
      <c r="D540" s="13" t="s">
        <v>75</v>
      </c>
      <c r="E540" s="13" t="s">
        <v>161</v>
      </c>
      <c r="F540" s="19">
        <v>-0.87788538123134419</v>
      </c>
    </row>
    <row r="541" spans="1:6">
      <c r="A541" s="13" t="s">
        <v>214</v>
      </c>
      <c r="B541" s="13">
        <v>2025</v>
      </c>
      <c r="C541" s="16">
        <v>45717</v>
      </c>
      <c r="D541" s="13" t="s">
        <v>75</v>
      </c>
      <c r="E541" s="13" t="s">
        <v>163</v>
      </c>
      <c r="F541" s="19">
        <v>-4.4351501030958662</v>
      </c>
    </row>
    <row r="542" spans="1:6">
      <c r="A542" s="13" t="s">
        <v>214</v>
      </c>
      <c r="B542" s="13">
        <v>2025</v>
      </c>
      <c r="C542" s="16">
        <v>45748</v>
      </c>
      <c r="D542" s="13" t="s">
        <v>67</v>
      </c>
      <c r="E542" s="13" t="s">
        <v>144</v>
      </c>
      <c r="F542" s="19">
        <v>2848.9738799026359</v>
      </c>
    </row>
    <row r="543" spans="1:6">
      <c r="A543" s="13" t="s">
        <v>214</v>
      </c>
      <c r="B543" s="13">
        <v>2025</v>
      </c>
      <c r="C543" s="16">
        <v>45748</v>
      </c>
      <c r="D543" s="13" t="s">
        <v>67</v>
      </c>
      <c r="E543" s="13" t="s">
        <v>58</v>
      </c>
      <c r="F543" s="19">
        <v>-2267.7357255044999</v>
      </c>
    </row>
    <row r="544" spans="1:6">
      <c r="A544" s="13" t="s">
        <v>214</v>
      </c>
      <c r="B544" s="13">
        <v>2025</v>
      </c>
      <c r="C544" s="16">
        <v>45748</v>
      </c>
      <c r="D544" s="13" t="s">
        <v>67</v>
      </c>
      <c r="E544" s="13" t="s">
        <v>151</v>
      </c>
      <c r="F544" s="19">
        <v>-404.55429094617426</v>
      </c>
    </row>
    <row r="545" spans="1:6">
      <c r="A545" s="13" t="s">
        <v>214</v>
      </c>
      <c r="B545" s="13">
        <v>2025</v>
      </c>
      <c r="C545" s="16">
        <v>45748</v>
      </c>
      <c r="D545" s="13" t="s">
        <v>67</v>
      </c>
      <c r="E545" s="13" t="s">
        <v>153</v>
      </c>
      <c r="F545" s="19">
        <v>-76.922294757371176</v>
      </c>
    </row>
    <row r="546" spans="1:6">
      <c r="A546" s="13" t="s">
        <v>214</v>
      </c>
      <c r="B546" s="13">
        <v>2025</v>
      </c>
      <c r="C546" s="16">
        <v>45748</v>
      </c>
      <c r="D546" s="13" t="s">
        <v>67</v>
      </c>
      <c r="E546" s="13" t="s">
        <v>155</v>
      </c>
      <c r="F546" s="19">
        <v>42.73460819853954</v>
      </c>
    </row>
    <row r="547" spans="1:6">
      <c r="A547" s="13" t="s">
        <v>214</v>
      </c>
      <c r="B547" s="13">
        <v>2025</v>
      </c>
      <c r="C547" s="16">
        <v>45748</v>
      </c>
      <c r="D547" s="13" t="s">
        <v>67</v>
      </c>
      <c r="E547" s="13" t="s">
        <v>157</v>
      </c>
      <c r="F547" s="19">
        <v>-22.791791039221089</v>
      </c>
    </row>
    <row r="548" spans="1:6">
      <c r="A548" s="13" t="s">
        <v>214</v>
      </c>
      <c r="B548" s="13">
        <v>2025</v>
      </c>
      <c r="C548" s="16">
        <v>45748</v>
      </c>
      <c r="D548" s="13" t="s">
        <v>67</v>
      </c>
      <c r="E548" s="13" t="s">
        <v>159</v>
      </c>
      <c r="F548" s="19">
        <v>0</v>
      </c>
    </row>
    <row r="549" spans="1:6">
      <c r="A549" s="13" t="s">
        <v>214</v>
      </c>
      <c r="B549" s="13">
        <v>2025</v>
      </c>
      <c r="C549" s="16">
        <v>45748</v>
      </c>
      <c r="D549" s="13" t="s">
        <v>67</v>
      </c>
      <c r="E549" s="13" t="s">
        <v>161</v>
      </c>
      <c r="F549" s="19">
        <v>-4.5583582078442175</v>
      </c>
    </row>
    <row r="550" spans="1:6">
      <c r="A550" s="13" t="s">
        <v>214</v>
      </c>
      <c r="B550" s="13">
        <v>2025</v>
      </c>
      <c r="C550" s="16">
        <v>45748</v>
      </c>
      <c r="D550" s="13" t="s">
        <v>67</v>
      </c>
      <c r="E550" s="13" t="s">
        <v>163</v>
      </c>
      <c r="F550" s="19">
        <v>-23.029205529213044</v>
      </c>
    </row>
    <row r="551" spans="1:6">
      <c r="A551" s="13" t="s">
        <v>214</v>
      </c>
      <c r="B551" s="13">
        <v>2025</v>
      </c>
      <c r="C551" s="16">
        <v>45748</v>
      </c>
      <c r="D551" s="13" t="s">
        <v>72</v>
      </c>
      <c r="E551" s="13" t="s">
        <v>144</v>
      </c>
      <c r="F551" s="19">
        <v>5438.9501343595784</v>
      </c>
    </row>
    <row r="552" spans="1:6">
      <c r="A552" s="13" t="s">
        <v>214</v>
      </c>
      <c r="B552" s="13">
        <v>2025</v>
      </c>
      <c r="C552" s="16">
        <v>45748</v>
      </c>
      <c r="D552" s="13" t="s">
        <v>72</v>
      </c>
      <c r="E552" s="13" t="s">
        <v>58</v>
      </c>
      <c r="F552" s="19">
        <v>-4329.3136577813184</v>
      </c>
    </row>
    <row r="553" spans="1:6">
      <c r="A553" s="13" t="s">
        <v>214</v>
      </c>
      <c r="B553" s="13">
        <v>2025</v>
      </c>
      <c r="C553" s="16">
        <v>45748</v>
      </c>
      <c r="D553" s="13" t="s">
        <v>72</v>
      </c>
      <c r="E553" s="13" t="s">
        <v>151</v>
      </c>
      <c r="F553" s="19">
        <v>-772.33091907905998</v>
      </c>
    </row>
    <row r="554" spans="1:6">
      <c r="A554" s="13" t="s">
        <v>214</v>
      </c>
      <c r="B554" s="13">
        <v>2025</v>
      </c>
      <c r="C554" s="16">
        <v>45748</v>
      </c>
      <c r="D554" s="13" t="s">
        <v>72</v>
      </c>
      <c r="E554" s="13" t="s">
        <v>153</v>
      </c>
      <c r="F554" s="19">
        <v>-146.8516536277086</v>
      </c>
    </row>
    <row r="555" spans="1:6">
      <c r="A555" s="13" t="s">
        <v>214</v>
      </c>
      <c r="B555" s="13">
        <v>2025</v>
      </c>
      <c r="C555" s="16">
        <v>45748</v>
      </c>
      <c r="D555" s="13" t="s">
        <v>72</v>
      </c>
      <c r="E555" s="13" t="s">
        <v>155</v>
      </c>
      <c r="F555" s="19">
        <v>81.584252015393673</v>
      </c>
    </row>
    <row r="556" spans="1:6">
      <c r="A556" s="13" t="s">
        <v>214</v>
      </c>
      <c r="B556" s="13">
        <v>2025</v>
      </c>
      <c r="C556" s="16">
        <v>45748</v>
      </c>
      <c r="D556" s="13" t="s">
        <v>72</v>
      </c>
      <c r="E556" s="13" t="s">
        <v>157</v>
      </c>
      <c r="F556" s="19">
        <v>-43.511601074876623</v>
      </c>
    </row>
    <row r="557" spans="1:6">
      <c r="A557" s="13" t="s">
        <v>214</v>
      </c>
      <c r="B557" s="13">
        <v>2025</v>
      </c>
      <c r="C557" s="16">
        <v>45748</v>
      </c>
      <c r="D557" s="13" t="s">
        <v>72</v>
      </c>
      <c r="E557" s="13" t="s">
        <v>159</v>
      </c>
      <c r="F557" s="19">
        <v>0</v>
      </c>
    </row>
    <row r="558" spans="1:6">
      <c r="A558" s="13" t="s">
        <v>214</v>
      </c>
      <c r="B558" s="13">
        <v>2025</v>
      </c>
      <c r="C558" s="16">
        <v>45748</v>
      </c>
      <c r="D558" s="13" t="s">
        <v>72</v>
      </c>
      <c r="E558" s="13" t="s">
        <v>161</v>
      </c>
      <c r="F558" s="19">
        <v>-8.7023202149753249</v>
      </c>
    </row>
    <row r="559" spans="1:6">
      <c r="A559" s="13" t="s">
        <v>214</v>
      </c>
      <c r="B559" s="13">
        <v>2025</v>
      </c>
      <c r="C559" s="16">
        <v>45748</v>
      </c>
      <c r="D559" s="13" t="s">
        <v>72</v>
      </c>
      <c r="E559" s="13" t="s">
        <v>163</v>
      </c>
      <c r="F559" s="19">
        <v>-43.964846919406718</v>
      </c>
    </row>
    <row r="560" spans="1:6">
      <c r="A560" s="13" t="s">
        <v>214</v>
      </c>
      <c r="B560" s="13">
        <v>2025</v>
      </c>
      <c r="C560" s="16">
        <v>45748</v>
      </c>
      <c r="D560" s="13" t="s">
        <v>73</v>
      </c>
      <c r="E560" s="13" t="s">
        <v>144</v>
      </c>
      <c r="F560" s="19">
        <v>4014.4631944082598</v>
      </c>
    </row>
    <row r="561" spans="1:6">
      <c r="A561" s="13" t="s">
        <v>214</v>
      </c>
      <c r="B561" s="13">
        <v>2025</v>
      </c>
      <c r="C561" s="16">
        <v>45748</v>
      </c>
      <c r="D561" s="13" t="s">
        <v>73</v>
      </c>
      <c r="E561" s="13" t="s">
        <v>58</v>
      </c>
      <c r="F561" s="19">
        <v>-3195.445795029068</v>
      </c>
    </row>
    <row r="562" spans="1:6">
      <c r="A562" s="13" t="s">
        <v>214</v>
      </c>
      <c r="B562" s="13">
        <v>2025</v>
      </c>
      <c r="C562" s="16">
        <v>45748</v>
      </c>
      <c r="D562" s="13" t="s">
        <v>73</v>
      </c>
      <c r="E562" s="13" t="s">
        <v>151</v>
      </c>
      <c r="F562" s="19">
        <v>-570.05377360597288</v>
      </c>
    </row>
    <row r="563" spans="1:6">
      <c r="A563" s="13" t="s">
        <v>214</v>
      </c>
      <c r="B563" s="13">
        <v>2025</v>
      </c>
      <c r="C563" s="16">
        <v>45748</v>
      </c>
      <c r="D563" s="13" t="s">
        <v>73</v>
      </c>
      <c r="E563" s="13" t="s">
        <v>153</v>
      </c>
      <c r="F563" s="19">
        <v>-108.39050624902302</v>
      </c>
    </row>
    <row r="564" spans="1:6">
      <c r="A564" s="13" t="s">
        <v>214</v>
      </c>
      <c r="B564" s="13">
        <v>2025</v>
      </c>
      <c r="C564" s="16">
        <v>45748</v>
      </c>
      <c r="D564" s="13" t="s">
        <v>73</v>
      </c>
      <c r="E564" s="13" t="s">
        <v>155</v>
      </c>
      <c r="F564" s="19">
        <v>60.2169479161239</v>
      </c>
    </row>
    <row r="565" spans="1:6">
      <c r="A565" s="13" t="s">
        <v>214</v>
      </c>
      <c r="B565" s="13">
        <v>2025</v>
      </c>
      <c r="C565" s="16">
        <v>45748</v>
      </c>
      <c r="D565" s="13" t="s">
        <v>73</v>
      </c>
      <c r="E565" s="13" t="s">
        <v>157</v>
      </c>
      <c r="F565" s="19">
        <v>-32.115705555266082</v>
      </c>
    </row>
    <row r="566" spans="1:6">
      <c r="A566" s="13" t="s">
        <v>214</v>
      </c>
      <c r="B566" s="13">
        <v>2025</v>
      </c>
      <c r="C566" s="16">
        <v>45748</v>
      </c>
      <c r="D566" s="13" t="s">
        <v>73</v>
      </c>
      <c r="E566" s="13" t="s">
        <v>159</v>
      </c>
      <c r="F566" s="19">
        <v>0</v>
      </c>
    </row>
    <row r="567" spans="1:6">
      <c r="A567" s="13" t="s">
        <v>214</v>
      </c>
      <c r="B567" s="13">
        <v>2025</v>
      </c>
      <c r="C567" s="16">
        <v>45748</v>
      </c>
      <c r="D567" s="13" t="s">
        <v>73</v>
      </c>
      <c r="E567" s="13" t="s">
        <v>161</v>
      </c>
      <c r="F567" s="19">
        <v>-6.4231411110532157</v>
      </c>
    </row>
    <row r="568" spans="1:6">
      <c r="A568" s="13" t="s">
        <v>214</v>
      </c>
      <c r="B568" s="13">
        <v>2025</v>
      </c>
      <c r="C568" s="16">
        <v>45748</v>
      </c>
      <c r="D568" s="13" t="s">
        <v>73</v>
      </c>
      <c r="E568" s="13" t="s">
        <v>163</v>
      </c>
      <c r="F568" s="19">
        <v>-32.450244154800203</v>
      </c>
    </row>
    <row r="569" spans="1:6">
      <c r="A569" s="13" t="s">
        <v>214</v>
      </c>
      <c r="B569" s="13">
        <v>2025</v>
      </c>
      <c r="C569" s="16">
        <v>45748</v>
      </c>
      <c r="D569" s="13" t="s">
        <v>75</v>
      </c>
      <c r="E569" s="13" t="s">
        <v>144</v>
      </c>
      <c r="F569" s="19">
        <v>647.49406361423553</v>
      </c>
    </row>
    <row r="570" spans="1:6">
      <c r="A570" s="13" t="s">
        <v>214</v>
      </c>
      <c r="B570" s="13">
        <v>2025</v>
      </c>
      <c r="C570" s="16">
        <v>45748</v>
      </c>
      <c r="D570" s="13" t="s">
        <v>75</v>
      </c>
      <c r="E570" s="13" t="s">
        <v>58</v>
      </c>
      <c r="F570" s="19">
        <v>-515.39448306920451</v>
      </c>
    </row>
    <row r="571" spans="1:6">
      <c r="A571" s="13" t="s">
        <v>214</v>
      </c>
      <c r="B571" s="13">
        <v>2025</v>
      </c>
      <c r="C571" s="16">
        <v>45748</v>
      </c>
      <c r="D571" s="13" t="s">
        <v>75</v>
      </c>
      <c r="E571" s="13" t="s">
        <v>151</v>
      </c>
      <c r="F571" s="19">
        <v>-91.94415703322143</v>
      </c>
    </row>
    <row r="572" spans="1:6">
      <c r="A572" s="13" t="s">
        <v>214</v>
      </c>
      <c r="B572" s="13">
        <v>2025</v>
      </c>
      <c r="C572" s="16">
        <v>45748</v>
      </c>
      <c r="D572" s="13" t="s">
        <v>75</v>
      </c>
      <c r="E572" s="13" t="s">
        <v>153</v>
      </c>
      <c r="F572" s="19">
        <v>-17.48233971758436</v>
      </c>
    </row>
    <row r="573" spans="1:6">
      <c r="A573" s="13" t="s">
        <v>214</v>
      </c>
      <c r="B573" s="13">
        <v>2025</v>
      </c>
      <c r="C573" s="16">
        <v>45748</v>
      </c>
      <c r="D573" s="13" t="s">
        <v>75</v>
      </c>
      <c r="E573" s="13" t="s">
        <v>155</v>
      </c>
      <c r="F573" s="19">
        <v>9.7124109542135333</v>
      </c>
    </row>
    <row r="574" spans="1:6">
      <c r="A574" s="13" t="s">
        <v>214</v>
      </c>
      <c r="B574" s="13">
        <v>2025</v>
      </c>
      <c r="C574" s="16">
        <v>45748</v>
      </c>
      <c r="D574" s="13" t="s">
        <v>75</v>
      </c>
      <c r="E574" s="13" t="s">
        <v>157</v>
      </c>
      <c r="F574" s="19">
        <v>-5.1799525089138845</v>
      </c>
    </row>
    <row r="575" spans="1:6">
      <c r="A575" s="13" t="s">
        <v>214</v>
      </c>
      <c r="B575" s="13">
        <v>2025</v>
      </c>
      <c r="C575" s="16">
        <v>45748</v>
      </c>
      <c r="D575" s="13" t="s">
        <v>75</v>
      </c>
      <c r="E575" s="13" t="s">
        <v>159</v>
      </c>
      <c r="F575" s="19">
        <v>0</v>
      </c>
    </row>
    <row r="576" spans="1:6">
      <c r="A576" s="13" t="s">
        <v>214</v>
      </c>
      <c r="B576" s="13">
        <v>2025</v>
      </c>
      <c r="C576" s="16">
        <v>45748</v>
      </c>
      <c r="D576" s="13" t="s">
        <v>75</v>
      </c>
      <c r="E576" s="13" t="s">
        <v>161</v>
      </c>
      <c r="F576" s="19">
        <v>-1.0359905017827769</v>
      </c>
    </row>
    <row r="577" spans="1:6">
      <c r="A577" s="13" t="s">
        <v>214</v>
      </c>
      <c r="B577" s="13">
        <v>2025</v>
      </c>
      <c r="C577" s="16">
        <v>45748</v>
      </c>
      <c r="D577" s="13" t="s">
        <v>75</v>
      </c>
      <c r="E577" s="13" t="s">
        <v>163</v>
      </c>
      <c r="F577" s="19">
        <v>-5.2339103475484192</v>
      </c>
    </row>
    <row r="578" spans="1:6">
      <c r="A578" s="13" t="s">
        <v>214</v>
      </c>
      <c r="B578" s="13">
        <v>2025</v>
      </c>
      <c r="C578" s="16">
        <v>45778</v>
      </c>
      <c r="D578" s="13" t="s">
        <v>67</v>
      </c>
      <c r="E578" s="13" t="s">
        <v>144</v>
      </c>
      <c r="F578" s="19">
        <v>2751.4533909975362</v>
      </c>
    </row>
    <row r="579" spans="1:6">
      <c r="A579" s="13" t="s">
        <v>214</v>
      </c>
      <c r="B579" s="13">
        <v>2025</v>
      </c>
      <c r="C579" s="16">
        <v>45778</v>
      </c>
      <c r="D579" s="13" t="s">
        <v>67</v>
      </c>
      <c r="E579" s="13" t="s">
        <v>58</v>
      </c>
      <c r="F579" s="19">
        <v>-2190.1110416775223</v>
      </c>
    </row>
    <row r="580" spans="1:6">
      <c r="A580" s="13" t="s">
        <v>214</v>
      </c>
      <c r="B580" s="13">
        <v>2025</v>
      </c>
      <c r="C580" s="16">
        <v>45778</v>
      </c>
      <c r="D580" s="13" t="s">
        <v>67</v>
      </c>
      <c r="E580" s="13" t="s">
        <v>151</v>
      </c>
      <c r="F580" s="19">
        <v>-390.70638152165009</v>
      </c>
    </row>
    <row r="581" spans="1:6">
      <c r="A581" s="13" t="s">
        <v>214</v>
      </c>
      <c r="B581" s="13">
        <v>2025</v>
      </c>
      <c r="C581" s="16">
        <v>45778</v>
      </c>
      <c r="D581" s="13" t="s">
        <v>67</v>
      </c>
      <c r="E581" s="13" t="s">
        <v>153</v>
      </c>
      <c r="F581" s="19">
        <v>-74.289241556933476</v>
      </c>
    </row>
    <row r="582" spans="1:6">
      <c r="A582" s="13" t="s">
        <v>214</v>
      </c>
      <c r="B582" s="13">
        <v>2025</v>
      </c>
      <c r="C582" s="16">
        <v>45778</v>
      </c>
      <c r="D582" s="13" t="s">
        <v>67</v>
      </c>
      <c r="E582" s="13" t="s">
        <v>155</v>
      </c>
      <c r="F582" s="19">
        <v>41.271800864963041</v>
      </c>
    </row>
    <row r="583" spans="1:6">
      <c r="A583" s="13" t="s">
        <v>214</v>
      </c>
      <c r="B583" s="13">
        <v>2025</v>
      </c>
      <c r="C583" s="16">
        <v>45778</v>
      </c>
      <c r="D583" s="13" t="s">
        <v>67</v>
      </c>
      <c r="E583" s="13" t="s">
        <v>157</v>
      </c>
      <c r="F583" s="19">
        <v>-22.01162712798029</v>
      </c>
    </row>
    <row r="584" spans="1:6">
      <c r="A584" s="13" t="s">
        <v>214</v>
      </c>
      <c r="B584" s="13">
        <v>2025</v>
      </c>
      <c r="C584" s="16">
        <v>45778</v>
      </c>
      <c r="D584" s="13" t="s">
        <v>67</v>
      </c>
      <c r="E584" s="13" t="s">
        <v>159</v>
      </c>
      <c r="F584" s="19">
        <v>0</v>
      </c>
    </row>
    <row r="585" spans="1:6">
      <c r="A585" s="13" t="s">
        <v>214</v>
      </c>
      <c r="B585" s="13">
        <v>2025</v>
      </c>
      <c r="C585" s="16">
        <v>45778</v>
      </c>
      <c r="D585" s="13" t="s">
        <v>67</v>
      </c>
      <c r="E585" s="13" t="s">
        <v>161</v>
      </c>
      <c r="F585" s="19">
        <v>-4.4023254255960582</v>
      </c>
    </row>
    <row r="586" spans="1:6">
      <c r="A586" s="13" t="s">
        <v>214</v>
      </c>
      <c r="B586" s="13">
        <v>2025</v>
      </c>
      <c r="C586" s="16">
        <v>45778</v>
      </c>
      <c r="D586" s="13" t="s">
        <v>67</v>
      </c>
      <c r="E586" s="13" t="s">
        <v>163</v>
      </c>
      <c r="F586" s="19">
        <v>-22.240914910563482</v>
      </c>
    </row>
    <row r="587" spans="1:6">
      <c r="A587" s="13" t="s">
        <v>214</v>
      </c>
      <c r="B587" s="13">
        <v>2025</v>
      </c>
      <c r="C587" s="16">
        <v>45778</v>
      </c>
      <c r="D587" s="13" t="s">
        <v>72</v>
      </c>
      <c r="E587" s="13" t="s">
        <v>144</v>
      </c>
      <c r="F587" s="19">
        <v>5252.7746555407502</v>
      </c>
    </row>
    <row r="588" spans="1:6">
      <c r="A588" s="13" t="s">
        <v>214</v>
      </c>
      <c r="B588" s="13">
        <v>2025</v>
      </c>
      <c r="C588" s="16">
        <v>45778</v>
      </c>
      <c r="D588" s="13" t="s">
        <v>72</v>
      </c>
      <c r="E588" s="13" t="s">
        <v>58</v>
      </c>
      <c r="F588" s="19">
        <v>-4181.1210795661782</v>
      </c>
    </row>
    <row r="589" spans="1:6">
      <c r="A589" s="13" t="s">
        <v>214</v>
      </c>
      <c r="B589" s="13">
        <v>2025</v>
      </c>
      <c r="C589" s="16">
        <v>45778</v>
      </c>
      <c r="D589" s="13" t="s">
        <v>72</v>
      </c>
      <c r="E589" s="13" t="s">
        <v>151</v>
      </c>
      <c r="F589" s="19">
        <v>-745.89400108678649</v>
      </c>
    </row>
    <row r="590" spans="1:6">
      <c r="A590" s="13" t="s">
        <v>214</v>
      </c>
      <c r="B590" s="13">
        <v>2025</v>
      </c>
      <c r="C590" s="16">
        <v>45778</v>
      </c>
      <c r="D590" s="13" t="s">
        <v>72</v>
      </c>
      <c r="E590" s="13" t="s">
        <v>153</v>
      </c>
      <c r="F590" s="19">
        <v>-141.82491569960027</v>
      </c>
    </row>
    <row r="591" spans="1:6">
      <c r="A591" s="13" t="s">
        <v>214</v>
      </c>
      <c r="B591" s="13">
        <v>2025</v>
      </c>
      <c r="C591" s="16">
        <v>45778</v>
      </c>
      <c r="D591" s="13" t="s">
        <v>72</v>
      </c>
      <c r="E591" s="13" t="s">
        <v>155</v>
      </c>
      <c r="F591" s="19">
        <v>78.791619833111255</v>
      </c>
    </row>
    <row r="592" spans="1:6">
      <c r="A592" s="13" t="s">
        <v>214</v>
      </c>
      <c r="B592" s="13">
        <v>2025</v>
      </c>
      <c r="C592" s="16">
        <v>45778</v>
      </c>
      <c r="D592" s="13" t="s">
        <v>72</v>
      </c>
      <c r="E592" s="13" t="s">
        <v>157</v>
      </c>
      <c r="F592" s="19">
        <v>-42.022197244326001</v>
      </c>
    </row>
    <row r="593" spans="1:6">
      <c r="A593" s="13" t="s">
        <v>214</v>
      </c>
      <c r="B593" s="13">
        <v>2025</v>
      </c>
      <c r="C593" s="16">
        <v>45778</v>
      </c>
      <c r="D593" s="13" t="s">
        <v>72</v>
      </c>
      <c r="E593" s="13" t="s">
        <v>159</v>
      </c>
      <c r="F593" s="19">
        <v>0</v>
      </c>
    </row>
    <row r="594" spans="1:6">
      <c r="A594" s="13" t="s">
        <v>214</v>
      </c>
      <c r="B594" s="13">
        <v>2025</v>
      </c>
      <c r="C594" s="16">
        <v>45778</v>
      </c>
      <c r="D594" s="13" t="s">
        <v>72</v>
      </c>
      <c r="E594" s="13" t="s">
        <v>161</v>
      </c>
      <c r="F594" s="19">
        <v>-8.404439448865201</v>
      </c>
    </row>
    <row r="595" spans="1:6">
      <c r="A595" s="13" t="s">
        <v>214</v>
      </c>
      <c r="B595" s="13">
        <v>2025</v>
      </c>
      <c r="C595" s="16">
        <v>45778</v>
      </c>
      <c r="D595" s="13" t="s">
        <v>72</v>
      </c>
      <c r="E595" s="13" t="s">
        <v>163</v>
      </c>
      <c r="F595" s="19">
        <v>-42.459928465621196</v>
      </c>
    </row>
    <row r="596" spans="1:6">
      <c r="A596" s="13" t="s">
        <v>214</v>
      </c>
      <c r="B596" s="13">
        <v>2025</v>
      </c>
      <c r="C596" s="16">
        <v>45778</v>
      </c>
      <c r="D596" s="13" t="s">
        <v>73</v>
      </c>
      <c r="E596" s="13" t="s">
        <v>144</v>
      </c>
      <c r="F596" s="19">
        <v>3877.0479600419826</v>
      </c>
    </row>
    <row r="597" spans="1:6">
      <c r="A597" s="13" t="s">
        <v>214</v>
      </c>
      <c r="B597" s="13">
        <v>2025</v>
      </c>
      <c r="C597" s="16">
        <v>45778</v>
      </c>
      <c r="D597" s="13" t="s">
        <v>73</v>
      </c>
      <c r="E597" s="13" t="s">
        <v>58</v>
      </c>
      <c r="F597" s="19">
        <v>-3086.0655587274173</v>
      </c>
    </row>
    <row r="598" spans="1:6">
      <c r="A598" s="13" t="s">
        <v>214</v>
      </c>
      <c r="B598" s="13">
        <v>2025</v>
      </c>
      <c r="C598" s="16">
        <v>45778</v>
      </c>
      <c r="D598" s="13" t="s">
        <v>73</v>
      </c>
      <c r="E598" s="13" t="s">
        <v>151</v>
      </c>
      <c r="F598" s="19">
        <v>-550.5408103259615</v>
      </c>
    </row>
    <row r="599" spans="1:6">
      <c r="A599" s="13" t="s">
        <v>214</v>
      </c>
      <c r="B599" s="13">
        <v>2025</v>
      </c>
      <c r="C599" s="16">
        <v>45778</v>
      </c>
      <c r="D599" s="13" t="s">
        <v>73</v>
      </c>
      <c r="E599" s="13" t="s">
        <v>153</v>
      </c>
      <c r="F599" s="19">
        <v>-104.68029492113354</v>
      </c>
    </row>
    <row r="600" spans="1:6">
      <c r="A600" s="13" t="s">
        <v>214</v>
      </c>
      <c r="B600" s="13">
        <v>2025</v>
      </c>
      <c r="C600" s="16">
        <v>45778</v>
      </c>
      <c r="D600" s="13" t="s">
        <v>73</v>
      </c>
      <c r="E600" s="13" t="s">
        <v>155</v>
      </c>
      <c r="F600" s="19">
        <v>58.155719400629742</v>
      </c>
    </row>
    <row r="601" spans="1:6">
      <c r="A601" s="13" t="s">
        <v>214</v>
      </c>
      <c r="B601" s="13">
        <v>2025</v>
      </c>
      <c r="C601" s="16">
        <v>45778</v>
      </c>
      <c r="D601" s="13" t="s">
        <v>73</v>
      </c>
      <c r="E601" s="13" t="s">
        <v>157</v>
      </c>
      <c r="F601" s="19">
        <v>-31.01638368033586</v>
      </c>
    </row>
    <row r="602" spans="1:6">
      <c r="A602" s="13" t="s">
        <v>214</v>
      </c>
      <c r="B602" s="13">
        <v>2025</v>
      </c>
      <c r="C602" s="16">
        <v>45778</v>
      </c>
      <c r="D602" s="13" t="s">
        <v>73</v>
      </c>
      <c r="E602" s="13" t="s">
        <v>159</v>
      </c>
      <c r="F602" s="19">
        <v>0</v>
      </c>
    </row>
    <row r="603" spans="1:6">
      <c r="A603" s="13" t="s">
        <v>214</v>
      </c>
      <c r="B603" s="13">
        <v>2025</v>
      </c>
      <c r="C603" s="16">
        <v>45778</v>
      </c>
      <c r="D603" s="13" t="s">
        <v>73</v>
      </c>
      <c r="E603" s="13" t="s">
        <v>161</v>
      </c>
      <c r="F603" s="19">
        <v>-6.2032767360671723</v>
      </c>
    </row>
    <row r="604" spans="1:6">
      <c r="A604" s="13" t="s">
        <v>214</v>
      </c>
      <c r="B604" s="13">
        <v>2025</v>
      </c>
      <c r="C604" s="16">
        <v>45778</v>
      </c>
      <c r="D604" s="13" t="s">
        <v>73</v>
      </c>
      <c r="E604" s="13" t="s">
        <v>163</v>
      </c>
      <c r="F604" s="19">
        <v>-31.339471010339455</v>
      </c>
    </row>
    <row r="605" spans="1:6">
      <c r="A605" s="13" t="s">
        <v>214</v>
      </c>
      <c r="B605" s="13">
        <v>2025</v>
      </c>
      <c r="C605" s="16">
        <v>45778</v>
      </c>
      <c r="D605" s="13" t="s">
        <v>75</v>
      </c>
      <c r="E605" s="13" t="s">
        <v>144</v>
      </c>
      <c r="F605" s="19">
        <v>625.33031613580374</v>
      </c>
    </row>
    <row r="606" spans="1:6">
      <c r="A606" s="13" t="s">
        <v>214</v>
      </c>
      <c r="B606" s="13">
        <v>2025</v>
      </c>
      <c r="C606" s="16">
        <v>45778</v>
      </c>
      <c r="D606" s="13" t="s">
        <v>75</v>
      </c>
      <c r="E606" s="13" t="s">
        <v>58</v>
      </c>
      <c r="F606" s="19">
        <v>-497.75250947216415</v>
      </c>
    </row>
    <row r="607" spans="1:6">
      <c r="A607" s="13" t="s">
        <v>214</v>
      </c>
      <c r="B607" s="13">
        <v>2025</v>
      </c>
      <c r="C607" s="16">
        <v>45778</v>
      </c>
      <c r="D607" s="13" t="s">
        <v>75</v>
      </c>
      <c r="E607" s="13" t="s">
        <v>151</v>
      </c>
      <c r="F607" s="19">
        <v>-88.796904891284115</v>
      </c>
    </row>
    <row r="608" spans="1:6">
      <c r="A608" s="13" t="s">
        <v>214</v>
      </c>
      <c r="B608" s="13">
        <v>2025</v>
      </c>
      <c r="C608" s="16">
        <v>45778</v>
      </c>
      <c r="D608" s="13" t="s">
        <v>75</v>
      </c>
      <c r="E608" s="13" t="s">
        <v>153</v>
      </c>
      <c r="F608" s="19">
        <v>-16.883918535666702</v>
      </c>
    </row>
    <row r="609" spans="1:6">
      <c r="A609" s="13" t="s">
        <v>214</v>
      </c>
      <c r="B609" s="13">
        <v>2025</v>
      </c>
      <c r="C609" s="16">
        <v>45778</v>
      </c>
      <c r="D609" s="13" t="s">
        <v>75</v>
      </c>
      <c r="E609" s="13" t="s">
        <v>155</v>
      </c>
      <c r="F609" s="19">
        <v>9.3799547420370555</v>
      </c>
    </row>
    <row r="610" spans="1:6">
      <c r="A610" s="13" t="s">
        <v>214</v>
      </c>
      <c r="B610" s="13">
        <v>2025</v>
      </c>
      <c r="C610" s="16">
        <v>45778</v>
      </c>
      <c r="D610" s="13" t="s">
        <v>75</v>
      </c>
      <c r="E610" s="13" t="s">
        <v>157</v>
      </c>
      <c r="F610" s="19">
        <v>-5.0026425290864296</v>
      </c>
    </row>
    <row r="611" spans="1:6">
      <c r="A611" s="13" t="s">
        <v>214</v>
      </c>
      <c r="B611" s="13">
        <v>2025</v>
      </c>
      <c r="C611" s="16">
        <v>45778</v>
      </c>
      <c r="D611" s="13" t="s">
        <v>75</v>
      </c>
      <c r="E611" s="13" t="s">
        <v>159</v>
      </c>
      <c r="F611" s="19">
        <v>0</v>
      </c>
    </row>
    <row r="612" spans="1:6">
      <c r="A612" s="13" t="s">
        <v>214</v>
      </c>
      <c r="B612" s="13">
        <v>2025</v>
      </c>
      <c r="C612" s="16">
        <v>45778</v>
      </c>
      <c r="D612" s="13" t="s">
        <v>75</v>
      </c>
      <c r="E612" s="13" t="s">
        <v>161</v>
      </c>
      <c r="F612" s="19">
        <v>-1.0005285058172859</v>
      </c>
    </row>
    <row r="613" spans="1:6">
      <c r="A613" s="13" t="s">
        <v>214</v>
      </c>
      <c r="B613" s="13">
        <v>2025</v>
      </c>
      <c r="C613" s="16">
        <v>45778</v>
      </c>
      <c r="D613" s="13" t="s">
        <v>75</v>
      </c>
      <c r="E613" s="13" t="s">
        <v>163</v>
      </c>
      <c r="F613" s="19">
        <v>-5.0547533887644285</v>
      </c>
    </row>
    <row r="614" spans="1:6">
      <c r="A614" s="13" t="s">
        <v>214</v>
      </c>
      <c r="B614" s="13">
        <v>2025</v>
      </c>
      <c r="C614" s="16">
        <v>45809</v>
      </c>
      <c r="D614" s="13" t="s">
        <v>67</v>
      </c>
      <c r="E614" s="13" t="s">
        <v>144</v>
      </c>
      <c r="F614" s="19">
        <v>2795.6692297958184</v>
      </c>
    </row>
    <row r="615" spans="1:6">
      <c r="A615" s="13" t="s">
        <v>214</v>
      </c>
      <c r="B615" s="13">
        <v>2025</v>
      </c>
      <c r="C615" s="16">
        <v>45809</v>
      </c>
      <c r="D615" s="13" t="s">
        <v>67</v>
      </c>
      <c r="E615" s="13" t="s">
        <v>58</v>
      </c>
      <c r="F615" s="19">
        <v>-2225.3061124303081</v>
      </c>
    </row>
    <row r="616" spans="1:6">
      <c r="A616" s="13" t="s">
        <v>214</v>
      </c>
      <c r="B616" s="13">
        <v>2025</v>
      </c>
      <c r="C616" s="16">
        <v>45809</v>
      </c>
      <c r="D616" s="13" t="s">
        <v>67</v>
      </c>
      <c r="E616" s="13" t="s">
        <v>151</v>
      </c>
      <c r="F616" s="19">
        <v>-396.98503063100611</v>
      </c>
    </row>
    <row r="617" spans="1:6">
      <c r="A617" s="13" t="s">
        <v>214</v>
      </c>
      <c r="B617" s="13">
        <v>2025</v>
      </c>
      <c r="C617" s="16">
        <v>45809</v>
      </c>
      <c r="D617" s="13" t="s">
        <v>67</v>
      </c>
      <c r="E617" s="13" t="s">
        <v>153</v>
      </c>
      <c r="F617" s="19">
        <v>-75.483069204487094</v>
      </c>
    </row>
    <row r="618" spans="1:6">
      <c r="A618" s="13" t="s">
        <v>214</v>
      </c>
      <c r="B618" s="13">
        <v>2025</v>
      </c>
      <c r="C618" s="16">
        <v>45809</v>
      </c>
      <c r="D618" s="13" t="s">
        <v>67</v>
      </c>
      <c r="E618" s="13" t="s">
        <v>155</v>
      </c>
      <c r="F618" s="19">
        <v>41.935038446937277</v>
      </c>
    </row>
    <row r="619" spans="1:6">
      <c r="A619" s="13" t="s">
        <v>214</v>
      </c>
      <c r="B619" s="13">
        <v>2025</v>
      </c>
      <c r="C619" s="16">
        <v>45809</v>
      </c>
      <c r="D619" s="13" t="s">
        <v>67</v>
      </c>
      <c r="E619" s="13" t="s">
        <v>157</v>
      </c>
      <c r="F619" s="19">
        <v>-22.365353838366545</v>
      </c>
    </row>
    <row r="620" spans="1:6">
      <c r="A620" s="13" t="s">
        <v>214</v>
      </c>
      <c r="B620" s="13">
        <v>2025</v>
      </c>
      <c r="C620" s="16">
        <v>45809</v>
      </c>
      <c r="D620" s="13" t="s">
        <v>67</v>
      </c>
      <c r="E620" s="13" t="s">
        <v>159</v>
      </c>
      <c r="F620" s="19">
        <v>0</v>
      </c>
    </row>
    <row r="621" spans="1:6">
      <c r="A621" s="13" t="s">
        <v>214</v>
      </c>
      <c r="B621" s="13">
        <v>2025</v>
      </c>
      <c r="C621" s="16">
        <v>45809</v>
      </c>
      <c r="D621" s="13" t="s">
        <v>67</v>
      </c>
      <c r="E621" s="13" t="s">
        <v>161</v>
      </c>
      <c r="F621" s="19">
        <v>-4.4730707676733088</v>
      </c>
    </row>
    <row r="622" spans="1:6">
      <c r="A622" s="13" t="s">
        <v>214</v>
      </c>
      <c r="B622" s="13">
        <v>2025</v>
      </c>
      <c r="C622" s="16">
        <v>45809</v>
      </c>
      <c r="D622" s="13" t="s">
        <v>67</v>
      </c>
      <c r="E622" s="13" t="s">
        <v>163</v>
      </c>
      <c r="F622" s="19">
        <v>-22.598326274182931</v>
      </c>
    </row>
    <row r="623" spans="1:6">
      <c r="A623" s="13" t="s">
        <v>214</v>
      </c>
      <c r="B623" s="13">
        <v>2025</v>
      </c>
      <c r="C623" s="16">
        <v>45809</v>
      </c>
      <c r="D623" s="13" t="s">
        <v>72</v>
      </c>
      <c r="E623" s="13" t="s">
        <v>144</v>
      </c>
      <c r="F623" s="19">
        <v>5337.1867114283796</v>
      </c>
    </row>
    <row r="624" spans="1:6">
      <c r="A624" s="13" t="s">
        <v>214</v>
      </c>
      <c r="B624" s="13">
        <v>2025</v>
      </c>
      <c r="C624" s="16">
        <v>45809</v>
      </c>
      <c r="D624" s="13" t="s">
        <v>72</v>
      </c>
      <c r="E624" s="13" t="s">
        <v>58</v>
      </c>
      <c r="F624" s="19">
        <v>-4248.3116691851328</v>
      </c>
    </row>
    <row r="625" spans="1:6">
      <c r="A625" s="13" t="s">
        <v>214</v>
      </c>
      <c r="B625" s="13">
        <v>2025</v>
      </c>
      <c r="C625" s="16">
        <v>45809</v>
      </c>
      <c r="D625" s="13" t="s">
        <v>72</v>
      </c>
      <c r="E625" s="13" t="s">
        <v>151</v>
      </c>
      <c r="F625" s="19">
        <v>-757.88051302282975</v>
      </c>
    </row>
    <row r="626" spans="1:6">
      <c r="A626" s="13" t="s">
        <v>214</v>
      </c>
      <c r="B626" s="13">
        <v>2025</v>
      </c>
      <c r="C626" s="16">
        <v>45809</v>
      </c>
      <c r="D626" s="13" t="s">
        <v>72</v>
      </c>
      <c r="E626" s="13" t="s">
        <v>153</v>
      </c>
      <c r="F626" s="19">
        <v>-144.10404120856626</v>
      </c>
    </row>
    <row r="627" spans="1:6">
      <c r="A627" s="13" t="s">
        <v>214</v>
      </c>
      <c r="B627" s="13">
        <v>2025</v>
      </c>
      <c r="C627" s="16">
        <v>45809</v>
      </c>
      <c r="D627" s="13" t="s">
        <v>72</v>
      </c>
      <c r="E627" s="13" t="s">
        <v>155</v>
      </c>
      <c r="F627" s="19">
        <v>80.057800671425696</v>
      </c>
    </row>
    <row r="628" spans="1:6">
      <c r="A628" s="13" t="s">
        <v>214</v>
      </c>
      <c r="B628" s="13">
        <v>2025</v>
      </c>
      <c r="C628" s="16">
        <v>45809</v>
      </c>
      <c r="D628" s="13" t="s">
        <v>72</v>
      </c>
      <c r="E628" s="13" t="s">
        <v>157</v>
      </c>
      <c r="F628" s="19">
        <v>-42.697493691427042</v>
      </c>
    </row>
    <row r="629" spans="1:6">
      <c r="A629" s="13" t="s">
        <v>214</v>
      </c>
      <c r="B629" s="13">
        <v>2025</v>
      </c>
      <c r="C629" s="16">
        <v>45809</v>
      </c>
      <c r="D629" s="13" t="s">
        <v>72</v>
      </c>
      <c r="E629" s="13" t="s">
        <v>159</v>
      </c>
      <c r="F629" s="19">
        <v>0</v>
      </c>
    </row>
    <row r="630" spans="1:6">
      <c r="A630" s="13" t="s">
        <v>214</v>
      </c>
      <c r="B630" s="13">
        <v>2025</v>
      </c>
      <c r="C630" s="16">
        <v>45809</v>
      </c>
      <c r="D630" s="13" t="s">
        <v>72</v>
      </c>
      <c r="E630" s="13" t="s">
        <v>161</v>
      </c>
      <c r="F630" s="19">
        <v>-8.539498738285408</v>
      </c>
    </row>
    <row r="631" spans="1:6">
      <c r="A631" s="13" t="s">
        <v>214</v>
      </c>
      <c r="B631" s="13">
        <v>2025</v>
      </c>
      <c r="C631" s="16">
        <v>45809</v>
      </c>
      <c r="D631" s="13" t="s">
        <v>72</v>
      </c>
      <c r="E631" s="13" t="s">
        <v>163</v>
      </c>
      <c r="F631" s="19">
        <v>-43.142259250712868</v>
      </c>
    </row>
    <row r="632" spans="1:6">
      <c r="A632" s="13" t="s">
        <v>214</v>
      </c>
      <c r="B632" s="13">
        <v>2025</v>
      </c>
      <c r="C632" s="16">
        <v>45809</v>
      </c>
      <c r="D632" s="13" t="s">
        <v>73</v>
      </c>
      <c r="E632" s="13" t="s">
        <v>144</v>
      </c>
      <c r="F632" s="19">
        <v>3939.352096530471</v>
      </c>
    </row>
    <row r="633" spans="1:6">
      <c r="A633" s="13" t="s">
        <v>214</v>
      </c>
      <c r="B633" s="13">
        <v>2025</v>
      </c>
      <c r="C633" s="16">
        <v>45809</v>
      </c>
      <c r="D633" s="13" t="s">
        <v>73</v>
      </c>
      <c r="E633" s="13" t="s">
        <v>58</v>
      </c>
      <c r="F633" s="19">
        <v>-3135.6586129699795</v>
      </c>
    </row>
    <row r="634" spans="1:6">
      <c r="A634" s="13" t="s">
        <v>214</v>
      </c>
      <c r="B634" s="13">
        <v>2025</v>
      </c>
      <c r="C634" s="16">
        <v>45809</v>
      </c>
      <c r="D634" s="13" t="s">
        <v>73</v>
      </c>
      <c r="E634" s="13" t="s">
        <v>151</v>
      </c>
      <c r="F634" s="19">
        <v>-559.3879977073268</v>
      </c>
    </row>
    <row r="635" spans="1:6">
      <c r="A635" s="13" t="s">
        <v>214</v>
      </c>
      <c r="B635" s="13">
        <v>2025</v>
      </c>
      <c r="C635" s="16">
        <v>45809</v>
      </c>
      <c r="D635" s="13" t="s">
        <v>73</v>
      </c>
      <c r="E635" s="13" t="s">
        <v>153</v>
      </c>
      <c r="F635" s="19">
        <v>-106.36250660632271</v>
      </c>
    </row>
    <row r="636" spans="1:6">
      <c r="A636" s="13" t="s">
        <v>214</v>
      </c>
      <c r="B636" s="13">
        <v>2025</v>
      </c>
      <c r="C636" s="16">
        <v>45809</v>
      </c>
      <c r="D636" s="13" t="s">
        <v>73</v>
      </c>
      <c r="E636" s="13" t="s">
        <v>155</v>
      </c>
      <c r="F636" s="19">
        <v>59.090281447957061</v>
      </c>
    </row>
    <row r="637" spans="1:6">
      <c r="A637" s="13" t="s">
        <v>214</v>
      </c>
      <c r="B637" s="13">
        <v>2025</v>
      </c>
      <c r="C637" s="16">
        <v>45809</v>
      </c>
      <c r="D637" s="13" t="s">
        <v>73</v>
      </c>
      <c r="E637" s="13" t="s">
        <v>157</v>
      </c>
      <c r="F637" s="19">
        <v>-31.514816772243766</v>
      </c>
    </row>
    <row r="638" spans="1:6">
      <c r="A638" s="13" t="s">
        <v>214</v>
      </c>
      <c r="B638" s="13">
        <v>2025</v>
      </c>
      <c r="C638" s="16">
        <v>45809</v>
      </c>
      <c r="D638" s="13" t="s">
        <v>73</v>
      </c>
      <c r="E638" s="13" t="s">
        <v>159</v>
      </c>
      <c r="F638" s="19">
        <v>0</v>
      </c>
    </row>
    <row r="639" spans="1:6">
      <c r="A639" s="13" t="s">
        <v>214</v>
      </c>
      <c r="B639" s="13">
        <v>2025</v>
      </c>
      <c r="C639" s="16">
        <v>45809</v>
      </c>
      <c r="D639" s="13" t="s">
        <v>73</v>
      </c>
      <c r="E639" s="13" t="s">
        <v>161</v>
      </c>
      <c r="F639" s="19">
        <v>-6.3029633544487531</v>
      </c>
    </row>
    <row r="640" spans="1:6">
      <c r="A640" s="13" t="s">
        <v>214</v>
      </c>
      <c r="B640" s="13">
        <v>2025</v>
      </c>
      <c r="C640" s="16">
        <v>45809</v>
      </c>
      <c r="D640" s="13" t="s">
        <v>73</v>
      </c>
      <c r="E640" s="13" t="s">
        <v>163</v>
      </c>
      <c r="F640" s="19">
        <v>-31.843096113621403</v>
      </c>
    </row>
    <row r="641" spans="1:6">
      <c r="A641" s="13" t="s">
        <v>214</v>
      </c>
      <c r="B641" s="13">
        <v>2025</v>
      </c>
      <c r="C641" s="16">
        <v>45809</v>
      </c>
      <c r="D641" s="13" t="s">
        <v>75</v>
      </c>
      <c r="E641" s="13" t="s">
        <v>144</v>
      </c>
      <c r="F641" s="19">
        <v>635.37937040814052</v>
      </c>
    </row>
    <row r="642" spans="1:6">
      <c r="A642" s="13" t="s">
        <v>214</v>
      </c>
      <c r="B642" s="13">
        <v>2025</v>
      </c>
      <c r="C642" s="16">
        <v>45809</v>
      </c>
      <c r="D642" s="13" t="s">
        <v>75</v>
      </c>
      <c r="E642" s="13" t="s">
        <v>58</v>
      </c>
      <c r="F642" s="19">
        <v>-505.75138918870636</v>
      </c>
    </row>
    <row r="643" spans="1:6">
      <c r="A643" s="13" t="s">
        <v>214</v>
      </c>
      <c r="B643" s="13">
        <v>2025</v>
      </c>
      <c r="C643" s="16">
        <v>45809</v>
      </c>
      <c r="D643" s="13" t="s">
        <v>75</v>
      </c>
      <c r="E643" s="13" t="s">
        <v>151</v>
      </c>
      <c r="F643" s="19">
        <v>-90.223870597955937</v>
      </c>
    </row>
    <row r="644" spans="1:6">
      <c r="A644" s="13" t="s">
        <v>214</v>
      </c>
      <c r="B644" s="13">
        <v>2025</v>
      </c>
      <c r="C644" s="16">
        <v>45809</v>
      </c>
      <c r="D644" s="13" t="s">
        <v>75</v>
      </c>
      <c r="E644" s="13" t="s">
        <v>153</v>
      </c>
      <c r="F644" s="19">
        <v>-17.155243001019794</v>
      </c>
    </row>
    <row r="645" spans="1:6">
      <c r="A645" s="13" t="s">
        <v>214</v>
      </c>
      <c r="B645" s="13">
        <v>2025</v>
      </c>
      <c r="C645" s="16">
        <v>45809</v>
      </c>
      <c r="D645" s="13" t="s">
        <v>75</v>
      </c>
      <c r="E645" s="13" t="s">
        <v>155</v>
      </c>
      <c r="F645" s="19">
        <v>9.5306905561221082</v>
      </c>
    </row>
    <row r="646" spans="1:6">
      <c r="A646" s="13" t="s">
        <v>214</v>
      </c>
      <c r="B646" s="13">
        <v>2025</v>
      </c>
      <c r="C646" s="16">
        <v>45809</v>
      </c>
      <c r="D646" s="13" t="s">
        <v>75</v>
      </c>
      <c r="E646" s="13" t="s">
        <v>157</v>
      </c>
      <c r="F646" s="19">
        <v>-5.0830349632651242</v>
      </c>
    </row>
    <row r="647" spans="1:6">
      <c r="A647" s="13" t="s">
        <v>214</v>
      </c>
      <c r="B647" s="13">
        <v>2025</v>
      </c>
      <c r="C647" s="16">
        <v>45809</v>
      </c>
      <c r="D647" s="13" t="s">
        <v>75</v>
      </c>
      <c r="E647" s="13" t="s">
        <v>159</v>
      </c>
      <c r="F647" s="19">
        <v>0</v>
      </c>
    </row>
    <row r="648" spans="1:6">
      <c r="A648" s="13" t="s">
        <v>214</v>
      </c>
      <c r="B648" s="13">
        <v>2025</v>
      </c>
      <c r="C648" s="16">
        <v>45809</v>
      </c>
      <c r="D648" s="13" t="s">
        <v>75</v>
      </c>
      <c r="E648" s="13" t="s">
        <v>161</v>
      </c>
      <c r="F648" s="19">
        <v>-1.0166069926530248</v>
      </c>
    </row>
    <row r="649" spans="1:6">
      <c r="A649" s="13" t="s">
        <v>214</v>
      </c>
      <c r="B649" s="13">
        <v>2025</v>
      </c>
      <c r="C649" s="16">
        <v>45809</v>
      </c>
      <c r="D649" s="13" t="s">
        <v>75</v>
      </c>
      <c r="E649" s="13" t="s">
        <v>163</v>
      </c>
      <c r="F649" s="19">
        <v>-5.1359832441324844</v>
      </c>
    </row>
    <row r="650" spans="1:6">
      <c r="A650" s="13" t="s">
        <v>214</v>
      </c>
      <c r="B650" s="13">
        <v>2025</v>
      </c>
      <c r="C650" s="16">
        <v>45839</v>
      </c>
      <c r="D650" s="13" t="s">
        <v>67</v>
      </c>
      <c r="E650" s="13" t="s">
        <v>144</v>
      </c>
      <c r="F650" s="19">
        <v>2682.4275537624403</v>
      </c>
    </row>
    <row r="651" spans="1:6">
      <c r="A651" s="13" t="s">
        <v>214</v>
      </c>
      <c r="B651" s="13">
        <v>2025</v>
      </c>
      <c r="C651" s="16">
        <v>45839</v>
      </c>
      <c r="D651" s="13" t="s">
        <v>67</v>
      </c>
      <c r="E651" s="13" t="s">
        <v>58</v>
      </c>
      <c r="F651" s="19">
        <v>-2135.1676256690062</v>
      </c>
    </row>
    <row r="652" spans="1:6">
      <c r="A652" s="13" t="s">
        <v>214</v>
      </c>
      <c r="B652" s="13">
        <v>2025</v>
      </c>
      <c r="C652" s="16">
        <v>45839</v>
      </c>
      <c r="D652" s="13" t="s">
        <v>67</v>
      </c>
      <c r="E652" s="13" t="s">
        <v>151</v>
      </c>
      <c r="F652" s="19">
        <v>-380.90471263426645</v>
      </c>
    </row>
    <row r="653" spans="1:6">
      <c r="A653" s="13" t="s">
        <v>214</v>
      </c>
      <c r="B653" s="13">
        <v>2025</v>
      </c>
      <c r="C653" s="16">
        <v>45839</v>
      </c>
      <c r="D653" s="13" t="s">
        <v>67</v>
      </c>
      <c r="E653" s="13" t="s">
        <v>153</v>
      </c>
      <c r="F653" s="19">
        <v>-72.42554395158588</v>
      </c>
    </row>
    <row r="654" spans="1:6">
      <c r="A654" s="13" t="s">
        <v>214</v>
      </c>
      <c r="B654" s="13">
        <v>2025</v>
      </c>
      <c r="C654" s="16">
        <v>45839</v>
      </c>
      <c r="D654" s="13" t="s">
        <v>67</v>
      </c>
      <c r="E654" s="13" t="s">
        <v>155</v>
      </c>
      <c r="F654" s="19">
        <v>40.236413306436603</v>
      </c>
    </row>
    <row r="655" spans="1:6">
      <c r="A655" s="13" t="s">
        <v>214</v>
      </c>
      <c r="B655" s="13">
        <v>2025</v>
      </c>
      <c r="C655" s="16">
        <v>45839</v>
      </c>
      <c r="D655" s="13" t="s">
        <v>67</v>
      </c>
      <c r="E655" s="13" t="s">
        <v>157</v>
      </c>
      <c r="F655" s="19">
        <v>-21.45942043009952</v>
      </c>
    </row>
    <row r="656" spans="1:6">
      <c r="A656" s="13" t="s">
        <v>214</v>
      </c>
      <c r="B656" s="13">
        <v>2025</v>
      </c>
      <c r="C656" s="16">
        <v>45839</v>
      </c>
      <c r="D656" s="13" t="s">
        <v>67</v>
      </c>
      <c r="E656" s="13" t="s">
        <v>159</v>
      </c>
      <c r="F656" s="19">
        <v>0</v>
      </c>
    </row>
    <row r="657" spans="1:6">
      <c r="A657" s="13" t="s">
        <v>214</v>
      </c>
      <c r="B657" s="13">
        <v>2025</v>
      </c>
      <c r="C657" s="16">
        <v>45839</v>
      </c>
      <c r="D657" s="13" t="s">
        <v>67</v>
      </c>
      <c r="E657" s="13" t="s">
        <v>161</v>
      </c>
      <c r="F657" s="19">
        <v>-4.2918840860199046</v>
      </c>
    </row>
    <row r="658" spans="1:6">
      <c r="A658" s="13" t="s">
        <v>214</v>
      </c>
      <c r="B658" s="13">
        <v>2025</v>
      </c>
      <c r="C658" s="16">
        <v>45839</v>
      </c>
      <c r="D658" s="13" t="s">
        <v>67</v>
      </c>
      <c r="E658" s="13" t="s">
        <v>163</v>
      </c>
      <c r="F658" s="19">
        <v>-21.682956059579791</v>
      </c>
    </row>
    <row r="659" spans="1:6">
      <c r="A659" s="13" t="s">
        <v>214</v>
      </c>
      <c r="B659" s="13">
        <v>2025</v>
      </c>
      <c r="C659" s="16">
        <v>45839</v>
      </c>
      <c r="D659" s="13" t="s">
        <v>72</v>
      </c>
      <c r="E659" s="13" t="s">
        <v>144</v>
      </c>
      <c r="F659" s="19">
        <v>5120.9980571828401</v>
      </c>
    </row>
    <row r="660" spans="1:6">
      <c r="A660" s="13" t="s">
        <v>214</v>
      </c>
      <c r="B660" s="13">
        <v>2025</v>
      </c>
      <c r="C660" s="16">
        <v>45839</v>
      </c>
      <c r="D660" s="13" t="s">
        <v>72</v>
      </c>
      <c r="E660" s="13" t="s">
        <v>58</v>
      </c>
      <c r="F660" s="19">
        <v>-4076.2291035499211</v>
      </c>
    </row>
    <row r="661" spans="1:6">
      <c r="A661" s="13" t="s">
        <v>214</v>
      </c>
      <c r="B661" s="13">
        <v>2025</v>
      </c>
      <c r="C661" s="16">
        <v>45839</v>
      </c>
      <c r="D661" s="13" t="s">
        <v>72</v>
      </c>
      <c r="E661" s="13" t="s">
        <v>151</v>
      </c>
      <c r="F661" s="19">
        <v>-727.18172411996318</v>
      </c>
    </row>
    <row r="662" spans="1:6">
      <c r="A662" s="13" t="s">
        <v>214</v>
      </c>
      <c r="B662" s="13">
        <v>2025</v>
      </c>
      <c r="C662" s="16">
        <v>45839</v>
      </c>
      <c r="D662" s="13" t="s">
        <v>72</v>
      </c>
      <c r="E662" s="13" t="s">
        <v>153</v>
      </c>
      <c r="F662" s="19">
        <v>-138.26694754393668</v>
      </c>
    </row>
    <row r="663" spans="1:6">
      <c r="A663" s="13" t="s">
        <v>214</v>
      </c>
      <c r="B663" s="13">
        <v>2025</v>
      </c>
      <c r="C663" s="16">
        <v>45839</v>
      </c>
      <c r="D663" s="13" t="s">
        <v>72</v>
      </c>
      <c r="E663" s="13" t="s">
        <v>155</v>
      </c>
      <c r="F663" s="19">
        <v>76.814970857742608</v>
      </c>
    </row>
    <row r="664" spans="1:6">
      <c r="A664" s="13" t="s">
        <v>214</v>
      </c>
      <c r="B664" s="13">
        <v>2025</v>
      </c>
      <c r="C664" s="16">
        <v>45839</v>
      </c>
      <c r="D664" s="13" t="s">
        <v>72</v>
      </c>
      <c r="E664" s="13" t="s">
        <v>157</v>
      </c>
      <c r="F664" s="19">
        <v>-40.96798445746272</v>
      </c>
    </row>
    <row r="665" spans="1:6">
      <c r="A665" s="13" t="s">
        <v>214</v>
      </c>
      <c r="B665" s="13">
        <v>2025</v>
      </c>
      <c r="C665" s="16">
        <v>45839</v>
      </c>
      <c r="D665" s="13" t="s">
        <v>72</v>
      </c>
      <c r="E665" s="13" t="s">
        <v>159</v>
      </c>
      <c r="F665" s="19">
        <v>0</v>
      </c>
    </row>
    <row r="666" spans="1:6">
      <c r="A666" s="13" t="s">
        <v>214</v>
      </c>
      <c r="B666" s="13">
        <v>2025</v>
      </c>
      <c r="C666" s="16">
        <v>45839</v>
      </c>
      <c r="D666" s="13" t="s">
        <v>72</v>
      </c>
      <c r="E666" s="13" t="s">
        <v>161</v>
      </c>
      <c r="F666" s="19">
        <v>-8.193596891492545</v>
      </c>
    </row>
    <row r="667" spans="1:6">
      <c r="A667" s="13" t="s">
        <v>214</v>
      </c>
      <c r="B667" s="13">
        <v>2025</v>
      </c>
      <c r="C667" s="16">
        <v>45839</v>
      </c>
      <c r="D667" s="13" t="s">
        <v>72</v>
      </c>
      <c r="E667" s="13" t="s">
        <v>163</v>
      </c>
      <c r="F667" s="19">
        <v>-41.394734295561413</v>
      </c>
    </row>
    <row r="668" spans="1:6">
      <c r="A668" s="13" t="s">
        <v>214</v>
      </c>
      <c r="B668" s="13">
        <v>2025</v>
      </c>
      <c r="C668" s="16">
        <v>45839</v>
      </c>
      <c r="D668" s="13" t="s">
        <v>73</v>
      </c>
      <c r="E668" s="13" t="s">
        <v>144</v>
      </c>
      <c r="F668" s="19">
        <v>3779.7842803016201</v>
      </c>
    </row>
    <row r="669" spans="1:6">
      <c r="A669" s="13" t="s">
        <v>214</v>
      </c>
      <c r="B669" s="13">
        <v>2025</v>
      </c>
      <c r="C669" s="16">
        <v>45839</v>
      </c>
      <c r="D669" s="13" t="s">
        <v>73</v>
      </c>
      <c r="E669" s="13" t="s">
        <v>58</v>
      </c>
      <c r="F669" s="19">
        <v>-3008.645290715418</v>
      </c>
    </row>
    <row r="670" spans="1:6">
      <c r="A670" s="13" t="s">
        <v>214</v>
      </c>
      <c r="B670" s="13">
        <v>2025</v>
      </c>
      <c r="C670" s="16">
        <v>45839</v>
      </c>
      <c r="D670" s="13" t="s">
        <v>73</v>
      </c>
      <c r="E670" s="13" t="s">
        <v>151</v>
      </c>
      <c r="F670" s="19">
        <v>-536.72936780282998</v>
      </c>
    </row>
    <row r="671" spans="1:6">
      <c r="A671" s="13" t="s">
        <v>214</v>
      </c>
      <c r="B671" s="13">
        <v>2025</v>
      </c>
      <c r="C671" s="16">
        <v>45839</v>
      </c>
      <c r="D671" s="13" t="s">
        <v>73</v>
      </c>
      <c r="E671" s="13" t="s">
        <v>153</v>
      </c>
      <c r="F671" s="19">
        <v>-102.05417556814375</v>
      </c>
    </row>
    <row r="672" spans="1:6">
      <c r="A672" s="13" t="s">
        <v>214</v>
      </c>
      <c r="B672" s="13">
        <v>2025</v>
      </c>
      <c r="C672" s="16">
        <v>45839</v>
      </c>
      <c r="D672" s="13" t="s">
        <v>73</v>
      </c>
      <c r="E672" s="13" t="s">
        <v>155</v>
      </c>
      <c r="F672" s="19">
        <v>56.6967642045243</v>
      </c>
    </row>
    <row r="673" spans="1:6">
      <c r="A673" s="13" t="s">
        <v>214</v>
      </c>
      <c r="B673" s="13">
        <v>2025</v>
      </c>
      <c r="C673" s="16">
        <v>45839</v>
      </c>
      <c r="D673" s="13" t="s">
        <v>73</v>
      </c>
      <c r="E673" s="13" t="s">
        <v>157</v>
      </c>
      <c r="F673" s="19">
        <v>-30.238274242412963</v>
      </c>
    </row>
    <row r="674" spans="1:6">
      <c r="A674" s="13" t="s">
        <v>214</v>
      </c>
      <c r="B674" s="13">
        <v>2025</v>
      </c>
      <c r="C674" s="16">
        <v>45839</v>
      </c>
      <c r="D674" s="13" t="s">
        <v>73</v>
      </c>
      <c r="E674" s="13" t="s">
        <v>159</v>
      </c>
      <c r="F674" s="19">
        <v>0</v>
      </c>
    </row>
    <row r="675" spans="1:6">
      <c r="A675" s="13" t="s">
        <v>214</v>
      </c>
      <c r="B675" s="13">
        <v>2025</v>
      </c>
      <c r="C675" s="16">
        <v>45839</v>
      </c>
      <c r="D675" s="13" t="s">
        <v>73</v>
      </c>
      <c r="E675" s="13" t="s">
        <v>161</v>
      </c>
      <c r="F675" s="19">
        <v>-6.0476548484825923</v>
      </c>
    </row>
    <row r="676" spans="1:6">
      <c r="A676" s="13" t="s">
        <v>214</v>
      </c>
      <c r="B676" s="13">
        <v>2025</v>
      </c>
      <c r="C676" s="16">
        <v>45839</v>
      </c>
      <c r="D676" s="13" t="s">
        <v>73</v>
      </c>
      <c r="E676" s="13" t="s">
        <v>163</v>
      </c>
      <c r="F676" s="19">
        <v>-30.553256265771523</v>
      </c>
    </row>
    <row r="677" spans="1:6">
      <c r="A677" s="13" t="s">
        <v>214</v>
      </c>
      <c r="B677" s="13">
        <v>2025</v>
      </c>
      <c r="C677" s="16">
        <v>45839</v>
      </c>
      <c r="D677" s="13" t="s">
        <v>75</v>
      </c>
      <c r="E677" s="13" t="s">
        <v>144</v>
      </c>
      <c r="F677" s="19">
        <v>609.64262585510005</v>
      </c>
    </row>
    <row r="678" spans="1:6">
      <c r="A678" s="13" t="s">
        <v>214</v>
      </c>
      <c r="B678" s="13">
        <v>2025</v>
      </c>
      <c r="C678" s="16">
        <v>45839</v>
      </c>
      <c r="D678" s="13" t="s">
        <v>75</v>
      </c>
      <c r="E678" s="13" t="s">
        <v>58</v>
      </c>
      <c r="F678" s="19">
        <v>-485.26536947022873</v>
      </c>
    </row>
    <row r="679" spans="1:6">
      <c r="A679" s="13" t="s">
        <v>214</v>
      </c>
      <c r="B679" s="13">
        <v>2025</v>
      </c>
      <c r="C679" s="16">
        <v>45839</v>
      </c>
      <c r="D679" s="13" t="s">
        <v>75</v>
      </c>
      <c r="E679" s="13" t="s">
        <v>151</v>
      </c>
      <c r="F679" s="19">
        <v>-86.569252871424183</v>
      </c>
    </row>
    <row r="680" spans="1:6">
      <c r="A680" s="13" t="s">
        <v>214</v>
      </c>
      <c r="B680" s="13">
        <v>2025</v>
      </c>
      <c r="C680" s="16">
        <v>45839</v>
      </c>
      <c r="D680" s="13" t="s">
        <v>75</v>
      </c>
      <c r="E680" s="13" t="s">
        <v>153</v>
      </c>
      <c r="F680" s="19">
        <v>-16.4603508980877</v>
      </c>
    </row>
    <row r="681" spans="1:6">
      <c r="A681" s="13" t="s">
        <v>214</v>
      </c>
      <c r="B681" s="13">
        <v>2025</v>
      </c>
      <c r="C681" s="16">
        <v>45839</v>
      </c>
      <c r="D681" s="13" t="s">
        <v>75</v>
      </c>
      <c r="E681" s="13" t="s">
        <v>155</v>
      </c>
      <c r="F681" s="19">
        <v>9.1446393878265013</v>
      </c>
    </row>
    <row r="682" spans="1:6">
      <c r="A682" s="13" t="s">
        <v>214</v>
      </c>
      <c r="B682" s="13">
        <v>2025</v>
      </c>
      <c r="C682" s="16">
        <v>45839</v>
      </c>
      <c r="D682" s="13" t="s">
        <v>75</v>
      </c>
      <c r="E682" s="13" t="s">
        <v>157</v>
      </c>
      <c r="F682" s="19">
        <v>-4.8771410068407999</v>
      </c>
    </row>
    <row r="683" spans="1:6">
      <c r="A683" s="13" t="s">
        <v>214</v>
      </c>
      <c r="B683" s="13">
        <v>2025</v>
      </c>
      <c r="C683" s="16">
        <v>45839</v>
      </c>
      <c r="D683" s="13" t="s">
        <v>75</v>
      </c>
      <c r="E683" s="13" t="s">
        <v>159</v>
      </c>
      <c r="F683" s="19">
        <v>0</v>
      </c>
    </row>
    <row r="684" spans="1:6">
      <c r="A684" s="13" t="s">
        <v>214</v>
      </c>
      <c r="B684" s="13">
        <v>2025</v>
      </c>
      <c r="C684" s="16">
        <v>45839</v>
      </c>
      <c r="D684" s="13" t="s">
        <v>75</v>
      </c>
      <c r="E684" s="13" t="s">
        <v>161</v>
      </c>
      <c r="F684" s="19">
        <v>-0.97542820136816011</v>
      </c>
    </row>
    <row r="685" spans="1:6">
      <c r="A685" s="13" t="s">
        <v>214</v>
      </c>
      <c r="B685" s="13">
        <v>2025</v>
      </c>
      <c r="C685" s="16">
        <v>45839</v>
      </c>
      <c r="D685" s="13" t="s">
        <v>75</v>
      </c>
      <c r="E685" s="13" t="s">
        <v>163</v>
      </c>
      <c r="F685" s="19">
        <v>-4.9279445589954065</v>
      </c>
    </row>
    <row r="686" spans="1:6">
      <c r="A686" s="13" t="s">
        <v>214</v>
      </c>
      <c r="B686" s="13">
        <v>2025</v>
      </c>
      <c r="C686" s="16">
        <v>45870</v>
      </c>
      <c r="D686" s="13" t="s">
        <v>67</v>
      </c>
      <c r="E686" s="13" t="s">
        <v>144</v>
      </c>
      <c r="F686" s="19">
        <v>2806.7231894953884</v>
      </c>
    </row>
    <row r="687" spans="1:6">
      <c r="A687" s="13" t="s">
        <v>214</v>
      </c>
      <c r="B687" s="13">
        <v>2025</v>
      </c>
      <c r="C687" s="16">
        <v>45870</v>
      </c>
      <c r="D687" s="13" t="s">
        <v>67</v>
      </c>
      <c r="E687" s="13" t="s">
        <v>58</v>
      </c>
      <c r="F687" s="19">
        <v>-2234.1048801185043</v>
      </c>
    </row>
    <row r="688" spans="1:6">
      <c r="A688" s="13" t="s">
        <v>214</v>
      </c>
      <c r="B688" s="13">
        <v>2025</v>
      </c>
      <c r="C688" s="16">
        <v>45870</v>
      </c>
      <c r="D688" s="13" t="s">
        <v>67</v>
      </c>
      <c r="E688" s="13" t="s">
        <v>151</v>
      </c>
      <c r="F688" s="19">
        <v>-398.55469290834509</v>
      </c>
    </row>
    <row r="689" spans="1:6">
      <c r="A689" s="13" t="s">
        <v>214</v>
      </c>
      <c r="B689" s="13">
        <v>2025</v>
      </c>
      <c r="C689" s="16">
        <v>45870</v>
      </c>
      <c r="D689" s="13" t="s">
        <v>67</v>
      </c>
      <c r="E689" s="13" t="s">
        <v>153</v>
      </c>
      <c r="F689" s="19">
        <v>-75.781526116375488</v>
      </c>
    </row>
    <row r="690" spans="1:6">
      <c r="A690" s="13" t="s">
        <v>214</v>
      </c>
      <c r="B690" s="13">
        <v>2025</v>
      </c>
      <c r="C690" s="16">
        <v>45870</v>
      </c>
      <c r="D690" s="13" t="s">
        <v>67</v>
      </c>
      <c r="E690" s="13" t="s">
        <v>155</v>
      </c>
      <c r="F690" s="19">
        <v>42.100847842430831</v>
      </c>
    </row>
    <row r="691" spans="1:6">
      <c r="A691" s="13" t="s">
        <v>214</v>
      </c>
      <c r="B691" s="13">
        <v>2025</v>
      </c>
      <c r="C691" s="16">
        <v>45870</v>
      </c>
      <c r="D691" s="13" t="s">
        <v>67</v>
      </c>
      <c r="E691" s="13" t="s">
        <v>157</v>
      </c>
      <c r="F691" s="19">
        <v>-22.453785515963109</v>
      </c>
    </row>
    <row r="692" spans="1:6">
      <c r="A692" s="13" t="s">
        <v>214</v>
      </c>
      <c r="B692" s="13">
        <v>2025</v>
      </c>
      <c r="C692" s="16">
        <v>45870</v>
      </c>
      <c r="D692" s="13" t="s">
        <v>67</v>
      </c>
      <c r="E692" s="13" t="s">
        <v>159</v>
      </c>
      <c r="F692" s="19">
        <v>0</v>
      </c>
    </row>
    <row r="693" spans="1:6">
      <c r="A693" s="13" t="s">
        <v>214</v>
      </c>
      <c r="B693" s="13">
        <v>2025</v>
      </c>
      <c r="C693" s="16">
        <v>45870</v>
      </c>
      <c r="D693" s="13" t="s">
        <v>67</v>
      </c>
      <c r="E693" s="13" t="s">
        <v>161</v>
      </c>
      <c r="F693" s="19">
        <v>-4.4907571031926219</v>
      </c>
    </row>
    <row r="694" spans="1:6">
      <c r="A694" s="13" t="s">
        <v>214</v>
      </c>
      <c r="B694" s="13">
        <v>2025</v>
      </c>
      <c r="C694" s="16">
        <v>45870</v>
      </c>
      <c r="D694" s="13" t="s">
        <v>67</v>
      </c>
      <c r="E694" s="13" t="s">
        <v>163</v>
      </c>
      <c r="F694" s="19">
        <v>-22.687679115087793</v>
      </c>
    </row>
    <row r="695" spans="1:6">
      <c r="A695" s="13" t="s">
        <v>214</v>
      </c>
      <c r="B695" s="13">
        <v>2025</v>
      </c>
      <c r="C695" s="16">
        <v>45870</v>
      </c>
      <c r="D695" s="13" t="s">
        <v>72</v>
      </c>
      <c r="E695" s="13" t="s">
        <v>144</v>
      </c>
      <c r="F695" s="19">
        <v>5358.2897254002864</v>
      </c>
    </row>
    <row r="696" spans="1:6">
      <c r="A696" s="13" t="s">
        <v>214</v>
      </c>
      <c r="B696" s="13">
        <v>2025</v>
      </c>
      <c r="C696" s="16">
        <v>45870</v>
      </c>
      <c r="D696" s="13" t="s">
        <v>72</v>
      </c>
      <c r="E696" s="13" t="s">
        <v>58</v>
      </c>
      <c r="F696" s="19">
        <v>-4265.1093165898719</v>
      </c>
    </row>
    <row r="697" spans="1:6">
      <c r="A697" s="13" t="s">
        <v>214</v>
      </c>
      <c r="B697" s="13">
        <v>2025</v>
      </c>
      <c r="C697" s="16">
        <v>45870</v>
      </c>
      <c r="D697" s="13" t="s">
        <v>72</v>
      </c>
      <c r="E697" s="13" t="s">
        <v>151</v>
      </c>
      <c r="F697" s="19">
        <v>-760.87714100684059</v>
      </c>
    </row>
    <row r="698" spans="1:6">
      <c r="A698" s="13" t="s">
        <v>214</v>
      </c>
      <c r="B698" s="13">
        <v>2025</v>
      </c>
      <c r="C698" s="16">
        <v>45870</v>
      </c>
      <c r="D698" s="13" t="s">
        <v>72</v>
      </c>
      <c r="E698" s="13" t="s">
        <v>153</v>
      </c>
      <c r="F698" s="19">
        <v>-144.67382258580776</v>
      </c>
    </row>
    <row r="699" spans="1:6">
      <c r="A699" s="13" t="s">
        <v>214</v>
      </c>
      <c r="B699" s="13">
        <v>2025</v>
      </c>
      <c r="C699" s="16">
        <v>45870</v>
      </c>
      <c r="D699" s="13" t="s">
        <v>72</v>
      </c>
      <c r="E699" s="13" t="s">
        <v>155</v>
      </c>
      <c r="F699" s="19">
        <v>80.374345881004302</v>
      </c>
    </row>
    <row r="700" spans="1:6">
      <c r="A700" s="13" t="s">
        <v>214</v>
      </c>
      <c r="B700" s="13">
        <v>2025</v>
      </c>
      <c r="C700" s="16">
        <v>45870</v>
      </c>
      <c r="D700" s="13" t="s">
        <v>72</v>
      </c>
      <c r="E700" s="13" t="s">
        <v>157</v>
      </c>
      <c r="F700" s="19">
        <v>-42.866317803202293</v>
      </c>
    </row>
    <row r="701" spans="1:6">
      <c r="A701" s="13" t="s">
        <v>214</v>
      </c>
      <c r="B701" s="13">
        <v>2025</v>
      </c>
      <c r="C701" s="16">
        <v>45870</v>
      </c>
      <c r="D701" s="13" t="s">
        <v>72</v>
      </c>
      <c r="E701" s="13" t="s">
        <v>159</v>
      </c>
      <c r="F701" s="19">
        <v>0</v>
      </c>
    </row>
    <row r="702" spans="1:6">
      <c r="A702" s="13" t="s">
        <v>214</v>
      </c>
      <c r="B702" s="13">
        <v>2025</v>
      </c>
      <c r="C702" s="16">
        <v>45870</v>
      </c>
      <c r="D702" s="13" t="s">
        <v>72</v>
      </c>
      <c r="E702" s="13" t="s">
        <v>161</v>
      </c>
      <c r="F702" s="19">
        <v>-8.5732635606404592</v>
      </c>
    </row>
    <row r="703" spans="1:6">
      <c r="A703" s="13" t="s">
        <v>214</v>
      </c>
      <c r="B703" s="13">
        <v>2025</v>
      </c>
      <c r="C703" s="16">
        <v>45870</v>
      </c>
      <c r="D703" s="13" t="s">
        <v>72</v>
      </c>
      <c r="E703" s="13" t="s">
        <v>163</v>
      </c>
      <c r="F703" s="19">
        <v>-43.312841946985785</v>
      </c>
    </row>
    <row r="704" spans="1:6">
      <c r="A704" s="13" t="s">
        <v>214</v>
      </c>
      <c r="B704" s="13">
        <v>2025</v>
      </c>
      <c r="C704" s="16">
        <v>45870</v>
      </c>
      <c r="D704" s="13" t="s">
        <v>73</v>
      </c>
      <c r="E704" s="13" t="s">
        <v>144</v>
      </c>
      <c r="F704" s="19">
        <v>3954.9281306525927</v>
      </c>
    </row>
    <row r="705" spans="1:6">
      <c r="A705" s="13" t="s">
        <v>214</v>
      </c>
      <c r="B705" s="13">
        <v>2025</v>
      </c>
      <c r="C705" s="16">
        <v>45870</v>
      </c>
      <c r="D705" s="13" t="s">
        <v>73</v>
      </c>
      <c r="E705" s="13" t="s">
        <v>58</v>
      </c>
      <c r="F705" s="19">
        <v>-3148.0568765306198</v>
      </c>
    </row>
    <row r="706" spans="1:6">
      <c r="A706" s="13" t="s">
        <v>214</v>
      </c>
      <c r="B706" s="13">
        <v>2025</v>
      </c>
      <c r="C706" s="16">
        <v>45870</v>
      </c>
      <c r="D706" s="13" t="s">
        <v>73</v>
      </c>
      <c r="E706" s="13" t="s">
        <v>151</v>
      </c>
      <c r="F706" s="19">
        <v>-561.59979455266807</v>
      </c>
    </row>
    <row r="707" spans="1:6">
      <c r="A707" s="13" t="s">
        <v>214</v>
      </c>
      <c r="B707" s="13">
        <v>2025</v>
      </c>
      <c r="C707" s="16">
        <v>45870</v>
      </c>
      <c r="D707" s="13" t="s">
        <v>73</v>
      </c>
      <c r="E707" s="13" t="s">
        <v>153</v>
      </c>
      <c r="F707" s="19">
        <v>-106.78305952762001</v>
      </c>
    </row>
    <row r="708" spans="1:6">
      <c r="A708" s="13" t="s">
        <v>214</v>
      </c>
      <c r="B708" s="13">
        <v>2025</v>
      </c>
      <c r="C708" s="16">
        <v>45870</v>
      </c>
      <c r="D708" s="13" t="s">
        <v>73</v>
      </c>
      <c r="E708" s="13" t="s">
        <v>155</v>
      </c>
      <c r="F708" s="19">
        <v>59.32392195978889</v>
      </c>
    </row>
    <row r="709" spans="1:6">
      <c r="A709" s="13" t="s">
        <v>214</v>
      </c>
      <c r="B709" s="13">
        <v>2025</v>
      </c>
      <c r="C709" s="16">
        <v>45870</v>
      </c>
      <c r="D709" s="13" t="s">
        <v>73</v>
      </c>
      <c r="E709" s="13" t="s">
        <v>157</v>
      </c>
      <c r="F709" s="19">
        <v>-31.639425045220744</v>
      </c>
    </row>
    <row r="710" spans="1:6">
      <c r="A710" s="13" t="s">
        <v>214</v>
      </c>
      <c r="B710" s="13">
        <v>2025</v>
      </c>
      <c r="C710" s="16">
        <v>45870</v>
      </c>
      <c r="D710" s="13" t="s">
        <v>73</v>
      </c>
      <c r="E710" s="13" t="s">
        <v>159</v>
      </c>
      <c r="F710" s="19">
        <v>0</v>
      </c>
    </row>
    <row r="711" spans="1:6">
      <c r="A711" s="13" t="s">
        <v>214</v>
      </c>
      <c r="B711" s="13">
        <v>2025</v>
      </c>
      <c r="C711" s="16">
        <v>45870</v>
      </c>
      <c r="D711" s="13" t="s">
        <v>73</v>
      </c>
      <c r="E711" s="13" t="s">
        <v>161</v>
      </c>
      <c r="F711" s="19">
        <v>-6.3278850090441487</v>
      </c>
    </row>
    <row r="712" spans="1:6">
      <c r="A712" s="13" t="s">
        <v>214</v>
      </c>
      <c r="B712" s="13">
        <v>2025</v>
      </c>
      <c r="C712" s="16">
        <v>45870</v>
      </c>
      <c r="D712" s="13" t="s">
        <v>73</v>
      </c>
      <c r="E712" s="13" t="s">
        <v>163</v>
      </c>
      <c r="F712" s="19">
        <v>-31.969002389441886</v>
      </c>
    </row>
    <row r="713" spans="1:6">
      <c r="A713" s="13" t="s">
        <v>214</v>
      </c>
      <c r="B713" s="13">
        <v>2025</v>
      </c>
      <c r="C713" s="16">
        <v>45870</v>
      </c>
      <c r="D713" s="13" t="s">
        <v>75</v>
      </c>
      <c r="E713" s="13" t="s">
        <v>144</v>
      </c>
      <c r="F713" s="19">
        <v>637.89163397622474</v>
      </c>
    </row>
    <row r="714" spans="1:6">
      <c r="A714" s="13" t="s">
        <v>214</v>
      </c>
      <c r="B714" s="13">
        <v>2025</v>
      </c>
      <c r="C714" s="16">
        <v>45870</v>
      </c>
      <c r="D714" s="13" t="s">
        <v>75</v>
      </c>
      <c r="E714" s="13" t="s">
        <v>58</v>
      </c>
      <c r="F714" s="19">
        <v>-507.75110911784191</v>
      </c>
    </row>
    <row r="715" spans="1:6">
      <c r="A715" s="13" t="s">
        <v>214</v>
      </c>
      <c r="B715" s="13">
        <v>2025</v>
      </c>
      <c r="C715" s="16">
        <v>45870</v>
      </c>
      <c r="D715" s="13" t="s">
        <v>75</v>
      </c>
      <c r="E715" s="13" t="s">
        <v>151</v>
      </c>
      <c r="F715" s="19">
        <v>-90.580612024623889</v>
      </c>
    </row>
    <row r="716" spans="1:6">
      <c r="A716" s="13" t="s">
        <v>214</v>
      </c>
      <c r="B716" s="13">
        <v>2025</v>
      </c>
      <c r="C716" s="16">
        <v>45870</v>
      </c>
      <c r="D716" s="13" t="s">
        <v>75</v>
      </c>
      <c r="E716" s="13" t="s">
        <v>153</v>
      </c>
      <c r="F716" s="19">
        <v>-17.223074117358067</v>
      </c>
    </row>
    <row r="717" spans="1:6">
      <c r="A717" s="13" t="s">
        <v>214</v>
      </c>
      <c r="B717" s="13">
        <v>2025</v>
      </c>
      <c r="C717" s="16">
        <v>45870</v>
      </c>
      <c r="D717" s="13" t="s">
        <v>75</v>
      </c>
      <c r="E717" s="13" t="s">
        <v>155</v>
      </c>
      <c r="F717" s="19">
        <v>9.5683745096433714</v>
      </c>
    </row>
    <row r="718" spans="1:6">
      <c r="A718" s="13" t="s">
        <v>214</v>
      </c>
      <c r="B718" s="13">
        <v>2025</v>
      </c>
      <c r="C718" s="16">
        <v>45870</v>
      </c>
      <c r="D718" s="13" t="s">
        <v>75</v>
      </c>
      <c r="E718" s="13" t="s">
        <v>157</v>
      </c>
      <c r="F718" s="19">
        <v>-5.1031330718097978</v>
      </c>
    </row>
    <row r="719" spans="1:6">
      <c r="A719" s="13" t="s">
        <v>214</v>
      </c>
      <c r="B719" s="13">
        <v>2025</v>
      </c>
      <c r="C719" s="16">
        <v>45870</v>
      </c>
      <c r="D719" s="13" t="s">
        <v>75</v>
      </c>
      <c r="E719" s="13" t="s">
        <v>159</v>
      </c>
      <c r="F719" s="19">
        <v>0</v>
      </c>
    </row>
    <row r="720" spans="1:6">
      <c r="A720" s="13" t="s">
        <v>214</v>
      </c>
      <c r="B720" s="13">
        <v>2025</v>
      </c>
      <c r="C720" s="16">
        <v>45870</v>
      </c>
      <c r="D720" s="13" t="s">
        <v>75</v>
      </c>
      <c r="E720" s="13" t="s">
        <v>161</v>
      </c>
      <c r="F720" s="19">
        <v>-1.0206266143619596</v>
      </c>
    </row>
    <row r="721" spans="1:6">
      <c r="A721" s="13" t="s">
        <v>214</v>
      </c>
      <c r="B721" s="13">
        <v>2025</v>
      </c>
      <c r="C721" s="16">
        <v>45870</v>
      </c>
      <c r="D721" s="13" t="s">
        <v>75</v>
      </c>
      <c r="E721" s="13" t="s">
        <v>163</v>
      </c>
      <c r="F721" s="19">
        <v>-5.1562907079744988</v>
      </c>
    </row>
    <row r="722" spans="1:6">
      <c r="A722" s="13" t="s">
        <v>214</v>
      </c>
      <c r="B722" s="13">
        <v>2025</v>
      </c>
      <c r="C722" s="16">
        <v>45901</v>
      </c>
      <c r="D722" s="13" t="s">
        <v>67</v>
      </c>
      <c r="E722" s="13" t="s">
        <v>144</v>
      </c>
      <c r="F722" s="19">
        <v>2898.5938767762632</v>
      </c>
    </row>
    <row r="723" spans="1:6">
      <c r="A723" s="13" t="s">
        <v>214</v>
      </c>
      <c r="B723" s="13">
        <v>2025</v>
      </c>
      <c r="C723" s="16">
        <v>45901</v>
      </c>
      <c r="D723" s="13" t="s">
        <v>67</v>
      </c>
      <c r="E723" s="13" t="s">
        <v>58</v>
      </c>
      <c r="F723" s="19">
        <v>-2307.2324160159592</v>
      </c>
    </row>
    <row r="724" spans="1:6">
      <c r="A724" s="13" t="s">
        <v>214</v>
      </c>
      <c r="B724" s="13">
        <v>2025</v>
      </c>
      <c r="C724" s="16">
        <v>45901</v>
      </c>
      <c r="D724" s="13" t="s">
        <v>67</v>
      </c>
      <c r="E724" s="13" t="s">
        <v>151</v>
      </c>
      <c r="F724" s="19">
        <v>-411.60033050222933</v>
      </c>
    </row>
    <row r="725" spans="1:6">
      <c r="A725" s="13" t="s">
        <v>214</v>
      </c>
      <c r="B725" s="13">
        <v>2025</v>
      </c>
      <c r="C725" s="16">
        <v>45901</v>
      </c>
      <c r="D725" s="13" t="s">
        <v>67</v>
      </c>
      <c r="E725" s="13" t="s">
        <v>153</v>
      </c>
      <c r="F725" s="19">
        <v>-78.262034672959103</v>
      </c>
    </row>
    <row r="726" spans="1:6">
      <c r="A726" s="13" t="s">
        <v>214</v>
      </c>
      <c r="B726" s="13">
        <v>2025</v>
      </c>
      <c r="C726" s="16">
        <v>45901</v>
      </c>
      <c r="D726" s="13" t="s">
        <v>67</v>
      </c>
      <c r="E726" s="13" t="s">
        <v>155</v>
      </c>
      <c r="F726" s="19">
        <v>43.47890815164395</v>
      </c>
    </row>
    <row r="727" spans="1:6">
      <c r="A727" s="13" t="s">
        <v>214</v>
      </c>
      <c r="B727" s="13">
        <v>2025</v>
      </c>
      <c r="C727" s="16">
        <v>45901</v>
      </c>
      <c r="D727" s="13" t="s">
        <v>67</v>
      </c>
      <c r="E727" s="13" t="s">
        <v>157</v>
      </c>
      <c r="F727" s="19">
        <v>-23.188751014210105</v>
      </c>
    </row>
    <row r="728" spans="1:6">
      <c r="A728" s="13" t="s">
        <v>214</v>
      </c>
      <c r="B728" s="13">
        <v>2025</v>
      </c>
      <c r="C728" s="16">
        <v>45901</v>
      </c>
      <c r="D728" s="13" t="s">
        <v>67</v>
      </c>
      <c r="E728" s="13" t="s">
        <v>159</v>
      </c>
      <c r="F728" s="19">
        <v>0</v>
      </c>
    </row>
    <row r="729" spans="1:6">
      <c r="A729" s="13" t="s">
        <v>214</v>
      </c>
      <c r="B729" s="13">
        <v>2025</v>
      </c>
      <c r="C729" s="16">
        <v>45901</v>
      </c>
      <c r="D729" s="13" t="s">
        <v>67</v>
      </c>
      <c r="E729" s="13" t="s">
        <v>161</v>
      </c>
      <c r="F729" s="19">
        <v>-4.637750202842021</v>
      </c>
    </row>
    <row r="730" spans="1:6">
      <c r="A730" s="13" t="s">
        <v>214</v>
      </c>
      <c r="B730" s="13">
        <v>2025</v>
      </c>
      <c r="C730" s="16">
        <v>45901</v>
      </c>
      <c r="D730" s="13" t="s">
        <v>67</v>
      </c>
      <c r="E730" s="13" t="s">
        <v>163</v>
      </c>
      <c r="F730" s="19">
        <v>-23.430300503941531</v>
      </c>
    </row>
    <row r="731" spans="1:6">
      <c r="A731" s="13" t="s">
        <v>214</v>
      </c>
      <c r="B731" s="13">
        <v>2025</v>
      </c>
      <c r="C731" s="16">
        <v>45901</v>
      </c>
      <c r="D731" s="13" t="s">
        <v>72</v>
      </c>
      <c r="E731" s="13" t="s">
        <v>144</v>
      </c>
      <c r="F731" s="19">
        <v>5533.6792193001393</v>
      </c>
    </row>
    <row r="732" spans="1:6">
      <c r="A732" s="13" t="s">
        <v>214</v>
      </c>
      <c r="B732" s="13">
        <v>2025</v>
      </c>
      <c r="C732" s="16">
        <v>45901</v>
      </c>
      <c r="D732" s="13" t="s">
        <v>72</v>
      </c>
      <c r="E732" s="13" t="s">
        <v>58</v>
      </c>
      <c r="F732" s="19">
        <v>-4404.7164305759225</v>
      </c>
    </row>
    <row r="733" spans="1:6">
      <c r="A733" s="13" t="s">
        <v>214</v>
      </c>
      <c r="B733" s="13">
        <v>2025</v>
      </c>
      <c r="C733" s="16">
        <v>45901</v>
      </c>
      <c r="D733" s="13" t="s">
        <v>72</v>
      </c>
      <c r="E733" s="13" t="s">
        <v>151</v>
      </c>
      <c r="F733" s="19">
        <v>-785.78244914061963</v>
      </c>
    </row>
    <row r="734" spans="1:6">
      <c r="A734" s="13" t="s">
        <v>214</v>
      </c>
      <c r="B734" s="13">
        <v>2025</v>
      </c>
      <c r="C734" s="16">
        <v>45901</v>
      </c>
      <c r="D734" s="13" t="s">
        <v>72</v>
      </c>
      <c r="E734" s="13" t="s">
        <v>153</v>
      </c>
      <c r="F734" s="19">
        <v>-149.40933892110374</v>
      </c>
    </row>
    <row r="735" spans="1:6">
      <c r="A735" s="13" t="s">
        <v>214</v>
      </c>
      <c r="B735" s="13">
        <v>2025</v>
      </c>
      <c r="C735" s="16">
        <v>45901</v>
      </c>
      <c r="D735" s="13" t="s">
        <v>72</v>
      </c>
      <c r="E735" s="13" t="s">
        <v>155</v>
      </c>
      <c r="F735" s="19">
        <v>83.005188289502087</v>
      </c>
    </row>
    <row r="736" spans="1:6">
      <c r="A736" s="13" t="s">
        <v>214</v>
      </c>
      <c r="B736" s="13">
        <v>2025</v>
      </c>
      <c r="C736" s="16">
        <v>45901</v>
      </c>
      <c r="D736" s="13" t="s">
        <v>72</v>
      </c>
      <c r="E736" s="13" t="s">
        <v>157</v>
      </c>
      <c r="F736" s="19">
        <v>-44.269433754401113</v>
      </c>
    </row>
    <row r="737" spans="1:6">
      <c r="A737" s="13" t="s">
        <v>214</v>
      </c>
      <c r="B737" s="13">
        <v>2025</v>
      </c>
      <c r="C737" s="16">
        <v>45901</v>
      </c>
      <c r="D737" s="13" t="s">
        <v>72</v>
      </c>
      <c r="E737" s="13" t="s">
        <v>159</v>
      </c>
      <c r="F737" s="19">
        <v>0</v>
      </c>
    </row>
    <row r="738" spans="1:6">
      <c r="A738" s="13" t="s">
        <v>214</v>
      </c>
      <c r="B738" s="13">
        <v>2025</v>
      </c>
      <c r="C738" s="16">
        <v>45901</v>
      </c>
      <c r="D738" s="13" t="s">
        <v>72</v>
      </c>
      <c r="E738" s="13" t="s">
        <v>161</v>
      </c>
      <c r="F738" s="19">
        <v>-8.8538867508802213</v>
      </c>
    </row>
    <row r="739" spans="1:6">
      <c r="A739" s="13" t="s">
        <v>214</v>
      </c>
      <c r="B739" s="13">
        <v>2025</v>
      </c>
      <c r="C739" s="16">
        <v>45901</v>
      </c>
      <c r="D739" s="13" t="s">
        <v>72</v>
      </c>
      <c r="E739" s="13" t="s">
        <v>163</v>
      </c>
      <c r="F739" s="19">
        <v>-44.730573689342926</v>
      </c>
    </row>
    <row r="740" spans="1:6">
      <c r="A740" s="13" t="s">
        <v>214</v>
      </c>
      <c r="B740" s="13">
        <v>2025</v>
      </c>
      <c r="C740" s="16">
        <v>45901</v>
      </c>
      <c r="D740" s="13" t="s">
        <v>73</v>
      </c>
      <c r="E740" s="13" t="s">
        <v>144</v>
      </c>
      <c r="F740" s="19">
        <v>4084.3822809120074</v>
      </c>
    </row>
    <row r="741" spans="1:6">
      <c r="A741" s="13" t="s">
        <v>214</v>
      </c>
      <c r="B741" s="13">
        <v>2025</v>
      </c>
      <c r="C741" s="16">
        <v>45901</v>
      </c>
      <c r="D741" s="13" t="s">
        <v>73</v>
      </c>
      <c r="E741" s="13" t="s">
        <v>58</v>
      </c>
      <c r="F741" s="19">
        <v>-3251.1002225679426</v>
      </c>
    </row>
    <row r="742" spans="1:6">
      <c r="A742" s="13" t="s">
        <v>214</v>
      </c>
      <c r="B742" s="13">
        <v>2025</v>
      </c>
      <c r="C742" s="16">
        <v>45901</v>
      </c>
      <c r="D742" s="13" t="s">
        <v>73</v>
      </c>
      <c r="E742" s="13" t="s">
        <v>151</v>
      </c>
      <c r="F742" s="19">
        <v>-579.98228388950497</v>
      </c>
    </row>
    <row r="743" spans="1:6">
      <c r="A743" s="13" t="s">
        <v>214</v>
      </c>
      <c r="B743" s="13">
        <v>2025</v>
      </c>
      <c r="C743" s="16">
        <v>45901</v>
      </c>
      <c r="D743" s="13" t="s">
        <v>73</v>
      </c>
      <c r="E743" s="13" t="s">
        <v>153</v>
      </c>
      <c r="F743" s="19">
        <v>-110.27832158462421</v>
      </c>
    </row>
    <row r="744" spans="1:6">
      <c r="A744" s="13" t="s">
        <v>214</v>
      </c>
      <c r="B744" s="13">
        <v>2025</v>
      </c>
      <c r="C744" s="16">
        <v>45901</v>
      </c>
      <c r="D744" s="13" t="s">
        <v>73</v>
      </c>
      <c r="E744" s="13" t="s">
        <v>155</v>
      </c>
      <c r="F744" s="19">
        <v>61.265734213680112</v>
      </c>
    </row>
    <row r="745" spans="1:6">
      <c r="A745" s="13" t="s">
        <v>214</v>
      </c>
      <c r="B745" s="13">
        <v>2025</v>
      </c>
      <c r="C745" s="16">
        <v>45901</v>
      </c>
      <c r="D745" s="13" t="s">
        <v>73</v>
      </c>
      <c r="E745" s="13" t="s">
        <v>157</v>
      </c>
      <c r="F745" s="19">
        <v>-32.675058247296057</v>
      </c>
    </row>
    <row r="746" spans="1:6">
      <c r="A746" s="13" t="s">
        <v>214</v>
      </c>
      <c r="B746" s="13">
        <v>2025</v>
      </c>
      <c r="C746" s="16">
        <v>45901</v>
      </c>
      <c r="D746" s="13" t="s">
        <v>73</v>
      </c>
      <c r="E746" s="13" t="s">
        <v>159</v>
      </c>
      <c r="F746" s="19">
        <v>0</v>
      </c>
    </row>
    <row r="747" spans="1:6">
      <c r="A747" s="13" t="s">
        <v>214</v>
      </c>
      <c r="B747" s="13">
        <v>2025</v>
      </c>
      <c r="C747" s="16">
        <v>45901</v>
      </c>
      <c r="D747" s="13" t="s">
        <v>73</v>
      </c>
      <c r="E747" s="13" t="s">
        <v>161</v>
      </c>
      <c r="F747" s="19">
        <v>-6.5350116494592116</v>
      </c>
    </row>
    <row r="748" spans="1:6">
      <c r="A748" s="13" t="s">
        <v>214</v>
      </c>
      <c r="B748" s="13">
        <v>2025</v>
      </c>
      <c r="C748" s="16">
        <v>45901</v>
      </c>
      <c r="D748" s="13" t="s">
        <v>73</v>
      </c>
      <c r="E748" s="13" t="s">
        <v>163</v>
      </c>
      <c r="F748" s="19">
        <v>-33.015423437372156</v>
      </c>
    </row>
    <row r="749" spans="1:6">
      <c r="A749" s="13" t="s">
        <v>214</v>
      </c>
      <c r="B749" s="13">
        <v>2025</v>
      </c>
      <c r="C749" s="16">
        <v>45901</v>
      </c>
      <c r="D749" s="13" t="s">
        <v>75</v>
      </c>
      <c r="E749" s="13" t="s">
        <v>144</v>
      </c>
      <c r="F749" s="19">
        <v>658.77133563096891</v>
      </c>
    </row>
    <row r="750" spans="1:6">
      <c r="A750" s="13" t="s">
        <v>214</v>
      </c>
      <c r="B750" s="13">
        <v>2025</v>
      </c>
      <c r="C750" s="16">
        <v>45901</v>
      </c>
      <c r="D750" s="13" t="s">
        <v>75</v>
      </c>
      <c r="E750" s="13" t="s">
        <v>58</v>
      </c>
      <c r="F750" s="19">
        <v>-524.3710036399907</v>
      </c>
    </row>
    <row r="751" spans="1:6">
      <c r="A751" s="13" t="s">
        <v>214</v>
      </c>
      <c r="B751" s="13">
        <v>2025</v>
      </c>
      <c r="C751" s="16">
        <v>45901</v>
      </c>
      <c r="D751" s="13" t="s">
        <v>75</v>
      </c>
      <c r="E751" s="13" t="s">
        <v>151</v>
      </c>
      <c r="F751" s="19">
        <v>-93.545529659597562</v>
      </c>
    </row>
    <row r="752" spans="1:6">
      <c r="A752" s="13" t="s">
        <v>214</v>
      </c>
      <c r="B752" s="13">
        <v>2025</v>
      </c>
      <c r="C752" s="16">
        <v>45901</v>
      </c>
      <c r="D752" s="13" t="s">
        <v>75</v>
      </c>
      <c r="E752" s="13" t="s">
        <v>153</v>
      </c>
      <c r="F752" s="19">
        <v>-17.786826062036159</v>
      </c>
    </row>
    <row r="753" spans="1:6">
      <c r="A753" s="13" t="s">
        <v>214</v>
      </c>
      <c r="B753" s="13">
        <v>2025</v>
      </c>
      <c r="C753" s="16">
        <v>45901</v>
      </c>
      <c r="D753" s="13" t="s">
        <v>75</v>
      </c>
      <c r="E753" s="13" t="s">
        <v>155</v>
      </c>
      <c r="F753" s="19">
        <v>9.8815700344645343</v>
      </c>
    </row>
    <row r="754" spans="1:6">
      <c r="A754" s="13" t="s">
        <v>214</v>
      </c>
      <c r="B754" s="13">
        <v>2025</v>
      </c>
      <c r="C754" s="16">
        <v>45901</v>
      </c>
      <c r="D754" s="13" t="s">
        <v>75</v>
      </c>
      <c r="E754" s="13" t="s">
        <v>157</v>
      </c>
      <c r="F754" s="19">
        <v>-5.2701706850477512</v>
      </c>
    </row>
    <row r="755" spans="1:6">
      <c r="A755" s="13" t="s">
        <v>214</v>
      </c>
      <c r="B755" s="13">
        <v>2025</v>
      </c>
      <c r="C755" s="16">
        <v>45901</v>
      </c>
      <c r="D755" s="13" t="s">
        <v>75</v>
      </c>
      <c r="E755" s="13" t="s">
        <v>159</v>
      </c>
      <c r="F755" s="19">
        <v>0</v>
      </c>
    </row>
    <row r="756" spans="1:6">
      <c r="A756" s="13" t="s">
        <v>214</v>
      </c>
      <c r="B756" s="13">
        <v>2025</v>
      </c>
      <c r="C756" s="16">
        <v>45901</v>
      </c>
      <c r="D756" s="13" t="s">
        <v>75</v>
      </c>
      <c r="E756" s="13" t="s">
        <v>161</v>
      </c>
      <c r="F756" s="19">
        <v>-1.0540341370095503</v>
      </c>
    </row>
    <row r="757" spans="1:6">
      <c r="A757" s="13" t="s">
        <v>214</v>
      </c>
      <c r="B757" s="13">
        <v>2025</v>
      </c>
      <c r="C757" s="16">
        <v>45901</v>
      </c>
      <c r="D757" s="13" t="s">
        <v>75</v>
      </c>
      <c r="E757" s="13" t="s">
        <v>163</v>
      </c>
      <c r="F757" s="19">
        <v>-5.3250682963503477</v>
      </c>
    </row>
    <row r="758" spans="1:6">
      <c r="A758" s="13" t="s">
        <v>214</v>
      </c>
      <c r="B758" s="13">
        <v>2025</v>
      </c>
      <c r="C758" s="16">
        <v>45931</v>
      </c>
      <c r="D758" s="13" t="s">
        <v>67</v>
      </c>
      <c r="E758" s="13" t="s">
        <v>144</v>
      </c>
      <c r="F758" s="19">
        <v>2846.0261573160838</v>
      </c>
    </row>
    <row r="759" spans="1:6">
      <c r="A759" s="13" t="s">
        <v>214</v>
      </c>
      <c r="B759" s="13">
        <v>2025</v>
      </c>
      <c r="C759" s="16">
        <v>45931</v>
      </c>
      <c r="D759" s="13" t="s">
        <v>67</v>
      </c>
      <c r="E759" s="13" t="s">
        <v>58</v>
      </c>
      <c r="F759" s="19">
        <v>-2265.3893874543141</v>
      </c>
    </row>
    <row r="760" spans="1:6">
      <c r="A760" s="13" t="s">
        <v>214</v>
      </c>
      <c r="B760" s="13">
        <v>2025</v>
      </c>
      <c r="C760" s="16">
        <v>45931</v>
      </c>
      <c r="D760" s="13" t="s">
        <v>67</v>
      </c>
      <c r="E760" s="13" t="s">
        <v>151</v>
      </c>
      <c r="F760" s="19">
        <v>-404.13571433888382</v>
      </c>
    </row>
    <row r="761" spans="1:6">
      <c r="A761" s="13" t="s">
        <v>214</v>
      </c>
      <c r="B761" s="13">
        <v>2025</v>
      </c>
      <c r="C761" s="16">
        <v>45931</v>
      </c>
      <c r="D761" s="13" t="s">
        <v>67</v>
      </c>
      <c r="E761" s="13" t="s">
        <v>153</v>
      </c>
      <c r="F761" s="19">
        <v>-76.842706247534267</v>
      </c>
    </row>
    <row r="762" spans="1:6">
      <c r="A762" s="13" t="s">
        <v>214</v>
      </c>
      <c r="B762" s="13">
        <v>2025</v>
      </c>
      <c r="C762" s="16">
        <v>45931</v>
      </c>
      <c r="D762" s="13" t="s">
        <v>67</v>
      </c>
      <c r="E762" s="13" t="s">
        <v>155</v>
      </c>
      <c r="F762" s="19">
        <v>42.690392359741253</v>
      </c>
    </row>
    <row r="763" spans="1:6">
      <c r="A763" s="13" t="s">
        <v>214</v>
      </c>
      <c r="B763" s="13">
        <v>2025</v>
      </c>
      <c r="C763" s="16">
        <v>45931</v>
      </c>
      <c r="D763" s="13" t="s">
        <v>67</v>
      </c>
      <c r="E763" s="13" t="s">
        <v>157</v>
      </c>
      <c r="F763" s="19">
        <v>-22.768209258528671</v>
      </c>
    </row>
    <row r="764" spans="1:6">
      <c r="A764" s="13" t="s">
        <v>214</v>
      </c>
      <c r="B764" s="13">
        <v>2025</v>
      </c>
      <c r="C764" s="16">
        <v>45931</v>
      </c>
      <c r="D764" s="13" t="s">
        <v>67</v>
      </c>
      <c r="E764" s="13" t="s">
        <v>159</v>
      </c>
      <c r="F764" s="19">
        <v>0</v>
      </c>
    </row>
    <row r="765" spans="1:6">
      <c r="A765" s="13" t="s">
        <v>214</v>
      </c>
      <c r="B765" s="13">
        <v>2025</v>
      </c>
      <c r="C765" s="16">
        <v>45931</v>
      </c>
      <c r="D765" s="13" t="s">
        <v>67</v>
      </c>
      <c r="E765" s="13" t="s">
        <v>161</v>
      </c>
      <c r="F765" s="19">
        <v>-4.5536418517057342</v>
      </c>
    </row>
    <row r="766" spans="1:6">
      <c r="A766" s="13" t="s">
        <v>214</v>
      </c>
      <c r="B766" s="13">
        <v>2025</v>
      </c>
      <c r="C766" s="16">
        <v>45931</v>
      </c>
      <c r="D766" s="13" t="s">
        <v>67</v>
      </c>
      <c r="E766" s="13" t="s">
        <v>163</v>
      </c>
      <c r="F766" s="19">
        <v>-23.005378104971747</v>
      </c>
    </row>
    <row r="767" spans="1:6">
      <c r="A767" s="13" t="s">
        <v>214</v>
      </c>
      <c r="B767" s="13">
        <v>2025</v>
      </c>
      <c r="C767" s="16">
        <v>45931</v>
      </c>
      <c r="D767" s="13" t="s">
        <v>72</v>
      </c>
      <c r="E767" s="13" t="s">
        <v>144</v>
      </c>
      <c r="F767" s="19">
        <v>5433.3226639670684</v>
      </c>
    </row>
    <row r="768" spans="1:6">
      <c r="A768" s="13" t="s">
        <v>214</v>
      </c>
      <c r="B768" s="13">
        <v>2025</v>
      </c>
      <c r="C768" s="16">
        <v>45931</v>
      </c>
      <c r="D768" s="13" t="s">
        <v>72</v>
      </c>
      <c r="E768" s="13" t="s">
        <v>58</v>
      </c>
      <c r="F768" s="19">
        <v>-4324.8342851400539</v>
      </c>
    </row>
    <row r="769" spans="1:6">
      <c r="A769" s="13" t="s">
        <v>214</v>
      </c>
      <c r="B769" s="13">
        <v>2025</v>
      </c>
      <c r="C769" s="16">
        <v>45931</v>
      </c>
      <c r="D769" s="13" t="s">
        <v>72</v>
      </c>
      <c r="E769" s="13" t="s">
        <v>151</v>
      </c>
      <c r="F769" s="19">
        <v>-771.53181828332356</v>
      </c>
    </row>
    <row r="770" spans="1:6">
      <c r="A770" s="13" t="s">
        <v>214</v>
      </c>
      <c r="B770" s="13">
        <v>2025</v>
      </c>
      <c r="C770" s="16">
        <v>45931</v>
      </c>
      <c r="D770" s="13" t="s">
        <v>72</v>
      </c>
      <c r="E770" s="13" t="s">
        <v>153</v>
      </c>
      <c r="F770" s="19">
        <v>-146.69971192711085</v>
      </c>
    </row>
    <row r="771" spans="1:6">
      <c r="A771" s="13" t="s">
        <v>214</v>
      </c>
      <c r="B771" s="13">
        <v>2025</v>
      </c>
      <c r="C771" s="16">
        <v>45931</v>
      </c>
      <c r="D771" s="13" t="s">
        <v>72</v>
      </c>
      <c r="E771" s="13" t="s">
        <v>155</v>
      </c>
      <c r="F771" s="19">
        <v>81.499839959506019</v>
      </c>
    </row>
    <row r="772" spans="1:6">
      <c r="A772" s="13" t="s">
        <v>214</v>
      </c>
      <c r="B772" s="13">
        <v>2025</v>
      </c>
      <c r="C772" s="16">
        <v>45931</v>
      </c>
      <c r="D772" s="13" t="s">
        <v>72</v>
      </c>
      <c r="E772" s="13" t="s">
        <v>157</v>
      </c>
      <c r="F772" s="19">
        <v>-43.466581311736547</v>
      </c>
    </row>
    <row r="773" spans="1:6">
      <c r="A773" s="13" t="s">
        <v>214</v>
      </c>
      <c r="B773" s="13">
        <v>2025</v>
      </c>
      <c r="C773" s="16">
        <v>45931</v>
      </c>
      <c r="D773" s="13" t="s">
        <v>72</v>
      </c>
      <c r="E773" s="13" t="s">
        <v>159</v>
      </c>
      <c r="F773" s="19">
        <v>0</v>
      </c>
    </row>
    <row r="774" spans="1:6">
      <c r="A774" s="13" t="s">
        <v>214</v>
      </c>
      <c r="B774" s="13">
        <v>2025</v>
      </c>
      <c r="C774" s="16">
        <v>45931</v>
      </c>
      <c r="D774" s="13" t="s">
        <v>72</v>
      </c>
      <c r="E774" s="13" t="s">
        <v>161</v>
      </c>
      <c r="F774" s="19">
        <v>-8.6933162623473095</v>
      </c>
    </row>
    <row r="775" spans="1:6">
      <c r="A775" s="13" t="s">
        <v>214</v>
      </c>
      <c r="B775" s="13">
        <v>2025</v>
      </c>
      <c r="C775" s="16">
        <v>45931</v>
      </c>
      <c r="D775" s="13" t="s">
        <v>72</v>
      </c>
      <c r="E775" s="13" t="s">
        <v>163</v>
      </c>
      <c r="F775" s="19">
        <v>-43.919358200400602</v>
      </c>
    </row>
    <row r="776" spans="1:6">
      <c r="A776" s="13" t="s">
        <v>214</v>
      </c>
      <c r="B776" s="13">
        <v>2025</v>
      </c>
      <c r="C776" s="16">
        <v>45931</v>
      </c>
      <c r="D776" s="13" t="s">
        <v>73</v>
      </c>
      <c r="E776" s="13" t="s">
        <v>144</v>
      </c>
      <c r="F776" s="19">
        <v>4010.3095853090267</v>
      </c>
    </row>
    <row r="777" spans="1:6">
      <c r="A777" s="13" t="s">
        <v>214</v>
      </c>
      <c r="B777" s="13">
        <v>2025</v>
      </c>
      <c r="C777" s="16">
        <v>45931</v>
      </c>
      <c r="D777" s="13" t="s">
        <v>73</v>
      </c>
      <c r="E777" s="13" t="s">
        <v>58</v>
      </c>
      <c r="F777" s="19">
        <v>-3192.1395914128966</v>
      </c>
    </row>
    <row r="778" spans="1:6">
      <c r="A778" s="13" t="s">
        <v>214</v>
      </c>
      <c r="B778" s="13">
        <v>2025</v>
      </c>
      <c r="C778" s="16">
        <v>45931</v>
      </c>
      <c r="D778" s="13" t="s">
        <v>73</v>
      </c>
      <c r="E778" s="13" t="s">
        <v>151</v>
      </c>
      <c r="F778" s="19">
        <v>-569.46396111388174</v>
      </c>
    </row>
    <row r="779" spans="1:6">
      <c r="A779" s="13" t="s">
        <v>214</v>
      </c>
      <c r="B779" s="13">
        <v>2025</v>
      </c>
      <c r="C779" s="16">
        <v>45931</v>
      </c>
      <c r="D779" s="13" t="s">
        <v>73</v>
      </c>
      <c r="E779" s="13" t="s">
        <v>153</v>
      </c>
      <c r="F779" s="19">
        <v>-108.27835880334372</v>
      </c>
    </row>
    <row r="780" spans="1:6">
      <c r="A780" s="13" t="s">
        <v>214</v>
      </c>
      <c r="B780" s="13">
        <v>2025</v>
      </c>
      <c r="C780" s="16">
        <v>45931</v>
      </c>
      <c r="D780" s="13" t="s">
        <v>73</v>
      </c>
      <c r="E780" s="13" t="s">
        <v>155</v>
      </c>
      <c r="F780" s="19">
        <v>60.1546437796354</v>
      </c>
    </row>
    <row r="781" spans="1:6">
      <c r="A781" s="13" t="s">
        <v>214</v>
      </c>
      <c r="B781" s="13">
        <v>2025</v>
      </c>
      <c r="C781" s="16">
        <v>45931</v>
      </c>
      <c r="D781" s="13" t="s">
        <v>73</v>
      </c>
      <c r="E781" s="13" t="s">
        <v>157</v>
      </c>
      <c r="F781" s="19">
        <v>-32.082476682472212</v>
      </c>
    </row>
    <row r="782" spans="1:6">
      <c r="A782" s="13" t="s">
        <v>214</v>
      </c>
      <c r="B782" s="13">
        <v>2025</v>
      </c>
      <c r="C782" s="16">
        <v>45931</v>
      </c>
      <c r="D782" s="13" t="s">
        <v>73</v>
      </c>
      <c r="E782" s="13" t="s">
        <v>159</v>
      </c>
      <c r="F782" s="19">
        <v>0</v>
      </c>
    </row>
    <row r="783" spans="1:6">
      <c r="A783" s="13" t="s">
        <v>214</v>
      </c>
      <c r="B783" s="13">
        <v>2025</v>
      </c>
      <c r="C783" s="16">
        <v>45931</v>
      </c>
      <c r="D783" s="13" t="s">
        <v>73</v>
      </c>
      <c r="E783" s="13" t="s">
        <v>161</v>
      </c>
      <c r="F783" s="19">
        <v>-6.4164953364944424</v>
      </c>
    </row>
    <row r="784" spans="1:6">
      <c r="A784" s="13" t="s">
        <v>214</v>
      </c>
      <c r="B784" s="13">
        <v>2025</v>
      </c>
      <c r="C784" s="16">
        <v>45931</v>
      </c>
      <c r="D784" s="13" t="s">
        <v>73</v>
      </c>
      <c r="E784" s="13" t="s">
        <v>163</v>
      </c>
      <c r="F784" s="19">
        <v>-32.416669147914732</v>
      </c>
    </row>
    <row r="785" spans="1:6">
      <c r="A785" s="13" t="s">
        <v>214</v>
      </c>
      <c r="B785" s="13">
        <v>2025</v>
      </c>
      <c r="C785" s="16">
        <v>45931</v>
      </c>
      <c r="D785" s="13" t="s">
        <v>75</v>
      </c>
      <c r="E785" s="13" t="s">
        <v>144</v>
      </c>
      <c r="F785" s="19">
        <v>646.82412666274627</v>
      </c>
    </row>
    <row r="786" spans="1:6">
      <c r="A786" s="13" t="s">
        <v>214</v>
      </c>
      <c r="B786" s="13">
        <v>2025</v>
      </c>
      <c r="C786" s="16">
        <v>45931</v>
      </c>
      <c r="D786" s="13" t="s">
        <v>75</v>
      </c>
      <c r="E786" s="13" t="s">
        <v>58</v>
      </c>
      <c r="F786" s="19">
        <v>-514.86122442143494</v>
      </c>
    </row>
    <row r="787" spans="1:6">
      <c r="A787" s="13" t="s">
        <v>214</v>
      </c>
      <c r="B787" s="13">
        <v>2025</v>
      </c>
      <c r="C787" s="16">
        <v>45931</v>
      </c>
      <c r="D787" s="13" t="s">
        <v>75</v>
      </c>
      <c r="E787" s="13" t="s">
        <v>151</v>
      </c>
      <c r="F787" s="19">
        <v>-91.84902598610995</v>
      </c>
    </row>
    <row r="788" spans="1:6">
      <c r="A788" s="13" t="s">
        <v>214</v>
      </c>
      <c r="B788" s="13">
        <v>2025</v>
      </c>
      <c r="C788" s="16">
        <v>45931</v>
      </c>
      <c r="D788" s="13" t="s">
        <v>75</v>
      </c>
      <c r="E788" s="13" t="s">
        <v>153</v>
      </c>
      <c r="F788" s="19">
        <v>-17.464251419894151</v>
      </c>
    </row>
    <row r="789" spans="1:6">
      <c r="A789" s="13" t="s">
        <v>214</v>
      </c>
      <c r="B789" s="13">
        <v>2025</v>
      </c>
      <c r="C789" s="16">
        <v>45931</v>
      </c>
      <c r="D789" s="13" t="s">
        <v>75</v>
      </c>
      <c r="E789" s="13" t="s">
        <v>155</v>
      </c>
      <c r="F789" s="19">
        <v>9.7023618999411934</v>
      </c>
    </row>
    <row r="790" spans="1:6">
      <c r="A790" s="13" t="s">
        <v>214</v>
      </c>
      <c r="B790" s="13">
        <v>2025</v>
      </c>
      <c r="C790" s="16">
        <v>45931</v>
      </c>
      <c r="D790" s="13" t="s">
        <v>75</v>
      </c>
      <c r="E790" s="13" t="s">
        <v>157</v>
      </c>
      <c r="F790" s="19">
        <v>-5.17459301330197</v>
      </c>
    </row>
    <row r="791" spans="1:6">
      <c r="A791" s="13" t="s">
        <v>214</v>
      </c>
      <c r="B791" s="13">
        <v>2025</v>
      </c>
      <c r="C791" s="16">
        <v>45931</v>
      </c>
      <c r="D791" s="13" t="s">
        <v>75</v>
      </c>
      <c r="E791" s="13" t="s">
        <v>159</v>
      </c>
      <c r="F791" s="19">
        <v>0</v>
      </c>
    </row>
    <row r="792" spans="1:6">
      <c r="A792" s="13" t="s">
        <v>214</v>
      </c>
      <c r="B792" s="13">
        <v>2025</v>
      </c>
      <c r="C792" s="16">
        <v>45931</v>
      </c>
      <c r="D792" s="13" t="s">
        <v>75</v>
      </c>
      <c r="E792" s="13" t="s">
        <v>161</v>
      </c>
      <c r="F792" s="19">
        <v>-1.034918602660394</v>
      </c>
    </row>
    <row r="793" spans="1:6">
      <c r="A793" s="13" t="s">
        <v>214</v>
      </c>
      <c r="B793" s="13">
        <v>2025</v>
      </c>
      <c r="C793" s="16">
        <v>45931</v>
      </c>
      <c r="D793" s="13" t="s">
        <v>75</v>
      </c>
      <c r="E793" s="13" t="s">
        <v>163</v>
      </c>
      <c r="F793" s="19">
        <v>-5.2284950238572145</v>
      </c>
    </row>
    <row r="794" spans="1:6">
      <c r="A794" s="13" t="s">
        <v>214</v>
      </c>
      <c r="B794" s="13">
        <v>2025</v>
      </c>
      <c r="C794" s="16">
        <v>45962</v>
      </c>
      <c r="D794" s="13" t="s">
        <v>67</v>
      </c>
      <c r="E794" s="13" t="s">
        <v>144</v>
      </c>
      <c r="F794" s="19">
        <v>2688.5686424844239</v>
      </c>
    </row>
    <row r="795" spans="1:6">
      <c r="A795" s="13" t="s">
        <v>214</v>
      </c>
      <c r="B795" s="13">
        <v>2025</v>
      </c>
      <c r="C795" s="16">
        <v>45962</v>
      </c>
      <c r="D795" s="13" t="s">
        <v>67</v>
      </c>
      <c r="E795" s="13" t="s">
        <v>58</v>
      </c>
      <c r="F795" s="19">
        <v>-2140.0558299402269</v>
      </c>
    </row>
    <row r="796" spans="1:6">
      <c r="A796" s="13" t="s">
        <v>214</v>
      </c>
      <c r="B796" s="13">
        <v>2025</v>
      </c>
      <c r="C796" s="16">
        <v>45962</v>
      </c>
      <c r="D796" s="13" t="s">
        <v>67</v>
      </c>
      <c r="E796" s="13" t="s">
        <v>151</v>
      </c>
      <c r="F796" s="19">
        <v>-381.77674723278813</v>
      </c>
    </row>
    <row r="797" spans="1:6">
      <c r="A797" s="13" t="s">
        <v>214</v>
      </c>
      <c r="B797" s="13">
        <v>2025</v>
      </c>
      <c r="C797" s="16">
        <v>45962</v>
      </c>
      <c r="D797" s="13" t="s">
        <v>67</v>
      </c>
      <c r="E797" s="13" t="s">
        <v>153</v>
      </c>
      <c r="F797" s="19">
        <v>-72.591353347079448</v>
      </c>
    </row>
    <row r="798" spans="1:6">
      <c r="A798" s="13" t="s">
        <v>214</v>
      </c>
      <c r="B798" s="13">
        <v>2025</v>
      </c>
      <c r="C798" s="16">
        <v>45962</v>
      </c>
      <c r="D798" s="13" t="s">
        <v>67</v>
      </c>
      <c r="E798" s="13" t="s">
        <v>155</v>
      </c>
      <c r="F798" s="19">
        <v>40.328529637266364</v>
      </c>
    </row>
    <row r="799" spans="1:6">
      <c r="A799" s="13" t="s">
        <v>214</v>
      </c>
      <c r="B799" s="13">
        <v>2025</v>
      </c>
      <c r="C799" s="16">
        <v>45962</v>
      </c>
      <c r="D799" s="13" t="s">
        <v>67</v>
      </c>
      <c r="E799" s="13" t="s">
        <v>157</v>
      </c>
      <c r="F799" s="19">
        <v>-21.508549139875392</v>
      </c>
    </row>
    <row r="800" spans="1:6">
      <c r="A800" s="13" t="s">
        <v>214</v>
      </c>
      <c r="B800" s="13">
        <v>2025</v>
      </c>
      <c r="C800" s="16">
        <v>45962</v>
      </c>
      <c r="D800" s="13" t="s">
        <v>67</v>
      </c>
      <c r="E800" s="13" t="s">
        <v>159</v>
      </c>
      <c r="F800" s="19">
        <v>0</v>
      </c>
    </row>
    <row r="801" spans="1:6">
      <c r="A801" s="13" t="s">
        <v>214</v>
      </c>
      <c r="B801" s="13">
        <v>2025</v>
      </c>
      <c r="C801" s="16">
        <v>45962</v>
      </c>
      <c r="D801" s="13" t="s">
        <v>67</v>
      </c>
      <c r="E801" s="13" t="s">
        <v>161</v>
      </c>
      <c r="F801" s="19">
        <v>-4.3017098279750785</v>
      </c>
    </row>
    <row r="802" spans="1:6">
      <c r="A802" s="13" t="s">
        <v>214</v>
      </c>
      <c r="B802" s="13">
        <v>2025</v>
      </c>
      <c r="C802" s="16">
        <v>45962</v>
      </c>
      <c r="D802" s="13" t="s">
        <v>67</v>
      </c>
      <c r="E802" s="13" t="s">
        <v>163</v>
      </c>
      <c r="F802" s="19">
        <v>-21.732596526749159</v>
      </c>
    </row>
    <row r="803" spans="1:6">
      <c r="A803" s="13" t="s">
        <v>214</v>
      </c>
      <c r="B803" s="13">
        <v>2025</v>
      </c>
      <c r="C803" s="16">
        <v>45962</v>
      </c>
      <c r="D803" s="13" t="s">
        <v>72</v>
      </c>
      <c r="E803" s="13" t="s">
        <v>144</v>
      </c>
      <c r="F803" s="19">
        <v>5132.7219538338995</v>
      </c>
    </row>
    <row r="804" spans="1:6">
      <c r="A804" s="13" t="s">
        <v>214</v>
      </c>
      <c r="B804" s="13">
        <v>2025</v>
      </c>
      <c r="C804" s="16">
        <v>45962</v>
      </c>
      <c r="D804" s="13" t="s">
        <v>72</v>
      </c>
      <c r="E804" s="13" t="s">
        <v>58</v>
      </c>
      <c r="F804" s="19">
        <v>-4085.5611298858867</v>
      </c>
    </row>
    <row r="805" spans="1:6">
      <c r="A805" s="13" t="s">
        <v>214</v>
      </c>
      <c r="B805" s="13">
        <v>2025</v>
      </c>
      <c r="C805" s="16">
        <v>45962</v>
      </c>
      <c r="D805" s="13" t="s">
        <v>72</v>
      </c>
      <c r="E805" s="13" t="s">
        <v>151</v>
      </c>
      <c r="F805" s="19">
        <v>-728.84651744441362</v>
      </c>
    </row>
    <row r="806" spans="1:6">
      <c r="A806" s="13" t="s">
        <v>214</v>
      </c>
      <c r="B806" s="13">
        <v>2025</v>
      </c>
      <c r="C806" s="16">
        <v>45962</v>
      </c>
      <c r="D806" s="13" t="s">
        <v>72</v>
      </c>
      <c r="E806" s="13" t="s">
        <v>153</v>
      </c>
      <c r="F806" s="19">
        <v>-138.58349275351529</v>
      </c>
    </row>
    <row r="807" spans="1:6">
      <c r="A807" s="13" t="s">
        <v>214</v>
      </c>
      <c r="B807" s="13">
        <v>2025</v>
      </c>
      <c r="C807" s="16">
        <v>45962</v>
      </c>
      <c r="D807" s="13" t="s">
        <v>72</v>
      </c>
      <c r="E807" s="13" t="s">
        <v>155</v>
      </c>
      <c r="F807" s="19">
        <v>76.990829307508491</v>
      </c>
    </row>
    <row r="808" spans="1:6">
      <c r="A808" s="13" t="s">
        <v>214</v>
      </c>
      <c r="B808" s="13">
        <v>2025</v>
      </c>
      <c r="C808" s="16">
        <v>45962</v>
      </c>
      <c r="D808" s="13" t="s">
        <v>72</v>
      </c>
      <c r="E808" s="13" t="s">
        <v>157</v>
      </c>
      <c r="F808" s="19">
        <v>-41.0617756306712</v>
      </c>
    </row>
    <row r="809" spans="1:6">
      <c r="A809" s="13" t="s">
        <v>214</v>
      </c>
      <c r="B809" s="13">
        <v>2025</v>
      </c>
      <c r="C809" s="16">
        <v>45962</v>
      </c>
      <c r="D809" s="13" t="s">
        <v>72</v>
      </c>
      <c r="E809" s="13" t="s">
        <v>159</v>
      </c>
      <c r="F809" s="19">
        <v>0</v>
      </c>
    </row>
    <row r="810" spans="1:6">
      <c r="A810" s="13" t="s">
        <v>214</v>
      </c>
      <c r="B810" s="13">
        <v>2025</v>
      </c>
      <c r="C810" s="16">
        <v>45962</v>
      </c>
      <c r="D810" s="13" t="s">
        <v>72</v>
      </c>
      <c r="E810" s="13" t="s">
        <v>161</v>
      </c>
      <c r="F810" s="19">
        <v>-8.2123551261342396</v>
      </c>
    </row>
    <row r="811" spans="1:6">
      <c r="A811" s="13" t="s">
        <v>214</v>
      </c>
      <c r="B811" s="13">
        <v>2025</v>
      </c>
      <c r="C811" s="16">
        <v>45962</v>
      </c>
      <c r="D811" s="13" t="s">
        <v>72</v>
      </c>
      <c r="E811" s="13" t="s">
        <v>163</v>
      </c>
      <c r="F811" s="19">
        <v>-41.489502460157482</v>
      </c>
    </row>
    <row r="812" spans="1:6">
      <c r="A812" s="13" t="s">
        <v>214</v>
      </c>
      <c r="B812" s="13">
        <v>2025</v>
      </c>
      <c r="C812" s="16">
        <v>45962</v>
      </c>
      <c r="D812" s="13" t="s">
        <v>73</v>
      </c>
      <c r="E812" s="13" t="s">
        <v>144</v>
      </c>
      <c r="F812" s="19">
        <v>3788.4376325916883</v>
      </c>
    </row>
    <row r="813" spans="1:6">
      <c r="A813" s="13" t="s">
        <v>214</v>
      </c>
      <c r="B813" s="13">
        <v>2025</v>
      </c>
      <c r="C813" s="16">
        <v>45962</v>
      </c>
      <c r="D813" s="13" t="s">
        <v>73</v>
      </c>
      <c r="E813" s="13" t="s">
        <v>58</v>
      </c>
      <c r="F813" s="19">
        <v>-3015.5332149157739</v>
      </c>
    </row>
    <row r="814" spans="1:6">
      <c r="A814" s="13" t="s">
        <v>214</v>
      </c>
      <c r="B814" s="13">
        <v>2025</v>
      </c>
      <c r="C814" s="16">
        <v>45962</v>
      </c>
      <c r="D814" s="13" t="s">
        <v>73</v>
      </c>
      <c r="E814" s="13" t="s">
        <v>151</v>
      </c>
      <c r="F814" s="19">
        <v>-537.95814382801962</v>
      </c>
    </row>
    <row r="815" spans="1:6">
      <c r="A815" s="13" t="s">
        <v>214</v>
      </c>
      <c r="B815" s="13">
        <v>2025</v>
      </c>
      <c r="C815" s="16">
        <v>45962</v>
      </c>
      <c r="D815" s="13" t="s">
        <v>73</v>
      </c>
      <c r="E815" s="13" t="s">
        <v>153</v>
      </c>
      <c r="F815" s="19">
        <v>-102.28781607997558</v>
      </c>
    </row>
    <row r="816" spans="1:6">
      <c r="A816" s="13" t="s">
        <v>214</v>
      </c>
      <c r="B816" s="13">
        <v>2025</v>
      </c>
      <c r="C816" s="16">
        <v>45962</v>
      </c>
      <c r="D816" s="13" t="s">
        <v>73</v>
      </c>
      <c r="E816" s="13" t="s">
        <v>155</v>
      </c>
      <c r="F816" s="19">
        <v>56.826564488875327</v>
      </c>
    </row>
    <row r="817" spans="1:6">
      <c r="A817" s="13" t="s">
        <v>214</v>
      </c>
      <c r="B817" s="13">
        <v>2025</v>
      </c>
      <c r="C817" s="16">
        <v>45962</v>
      </c>
      <c r="D817" s="13" t="s">
        <v>73</v>
      </c>
      <c r="E817" s="13" t="s">
        <v>157</v>
      </c>
      <c r="F817" s="19">
        <v>-30.307501060733507</v>
      </c>
    </row>
    <row r="818" spans="1:6">
      <c r="A818" s="13" t="s">
        <v>214</v>
      </c>
      <c r="B818" s="13">
        <v>2025</v>
      </c>
      <c r="C818" s="16">
        <v>45962</v>
      </c>
      <c r="D818" s="13" t="s">
        <v>73</v>
      </c>
      <c r="E818" s="13" t="s">
        <v>159</v>
      </c>
      <c r="F818" s="19">
        <v>0</v>
      </c>
    </row>
    <row r="819" spans="1:6">
      <c r="A819" s="13" t="s">
        <v>214</v>
      </c>
      <c r="B819" s="13">
        <v>2025</v>
      </c>
      <c r="C819" s="16">
        <v>45962</v>
      </c>
      <c r="D819" s="13" t="s">
        <v>73</v>
      </c>
      <c r="E819" s="13" t="s">
        <v>161</v>
      </c>
      <c r="F819" s="19">
        <v>-6.0615002121467016</v>
      </c>
    </row>
    <row r="820" spans="1:6">
      <c r="A820" s="13" t="s">
        <v>214</v>
      </c>
      <c r="B820" s="13">
        <v>2025</v>
      </c>
      <c r="C820" s="16">
        <v>45962</v>
      </c>
      <c r="D820" s="13" t="s">
        <v>73</v>
      </c>
      <c r="E820" s="13" t="s">
        <v>163</v>
      </c>
      <c r="F820" s="19">
        <v>-30.623204196782904</v>
      </c>
    </row>
    <row r="821" spans="1:6">
      <c r="A821" s="13" t="s">
        <v>214</v>
      </c>
      <c r="B821" s="13">
        <v>2025</v>
      </c>
      <c r="C821" s="16">
        <v>45962</v>
      </c>
      <c r="D821" s="13" t="s">
        <v>75</v>
      </c>
      <c r="E821" s="13" t="s">
        <v>144</v>
      </c>
      <c r="F821" s="19">
        <v>611.03832783736914</v>
      </c>
    </row>
    <row r="822" spans="1:6">
      <c r="A822" s="13" t="s">
        <v>214</v>
      </c>
      <c r="B822" s="13">
        <v>2025</v>
      </c>
      <c r="C822" s="16">
        <v>45962</v>
      </c>
      <c r="D822" s="13" t="s">
        <v>75</v>
      </c>
      <c r="E822" s="13" t="s">
        <v>58</v>
      </c>
      <c r="F822" s="19">
        <v>-486.37632498641523</v>
      </c>
    </row>
    <row r="823" spans="1:6">
      <c r="A823" s="13" t="s">
        <v>214</v>
      </c>
      <c r="B823" s="13">
        <v>2025</v>
      </c>
      <c r="C823" s="16">
        <v>45962</v>
      </c>
      <c r="D823" s="13" t="s">
        <v>75</v>
      </c>
      <c r="E823" s="13" t="s">
        <v>151</v>
      </c>
      <c r="F823" s="19">
        <v>-86.767442552906402</v>
      </c>
    </row>
    <row r="824" spans="1:6">
      <c r="A824" s="13" t="s">
        <v>214</v>
      </c>
      <c r="B824" s="13">
        <v>2025</v>
      </c>
      <c r="C824" s="16">
        <v>45962</v>
      </c>
      <c r="D824" s="13" t="s">
        <v>75</v>
      </c>
      <c r="E824" s="13" t="s">
        <v>153</v>
      </c>
      <c r="F824" s="19">
        <v>-16.498034851608967</v>
      </c>
    </row>
    <row r="825" spans="1:6">
      <c r="A825" s="13" t="s">
        <v>214</v>
      </c>
      <c r="B825" s="13">
        <v>2025</v>
      </c>
      <c r="C825" s="16">
        <v>45962</v>
      </c>
      <c r="D825" s="13" t="s">
        <v>75</v>
      </c>
      <c r="E825" s="13" t="s">
        <v>155</v>
      </c>
      <c r="F825" s="19">
        <v>9.1655749175605372</v>
      </c>
    </row>
    <row r="826" spans="1:6">
      <c r="A826" s="13" t="s">
        <v>214</v>
      </c>
      <c r="B826" s="13">
        <v>2025</v>
      </c>
      <c r="C826" s="16">
        <v>45962</v>
      </c>
      <c r="D826" s="13" t="s">
        <v>75</v>
      </c>
      <c r="E826" s="13" t="s">
        <v>157</v>
      </c>
      <c r="F826" s="19">
        <v>-4.8883066226989529</v>
      </c>
    </row>
    <row r="827" spans="1:6">
      <c r="A827" s="13" t="s">
        <v>214</v>
      </c>
      <c r="B827" s="13">
        <v>2025</v>
      </c>
      <c r="C827" s="16">
        <v>45962</v>
      </c>
      <c r="D827" s="13" t="s">
        <v>75</v>
      </c>
      <c r="E827" s="13" t="s">
        <v>159</v>
      </c>
      <c r="F827" s="19">
        <v>0</v>
      </c>
    </row>
    <row r="828" spans="1:6">
      <c r="A828" s="13" t="s">
        <v>214</v>
      </c>
      <c r="B828" s="13">
        <v>2025</v>
      </c>
      <c r="C828" s="16">
        <v>45962</v>
      </c>
      <c r="D828" s="13" t="s">
        <v>75</v>
      </c>
      <c r="E828" s="13" t="s">
        <v>161</v>
      </c>
      <c r="F828" s="19">
        <v>-0.9776613245397906</v>
      </c>
    </row>
    <row r="829" spans="1:6">
      <c r="A829" s="13" t="s">
        <v>214</v>
      </c>
      <c r="B829" s="13">
        <v>2025</v>
      </c>
      <c r="C829" s="16">
        <v>45962</v>
      </c>
      <c r="D829" s="13" t="s">
        <v>75</v>
      </c>
      <c r="E829" s="13" t="s">
        <v>163</v>
      </c>
      <c r="F829" s="19">
        <v>-4.9392264833520816</v>
      </c>
    </row>
    <row r="830" spans="1:6">
      <c r="A830" s="13" t="s">
        <v>214</v>
      </c>
      <c r="B830" s="13">
        <v>2025</v>
      </c>
      <c r="C830" s="16">
        <v>45992</v>
      </c>
      <c r="D830" s="13" t="s">
        <v>67</v>
      </c>
      <c r="E830" s="13" t="s">
        <v>144</v>
      </c>
      <c r="F830" s="19">
        <v>2958.2852591539436</v>
      </c>
    </row>
    <row r="831" spans="1:6">
      <c r="A831" s="13" t="s">
        <v>214</v>
      </c>
      <c r="B831" s="13">
        <v>2025</v>
      </c>
      <c r="C831" s="16">
        <v>45992</v>
      </c>
      <c r="D831" s="13" t="s">
        <v>67</v>
      </c>
      <c r="E831" s="13" t="s">
        <v>58</v>
      </c>
      <c r="F831" s="19">
        <v>-2354.7457615322201</v>
      </c>
    </row>
    <row r="832" spans="1:6">
      <c r="A832" s="13" t="s">
        <v>214</v>
      </c>
      <c r="B832" s="13">
        <v>2025</v>
      </c>
      <c r="C832" s="16">
        <v>45992</v>
      </c>
      <c r="D832" s="13" t="s">
        <v>67</v>
      </c>
      <c r="E832" s="13" t="s">
        <v>151</v>
      </c>
      <c r="F832" s="19">
        <v>-420.07650679985994</v>
      </c>
    </row>
    <row r="833" spans="1:6">
      <c r="A833" s="13" t="s">
        <v>214</v>
      </c>
      <c r="B833" s="13">
        <v>2025</v>
      </c>
      <c r="C833" s="16">
        <v>45992</v>
      </c>
      <c r="D833" s="13" t="s">
        <v>67</v>
      </c>
      <c r="E833" s="13" t="s">
        <v>153</v>
      </c>
      <c r="F833" s="19">
        <v>-79.873701997156473</v>
      </c>
    </row>
    <row r="834" spans="1:6">
      <c r="A834" s="13" t="s">
        <v>214</v>
      </c>
      <c r="B834" s="13">
        <v>2025</v>
      </c>
      <c r="C834" s="16">
        <v>45992</v>
      </c>
      <c r="D834" s="13" t="s">
        <v>67</v>
      </c>
      <c r="E834" s="13" t="s">
        <v>155</v>
      </c>
      <c r="F834" s="19">
        <v>44.374278887309153</v>
      </c>
    </row>
    <row r="835" spans="1:6">
      <c r="A835" s="13" t="s">
        <v>214</v>
      </c>
      <c r="B835" s="13">
        <v>2025</v>
      </c>
      <c r="C835" s="16">
        <v>45992</v>
      </c>
      <c r="D835" s="13" t="s">
        <v>67</v>
      </c>
      <c r="E835" s="13" t="s">
        <v>157</v>
      </c>
      <c r="F835" s="19">
        <v>-23.66628207323155</v>
      </c>
    </row>
    <row r="836" spans="1:6">
      <c r="A836" s="13" t="s">
        <v>214</v>
      </c>
      <c r="B836" s="13">
        <v>2025</v>
      </c>
      <c r="C836" s="16">
        <v>45992</v>
      </c>
      <c r="D836" s="13" t="s">
        <v>67</v>
      </c>
      <c r="E836" s="13" t="s">
        <v>159</v>
      </c>
      <c r="F836" s="19">
        <v>0</v>
      </c>
    </row>
    <row r="837" spans="1:6">
      <c r="A837" s="13" t="s">
        <v>214</v>
      </c>
      <c r="B837" s="13">
        <v>2025</v>
      </c>
      <c r="C837" s="16">
        <v>45992</v>
      </c>
      <c r="D837" s="13" t="s">
        <v>67</v>
      </c>
      <c r="E837" s="13" t="s">
        <v>161</v>
      </c>
      <c r="F837" s="19">
        <v>-4.7332564146463101</v>
      </c>
    </row>
    <row r="838" spans="1:6">
      <c r="A838" s="13" t="s">
        <v>214</v>
      </c>
      <c r="B838" s="13">
        <v>2025</v>
      </c>
      <c r="C838" s="16">
        <v>45992</v>
      </c>
      <c r="D838" s="13" t="s">
        <v>67</v>
      </c>
      <c r="E838" s="13" t="s">
        <v>163</v>
      </c>
      <c r="F838" s="19">
        <v>-23.912805844827783</v>
      </c>
    </row>
    <row r="839" spans="1:6">
      <c r="A839" s="13" t="s">
        <v>214</v>
      </c>
      <c r="B839" s="13">
        <v>2025</v>
      </c>
      <c r="C839" s="16">
        <v>45992</v>
      </c>
      <c r="D839" s="13" t="s">
        <v>72</v>
      </c>
      <c r="E839" s="13" t="s">
        <v>144</v>
      </c>
      <c r="F839" s="19">
        <v>5647.6354947484378</v>
      </c>
    </row>
    <row r="840" spans="1:6">
      <c r="A840" s="13" t="s">
        <v>214</v>
      </c>
      <c r="B840" s="13">
        <v>2025</v>
      </c>
      <c r="C840" s="16">
        <v>45992</v>
      </c>
      <c r="D840" s="13" t="s">
        <v>72</v>
      </c>
      <c r="E840" s="13" t="s">
        <v>58</v>
      </c>
      <c r="F840" s="19">
        <v>-4495.4237265615111</v>
      </c>
    </row>
    <row r="841" spans="1:6">
      <c r="A841" s="13" t="s">
        <v>214</v>
      </c>
      <c r="B841" s="13">
        <v>2025</v>
      </c>
      <c r="C841" s="16">
        <v>45992</v>
      </c>
      <c r="D841" s="13" t="s">
        <v>72</v>
      </c>
      <c r="E841" s="13" t="s">
        <v>151</v>
      </c>
      <c r="F841" s="19">
        <v>-801.96424025427814</v>
      </c>
    </row>
    <row r="842" spans="1:6">
      <c r="A842" s="13" t="s">
        <v>214</v>
      </c>
      <c r="B842" s="13">
        <v>2025</v>
      </c>
      <c r="C842" s="16">
        <v>45992</v>
      </c>
      <c r="D842" s="13" t="s">
        <v>72</v>
      </c>
      <c r="E842" s="13" t="s">
        <v>153</v>
      </c>
      <c r="F842" s="19">
        <v>-152.48615835820783</v>
      </c>
    </row>
    <row r="843" spans="1:6">
      <c r="A843" s="13" t="s">
        <v>214</v>
      </c>
      <c r="B843" s="13">
        <v>2025</v>
      </c>
      <c r="C843" s="16">
        <v>45992</v>
      </c>
      <c r="D843" s="13" t="s">
        <v>72</v>
      </c>
      <c r="E843" s="13" t="s">
        <v>155</v>
      </c>
      <c r="F843" s="19">
        <v>84.714532421226579</v>
      </c>
    </row>
    <row r="844" spans="1:6">
      <c r="A844" s="13" t="s">
        <v>214</v>
      </c>
      <c r="B844" s="13">
        <v>2025</v>
      </c>
      <c r="C844" s="16">
        <v>45992</v>
      </c>
      <c r="D844" s="13" t="s">
        <v>72</v>
      </c>
      <c r="E844" s="13" t="s">
        <v>157</v>
      </c>
      <c r="F844" s="19">
        <v>-45.181083957987504</v>
      </c>
    </row>
    <row r="845" spans="1:6">
      <c r="A845" s="13" t="s">
        <v>214</v>
      </c>
      <c r="B845" s="13">
        <v>2025</v>
      </c>
      <c r="C845" s="16">
        <v>45992</v>
      </c>
      <c r="D845" s="13" t="s">
        <v>72</v>
      </c>
      <c r="E845" s="13" t="s">
        <v>159</v>
      </c>
      <c r="F845" s="19">
        <v>0</v>
      </c>
    </row>
    <row r="846" spans="1:6">
      <c r="A846" s="13" t="s">
        <v>214</v>
      </c>
      <c r="B846" s="13">
        <v>2025</v>
      </c>
      <c r="C846" s="16">
        <v>45992</v>
      </c>
      <c r="D846" s="13" t="s">
        <v>72</v>
      </c>
      <c r="E846" s="13" t="s">
        <v>161</v>
      </c>
      <c r="F846" s="19">
        <v>-9.0362167915975018</v>
      </c>
    </row>
    <row r="847" spans="1:6">
      <c r="A847" s="13" t="s">
        <v>214</v>
      </c>
      <c r="B847" s="13">
        <v>2025</v>
      </c>
      <c r="C847" s="16">
        <v>45992</v>
      </c>
      <c r="D847" s="13" t="s">
        <v>72</v>
      </c>
      <c r="E847" s="13" t="s">
        <v>163</v>
      </c>
      <c r="F847" s="19">
        <v>-45.65172024921668</v>
      </c>
    </row>
    <row r="848" spans="1:6">
      <c r="A848" s="13" t="s">
        <v>214</v>
      </c>
      <c r="B848" s="13">
        <v>2025</v>
      </c>
      <c r="C848" s="16">
        <v>45992</v>
      </c>
      <c r="D848" s="13" t="s">
        <v>73</v>
      </c>
      <c r="E848" s="13" t="s">
        <v>144</v>
      </c>
      <c r="F848" s="19">
        <v>4168.4928651714663</v>
      </c>
    </row>
    <row r="849" spans="1:6">
      <c r="A849" s="13" t="s">
        <v>214</v>
      </c>
      <c r="B849" s="13">
        <v>2025</v>
      </c>
      <c r="C849" s="16">
        <v>45992</v>
      </c>
      <c r="D849" s="13" t="s">
        <v>73</v>
      </c>
      <c r="E849" s="13" t="s">
        <v>58</v>
      </c>
      <c r="F849" s="19">
        <v>-3318.0508457954006</v>
      </c>
    </row>
    <row r="850" spans="1:6">
      <c r="A850" s="13" t="s">
        <v>214</v>
      </c>
      <c r="B850" s="13">
        <v>2025</v>
      </c>
      <c r="C850" s="16">
        <v>45992</v>
      </c>
      <c r="D850" s="13" t="s">
        <v>73</v>
      </c>
      <c r="E850" s="13" t="s">
        <v>151</v>
      </c>
      <c r="F850" s="19">
        <v>-591.92598685434814</v>
      </c>
    </row>
    <row r="851" spans="1:6">
      <c r="A851" s="13" t="s">
        <v>214</v>
      </c>
      <c r="B851" s="13">
        <v>2025</v>
      </c>
      <c r="C851" s="16">
        <v>45992</v>
      </c>
      <c r="D851" s="13" t="s">
        <v>73</v>
      </c>
      <c r="E851" s="13" t="s">
        <v>153</v>
      </c>
      <c r="F851" s="19">
        <v>-112.54930735962958</v>
      </c>
    </row>
    <row r="852" spans="1:6">
      <c r="A852" s="13" t="s">
        <v>214</v>
      </c>
      <c r="B852" s="13">
        <v>2025</v>
      </c>
      <c r="C852" s="16">
        <v>45992</v>
      </c>
      <c r="D852" s="13" t="s">
        <v>73</v>
      </c>
      <c r="E852" s="13" t="s">
        <v>155</v>
      </c>
      <c r="F852" s="19">
        <v>62.527392977571992</v>
      </c>
    </row>
    <row r="853" spans="1:6">
      <c r="A853" s="13" t="s">
        <v>214</v>
      </c>
      <c r="B853" s="13">
        <v>2025</v>
      </c>
      <c r="C853" s="16">
        <v>45992</v>
      </c>
      <c r="D853" s="13" t="s">
        <v>73</v>
      </c>
      <c r="E853" s="13" t="s">
        <v>157</v>
      </c>
      <c r="F853" s="19">
        <v>-33.347942921371725</v>
      </c>
    </row>
    <row r="854" spans="1:6">
      <c r="A854" s="13" t="s">
        <v>214</v>
      </c>
      <c r="B854" s="13">
        <v>2025</v>
      </c>
      <c r="C854" s="16">
        <v>45992</v>
      </c>
      <c r="D854" s="13" t="s">
        <v>73</v>
      </c>
      <c r="E854" s="13" t="s">
        <v>159</v>
      </c>
      <c r="F854" s="19">
        <v>0</v>
      </c>
    </row>
    <row r="855" spans="1:6">
      <c r="A855" s="13" t="s">
        <v>214</v>
      </c>
      <c r="B855" s="13">
        <v>2025</v>
      </c>
      <c r="C855" s="16">
        <v>45992</v>
      </c>
      <c r="D855" s="13" t="s">
        <v>73</v>
      </c>
      <c r="E855" s="13" t="s">
        <v>161</v>
      </c>
      <c r="F855" s="19">
        <v>-6.6695885842743454</v>
      </c>
    </row>
    <row r="856" spans="1:6">
      <c r="A856" s="13" t="s">
        <v>214</v>
      </c>
      <c r="B856" s="13">
        <v>2025</v>
      </c>
      <c r="C856" s="16">
        <v>45992</v>
      </c>
      <c r="D856" s="13" t="s">
        <v>73</v>
      </c>
      <c r="E856" s="13" t="s">
        <v>163</v>
      </c>
      <c r="F856" s="19">
        <v>-33.695317326802787</v>
      </c>
    </row>
    <row r="857" spans="1:6">
      <c r="A857" s="13" t="s">
        <v>214</v>
      </c>
      <c r="B857" s="13">
        <v>2025</v>
      </c>
      <c r="C857" s="16">
        <v>45992</v>
      </c>
      <c r="D857" s="13" t="s">
        <v>75</v>
      </c>
      <c r="E857" s="13" t="s">
        <v>144</v>
      </c>
      <c r="F857" s="19">
        <v>672.33755889862368</v>
      </c>
    </row>
    <row r="858" spans="1:6">
      <c r="A858" s="13" t="s">
        <v>214</v>
      </c>
      <c r="B858" s="13">
        <v>2025</v>
      </c>
      <c r="C858" s="16">
        <v>45992</v>
      </c>
      <c r="D858" s="13" t="s">
        <v>75</v>
      </c>
      <c r="E858" s="13" t="s">
        <v>58</v>
      </c>
      <c r="F858" s="19">
        <v>-535.16949125732276</v>
      </c>
    </row>
    <row r="859" spans="1:6">
      <c r="A859" s="13" t="s">
        <v>214</v>
      </c>
      <c r="B859" s="13">
        <v>2025</v>
      </c>
      <c r="C859" s="16">
        <v>45992</v>
      </c>
      <c r="D859" s="13" t="s">
        <v>75</v>
      </c>
      <c r="E859" s="13" t="s">
        <v>151</v>
      </c>
      <c r="F859" s="19">
        <v>-95.471933363604535</v>
      </c>
    </row>
    <row r="860" spans="1:6">
      <c r="A860" s="13" t="s">
        <v>214</v>
      </c>
      <c r="B860" s="13">
        <v>2025</v>
      </c>
      <c r="C860" s="16">
        <v>45992</v>
      </c>
      <c r="D860" s="13" t="s">
        <v>75</v>
      </c>
      <c r="E860" s="13" t="s">
        <v>153</v>
      </c>
      <c r="F860" s="19">
        <v>-18.153114090262839</v>
      </c>
    </row>
    <row r="861" spans="1:6">
      <c r="A861" s="13" t="s">
        <v>214</v>
      </c>
      <c r="B861" s="13">
        <v>2025</v>
      </c>
      <c r="C861" s="16">
        <v>45992</v>
      </c>
      <c r="D861" s="13" t="s">
        <v>75</v>
      </c>
      <c r="E861" s="13" t="s">
        <v>155</v>
      </c>
      <c r="F861" s="19">
        <v>10.085063383479355</v>
      </c>
    </row>
    <row r="862" spans="1:6">
      <c r="A862" s="13" t="s">
        <v>214</v>
      </c>
      <c r="B862" s="13">
        <v>2025</v>
      </c>
      <c r="C862" s="16">
        <v>45992</v>
      </c>
      <c r="D862" s="13" t="s">
        <v>75</v>
      </c>
      <c r="E862" s="13" t="s">
        <v>157</v>
      </c>
      <c r="F862" s="19">
        <v>-5.3787004711889894</v>
      </c>
    </row>
    <row r="863" spans="1:6">
      <c r="A863" s="13" t="s">
        <v>214</v>
      </c>
      <c r="B863" s="13">
        <v>2025</v>
      </c>
      <c r="C863" s="16">
        <v>45992</v>
      </c>
      <c r="D863" s="13" t="s">
        <v>75</v>
      </c>
      <c r="E863" s="13" t="s">
        <v>159</v>
      </c>
      <c r="F863" s="19">
        <v>0</v>
      </c>
    </row>
    <row r="864" spans="1:6">
      <c r="A864" s="13" t="s">
        <v>214</v>
      </c>
      <c r="B864" s="13">
        <v>2025</v>
      </c>
      <c r="C864" s="16">
        <v>45992</v>
      </c>
      <c r="D864" s="13" t="s">
        <v>75</v>
      </c>
      <c r="E864" s="13" t="s">
        <v>161</v>
      </c>
      <c r="F864" s="19">
        <v>-1.0757400942377977</v>
      </c>
    </row>
    <row r="865" spans="1:6">
      <c r="A865" s="14" t="s">
        <v>214</v>
      </c>
      <c r="B865" s="14">
        <v>2025</v>
      </c>
      <c r="C865" s="17">
        <v>45992</v>
      </c>
      <c r="D865" s="14" t="s">
        <v>75</v>
      </c>
      <c r="E865" s="14" t="s">
        <v>163</v>
      </c>
      <c r="F865" s="20">
        <v>-5.4347286010972242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"/>
  <sheetViews>
    <sheetView showGridLines="0" workbookViewId="0"/>
  </sheetViews>
  <sheetFormatPr defaultRowHeight="14.25"/>
  <cols>
    <col min="1" max="1" width="28" customWidth="1"/>
    <col min="2" max="2" width="32" customWidth="1"/>
    <col min="3" max="3" width="120" customWidth="1"/>
  </cols>
  <sheetData>
    <row r="1" spans="1:3" ht="30" customHeight="1">
      <c r="A1" s="115" t="s">
        <v>468</v>
      </c>
      <c r="B1" s="115" t="s">
        <v>468</v>
      </c>
      <c r="C1" s="115" t="s">
        <v>468</v>
      </c>
    </row>
    <row r="2" spans="1:3" ht="33.950000000000003" customHeight="1">
      <c r="A2" s="116" t="s">
        <v>469</v>
      </c>
      <c r="B2" s="116" t="s">
        <v>469</v>
      </c>
      <c r="C2" s="116" t="s">
        <v>469</v>
      </c>
    </row>
    <row r="5" spans="1:3" ht="30" customHeight="1">
      <c r="A5" s="11" t="s">
        <v>123</v>
      </c>
      <c r="B5" s="11" t="s">
        <v>3</v>
      </c>
      <c r="C5" s="11" t="s">
        <v>470</v>
      </c>
    </row>
    <row r="6" spans="1:3" ht="95.1" customHeight="1">
      <c r="A6" s="47" t="s">
        <v>126</v>
      </c>
      <c r="B6" s="47" t="s">
        <v>471</v>
      </c>
      <c r="C6" s="47" t="s">
        <v>472</v>
      </c>
    </row>
    <row r="7" spans="1:3" ht="95.1" customHeight="1">
      <c r="A7" s="48" t="s">
        <v>129</v>
      </c>
      <c r="B7" s="48" t="s">
        <v>473</v>
      </c>
      <c r="C7" s="48" t="s">
        <v>474</v>
      </c>
    </row>
    <row r="8" spans="1:3" ht="95.1" customHeight="1">
      <c r="A8" s="48" t="s">
        <v>131</v>
      </c>
      <c r="B8" s="48" t="s">
        <v>475</v>
      </c>
      <c r="C8" s="48" t="s">
        <v>476</v>
      </c>
    </row>
    <row r="9" spans="1:3" ht="95.1" customHeight="1">
      <c r="A9" s="48" t="s">
        <v>133</v>
      </c>
      <c r="B9" s="48" t="s">
        <v>134</v>
      </c>
      <c r="C9" s="48" t="s">
        <v>477</v>
      </c>
    </row>
    <row r="10" spans="1:3" ht="95.1" customHeight="1">
      <c r="A10" s="49" t="s">
        <v>135</v>
      </c>
      <c r="B10" s="49" t="s">
        <v>136</v>
      </c>
      <c r="C10" s="49" t="s">
        <v>478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7"/>
  <sheetViews>
    <sheetView showGridLines="0" workbookViewId="0"/>
  </sheetViews>
  <sheetFormatPr defaultRowHeight="14.25"/>
  <cols>
    <col min="1" max="1" width="24" customWidth="1"/>
    <col min="2" max="2" width="35" customWidth="1"/>
    <col min="3" max="3" width="43" customWidth="1"/>
    <col min="4" max="4" width="36" customWidth="1"/>
    <col min="5" max="5" width="28" customWidth="1"/>
    <col min="6" max="6" width="38" customWidth="1"/>
    <col min="7" max="7" width="12" customWidth="1"/>
  </cols>
  <sheetData>
    <row r="1" spans="1:7" ht="30" customHeight="1">
      <c r="A1" s="115" t="s">
        <v>479</v>
      </c>
      <c r="B1" s="115" t="s">
        <v>479</v>
      </c>
      <c r="C1" s="115" t="s">
        <v>479</v>
      </c>
      <c r="D1" s="115" t="s">
        <v>479</v>
      </c>
      <c r="E1" s="115" t="s">
        <v>479</v>
      </c>
      <c r="F1" s="115" t="s">
        <v>479</v>
      </c>
      <c r="G1" s="115" t="s">
        <v>479</v>
      </c>
    </row>
    <row r="2" spans="1:7" ht="33.950000000000003" customHeight="1">
      <c r="A2" s="116" t="s">
        <v>480</v>
      </c>
      <c r="B2" s="116" t="s">
        <v>480</v>
      </c>
      <c r="C2" s="116" t="s">
        <v>480</v>
      </c>
      <c r="D2" s="116" t="s">
        <v>480</v>
      </c>
      <c r="E2" s="116" t="s">
        <v>480</v>
      </c>
      <c r="F2" s="116" t="s">
        <v>480</v>
      </c>
      <c r="G2" s="116" t="s">
        <v>480</v>
      </c>
    </row>
    <row r="3" spans="1:7">
      <c r="A3" s="80"/>
      <c r="B3" s="80"/>
      <c r="C3" s="80"/>
      <c r="D3" s="80"/>
      <c r="E3" s="80"/>
      <c r="F3" s="80"/>
      <c r="G3" s="80"/>
    </row>
    <row r="4" spans="1:7" ht="21.95" customHeight="1">
      <c r="A4" s="105" t="s">
        <v>481</v>
      </c>
      <c r="B4" s="105" t="s">
        <v>481</v>
      </c>
      <c r="C4" s="105" t="s">
        <v>481</v>
      </c>
      <c r="D4" s="105" t="s">
        <v>481</v>
      </c>
      <c r="E4" s="105" t="s">
        <v>481</v>
      </c>
      <c r="F4" s="105" t="s">
        <v>481</v>
      </c>
      <c r="G4" s="105" t="s">
        <v>481</v>
      </c>
    </row>
    <row r="5" spans="1:7" ht="30" customHeight="1">
      <c r="A5" s="11" t="s">
        <v>482</v>
      </c>
      <c r="B5" s="11" t="s">
        <v>483</v>
      </c>
      <c r="C5" s="11" t="s">
        <v>484</v>
      </c>
      <c r="D5" s="11" t="s">
        <v>485</v>
      </c>
      <c r="E5" s="11" t="s">
        <v>486</v>
      </c>
      <c r="F5" s="11" t="s">
        <v>487</v>
      </c>
      <c r="G5" s="11" t="s">
        <v>488</v>
      </c>
    </row>
    <row r="6" spans="1:7" ht="33.950000000000003" customHeight="1">
      <c r="A6" s="65" t="s">
        <v>489</v>
      </c>
      <c r="B6" s="65" t="s">
        <v>490</v>
      </c>
      <c r="C6" s="65" t="s">
        <v>491</v>
      </c>
      <c r="D6" s="65" t="s">
        <v>492</v>
      </c>
      <c r="E6" s="65" t="s">
        <v>493</v>
      </c>
      <c r="F6" s="65" t="s">
        <v>494</v>
      </c>
      <c r="G6" s="65" t="s">
        <v>495</v>
      </c>
    </row>
    <row r="7" spans="1:7" ht="33.950000000000003" customHeight="1">
      <c r="A7" s="65" t="s">
        <v>496</v>
      </c>
      <c r="B7" s="65" t="s">
        <v>497</v>
      </c>
      <c r="C7" s="65" t="s">
        <v>498</v>
      </c>
      <c r="D7" s="65" t="s">
        <v>499</v>
      </c>
      <c r="E7" s="65" t="s">
        <v>500</v>
      </c>
      <c r="F7" s="65" t="s">
        <v>501</v>
      </c>
      <c r="G7" s="65" t="s">
        <v>502</v>
      </c>
    </row>
    <row r="8" spans="1:7">
      <c r="A8" s="80"/>
      <c r="B8" s="80"/>
      <c r="C8" s="80"/>
      <c r="D8" s="80"/>
      <c r="E8" s="80"/>
      <c r="F8" s="80"/>
      <c r="G8" s="80"/>
    </row>
    <row r="9" spans="1:7" ht="21.95" customHeight="1">
      <c r="A9" s="105" t="s">
        <v>503</v>
      </c>
      <c r="B9" s="105" t="s">
        <v>503</v>
      </c>
      <c r="C9" s="105" t="s">
        <v>503</v>
      </c>
      <c r="D9" s="105" t="s">
        <v>503</v>
      </c>
      <c r="E9" s="105" t="s">
        <v>503</v>
      </c>
      <c r="F9" s="105" t="s">
        <v>503</v>
      </c>
      <c r="G9" s="105" t="s">
        <v>503</v>
      </c>
    </row>
    <row r="10" spans="1:7">
      <c r="A10" s="162" t="s">
        <v>504</v>
      </c>
      <c r="B10" s="163"/>
      <c r="C10" s="163"/>
      <c r="D10" s="163"/>
      <c r="E10" s="163"/>
      <c r="F10" s="163"/>
      <c r="G10" s="164"/>
    </row>
    <row r="11" spans="1:7">
      <c r="A11" s="165"/>
      <c r="B11" s="166"/>
      <c r="C11" s="166"/>
      <c r="D11" s="166"/>
      <c r="E11" s="166"/>
      <c r="F11" s="166"/>
      <c r="G11" s="167"/>
    </row>
    <row r="12" spans="1:7">
      <c r="A12" s="80"/>
      <c r="B12" s="80"/>
      <c r="C12" s="80"/>
      <c r="D12" s="80"/>
      <c r="E12" s="80"/>
      <c r="F12" s="80"/>
      <c r="G12" s="80"/>
    </row>
    <row r="13" spans="1:7" ht="21.95" customHeight="1">
      <c r="A13" s="105" t="s">
        <v>505</v>
      </c>
      <c r="B13" s="105" t="s">
        <v>505</v>
      </c>
      <c r="C13" s="105" t="s">
        <v>505</v>
      </c>
      <c r="D13" s="105" t="s">
        <v>505</v>
      </c>
      <c r="E13" s="105" t="s">
        <v>505</v>
      </c>
      <c r="F13" s="105" t="s">
        <v>505</v>
      </c>
      <c r="G13" s="105" t="s">
        <v>505</v>
      </c>
    </row>
    <row r="14" spans="1:7" ht="30" customHeight="1">
      <c r="A14" s="11" t="s">
        <v>506</v>
      </c>
      <c r="B14" s="11" t="s">
        <v>507</v>
      </c>
      <c r="C14" s="11" t="s">
        <v>508</v>
      </c>
      <c r="D14" s="11" t="s">
        <v>509</v>
      </c>
      <c r="E14" s="11" t="s">
        <v>510</v>
      </c>
      <c r="F14" s="11" t="s">
        <v>511</v>
      </c>
      <c r="G14" s="11" t="s">
        <v>512</v>
      </c>
    </row>
    <row r="15" spans="1:7" ht="45.95" customHeight="1">
      <c r="A15" s="47" t="s">
        <v>513</v>
      </c>
      <c r="B15" s="47" t="s">
        <v>514</v>
      </c>
      <c r="C15" s="47" t="s">
        <v>515</v>
      </c>
      <c r="D15" s="47" t="s">
        <v>516</v>
      </c>
      <c r="E15" s="47" t="s">
        <v>382</v>
      </c>
      <c r="F15" s="47" t="s">
        <v>517</v>
      </c>
      <c r="G15" s="47" t="s">
        <v>518</v>
      </c>
    </row>
    <row r="16" spans="1:7" ht="45.95" customHeight="1">
      <c r="A16" s="48" t="s">
        <v>519</v>
      </c>
      <c r="B16" s="48" t="s">
        <v>520</v>
      </c>
      <c r="C16" s="48" t="s">
        <v>521</v>
      </c>
      <c r="D16" s="48" t="s">
        <v>522</v>
      </c>
      <c r="E16" s="48" t="s">
        <v>372</v>
      </c>
      <c r="F16" s="48" t="s">
        <v>523</v>
      </c>
      <c r="G16" s="48" t="s">
        <v>524</v>
      </c>
    </row>
    <row r="17" spans="1:7" ht="45.95" customHeight="1">
      <c r="A17" s="48" t="s">
        <v>525</v>
      </c>
      <c r="B17" s="48" t="s">
        <v>526</v>
      </c>
      <c r="C17" s="48" t="s">
        <v>527</v>
      </c>
      <c r="D17" s="48" t="s">
        <v>528</v>
      </c>
      <c r="E17" s="48" t="s">
        <v>529</v>
      </c>
      <c r="F17" s="48" t="s">
        <v>530</v>
      </c>
      <c r="G17" s="48" t="s">
        <v>531</v>
      </c>
    </row>
    <row r="18" spans="1:7" ht="45.95" customHeight="1">
      <c r="A18" s="48" t="s">
        <v>532</v>
      </c>
      <c r="B18" s="48" t="s">
        <v>533</v>
      </c>
      <c r="C18" s="48" t="s">
        <v>534</v>
      </c>
      <c r="D18" s="48" t="s">
        <v>535</v>
      </c>
      <c r="E18" s="48" t="s">
        <v>536</v>
      </c>
      <c r="F18" s="48" t="s">
        <v>537</v>
      </c>
      <c r="G18" s="48" t="s">
        <v>538</v>
      </c>
    </row>
    <row r="19" spans="1:7" ht="45.95" customHeight="1">
      <c r="A19" s="48" t="s">
        <v>539</v>
      </c>
      <c r="B19" s="48" t="s">
        <v>540</v>
      </c>
      <c r="C19" s="48" t="s">
        <v>541</v>
      </c>
      <c r="D19" s="48" t="s">
        <v>542</v>
      </c>
      <c r="E19" s="48" t="s">
        <v>543</v>
      </c>
      <c r="F19" s="48" t="s">
        <v>544</v>
      </c>
      <c r="G19" s="48" t="s">
        <v>545</v>
      </c>
    </row>
    <row r="20" spans="1:7" ht="45.95" customHeight="1">
      <c r="A20" s="48" t="s">
        <v>546</v>
      </c>
      <c r="B20" s="48" t="s">
        <v>547</v>
      </c>
      <c r="C20" s="48" t="s">
        <v>548</v>
      </c>
      <c r="D20" s="48" t="s">
        <v>549</v>
      </c>
      <c r="E20" s="48" t="s">
        <v>550</v>
      </c>
      <c r="F20" s="48" t="s">
        <v>551</v>
      </c>
      <c r="G20" s="48" t="s">
        <v>552</v>
      </c>
    </row>
    <row r="21" spans="1:7" ht="45.95" customHeight="1">
      <c r="A21" s="48" t="s">
        <v>553</v>
      </c>
      <c r="B21" s="48" t="s">
        <v>554</v>
      </c>
      <c r="C21" s="48" t="s">
        <v>555</v>
      </c>
      <c r="D21" s="48" t="s">
        <v>556</v>
      </c>
      <c r="E21" s="48" t="s">
        <v>557</v>
      </c>
      <c r="F21" s="48" t="s">
        <v>558</v>
      </c>
      <c r="G21" s="48" t="s">
        <v>559</v>
      </c>
    </row>
    <row r="22" spans="1:7" ht="45.95" customHeight="1">
      <c r="A22" s="48" t="s">
        <v>560</v>
      </c>
      <c r="B22" s="48" t="s">
        <v>561</v>
      </c>
      <c r="C22" s="48" t="s">
        <v>562</v>
      </c>
      <c r="D22" s="48" t="s">
        <v>563</v>
      </c>
      <c r="E22" s="48" t="s">
        <v>382</v>
      </c>
      <c r="F22" s="48" t="s">
        <v>564</v>
      </c>
      <c r="G22" s="48" t="s">
        <v>565</v>
      </c>
    </row>
    <row r="23" spans="1:7" ht="45.95" customHeight="1">
      <c r="A23" s="48" t="s">
        <v>566</v>
      </c>
      <c r="B23" s="48" t="s">
        <v>567</v>
      </c>
      <c r="C23" s="48" t="s">
        <v>568</v>
      </c>
      <c r="D23" s="48" t="s">
        <v>569</v>
      </c>
      <c r="E23" s="48" t="s">
        <v>570</v>
      </c>
      <c r="F23" s="48" t="s">
        <v>571</v>
      </c>
      <c r="G23" s="48" t="s">
        <v>572</v>
      </c>
    </row>
    <row r="24" spans="1:7" ht="45.95" customHeight="1">
      <c r="A24" s="48" t="s">
        <v>573</v>
      </c>
      <c r="B24" s="48" t="s">
        <v>574</v>
      </c>
      <c r="C24" s="48" t="s">
        <v>575</v>
      </c>
      <c r="D24" s="48" t="s">
        <v>576</v>
      </c>
      <c r="E24" s="48" t="s">
        <v>577</v>
      </c>
      <c r="F24" s="48" t="s">
        <v>578</v>
      </c>
      <c r="G24" s="48" t="s">
        <v>579</v>
      </c>
    </row>
    <row r="25" spans="1:7" ht="45.95" customHeight="1">
      <c r="A25" s="48" t="s">
        <v>580</v>
      </c>
      <c r="B25" s="48" t="s">
        <v>581</v>
      </c>
      <c r="C25" s="48" t="s">
        <v>582</v>
      </c>
      <c r="D25" s="48" t="s">
        <v>583</v>
      </c>
      <c r="E25" s="48" t="s">
        <v>584</v>
      </c>
      <c r="F25" s="48" t="s">
        <v>585</v>
      </c>
      <c r="G25" s="48" t="s">
        <v>586</v>
      </c>
    </row>
    <row r="26" spans="1:7" ht="45.95" customHeight="1">
      <c r="A26" s="48" t="s">
        <v>587</v>
      </c>
      <c r="B26" s="48" t="s">
        <v>588</v>
      </c>
      <c r="C26" s="48" t="s">
        <v>589</v>
      </c>
      <c r="D26" s="48" t="s">
        <v>170</v>
      </c>
      <c r="E26" s="48" t="s">
        <v>536</v>
      </c>
      <c r="F26" s="48" t="s">
        <v>590</v>
      </c>
      <c r="G26" s="48" t="s">
        <v>591</v>
      </c>
    </row>
    <row r="27" spans="1:7" ht="45.95" customHeight="1">
      <c r="A27" s="48" t="s">
        <v>592</v>
      </c>
      <c r="B27" s="48" t="s">
        <v>593</v>
      </c>
      <c r="C27" s="48" t="s">
        <v>594</v>
      </c>
      <c r="D27" s="48" t="s">
        <v>171</v>
      </c>
      <c r="E27" s="48" t="s">
        <v>595</v>
      </c>
      <c r="F27" s="48" t="s">
        <v>596</v>
      </c>
      <c r="G27" s="48" t="s">
        <v>597</v>
      </c>
    </row>
    <row r="28" spans="1:7" ht="45.95" customHeight="1">
      <c r="A28" s="48" t="s">
        <v>598</v>
      </c>
      <c r="B28" s="48" t="s">
        <v>599</v>
      </c>
      <c r="C28" s="48" t="s">
        <v>600</v>
      </c>
      <c r="D28" s="48" t="s">
        <v>601</v>
      </c>
      <c r="E28" s="48" t="s">
        <v>602</v>
      </c>
      <c r="F28" s="48" t="s">
        <v>603</v>
      </c>
      <c r="G28" s="48" t="s">
        <v>604</v>
      </c>
    </row>
    <row r="29" spans="1:7" ht="45.95" customHeight="1">
      <c r="A29" s="48" t="s">
        <v>605</v>
      </c>
      <c r="B29" s="48" t="s">
        <v>606</v>
      </c>
      <c r="C29" s="48" t="s">
        <v>607</v>
      </c>
      <c r="D29" s="48" t="s">
        <v>608</v>
      </c>
      <c r="E29" s="48" t="s">
        <v>609</v>
      </c>
      <c r="F29" s="48" t="s">
        <v>610</v>
      </c>
      <c r="G29" s="48" t="s">
        <v>565</v>
      </c>
    </row>
    <row r="30" spans="1:7" ht="45.95" customHeight="1">
      <c r="A30" s="48" t="s">
        <v>611</v>
      </c>
      <c r="B30" s="48" t="s">
        <v>612</v>
      </c>
      <c r="C30" s="48" t="s">
        <v>613</v>
      </c>
      <c r="D30" s="48" t="s">
        <v>614</v>
      </c>
      <c r="E30" s="48" t="s">
        <v>372</v>
      </c>
      <c r="F30" s="48" t="s">
        <v>615</v>
      </c>
      <c r="G30" s="48" t="s">
        <v>616</v>
      </c>
    </row>
    <row r="31" spans="1:7" ht="45.95" customHeight="1">
      <c r="A31" s="48" t="s">
        <v>617</v>
      </c>
      <c r="B31" s="48" t="s">
        <v>618</v>
      </c>
      <c r="C31" s="48" t="s">
        <v>619</v>
      </c>
      <c r="D31" s="48" t="s">
        <v>259</v>
      </c>
      <c r="E31" s="48" t="s">
        <v>372</v>
      </c>
      <c r="F31" s="48" t="s">
        <v>620</v>
      </c>
      <c r="G31" s="48" t="s">
        <v>621</v>
      </c>
    </row>
    <row r="32" spans="1:7" ht="45.95" customHeight="1">
      <c r="A32" s="48" t="s">
        <v>622</v>
      </c>
      <c r="B32" s="48" t="s">
        <v>623</v>
      </c>
      <c r="C32" s="48" t="s">
        <v>624</v>
      </c>
      <c r="D32" s="48" t="s">
        <v>625</v>
      </c>
      <c r="E32" s="48" t="s">
        <v>377</v>
      </c>
      <c r="F32" s="48" t="s">
        <v>626</v>
      </c>
      <c r="G32" s="48" t="s">
        <v>627</v>
      </c>
    </row>
    <row r="33" spans="1:7" ht="45.95" customHeight="1">
      <c r="A33" s="48" t="s">
        <v>628</v>
      </c>
      <c r="B33" s="48" t="s">
        <v>629</v>
      </c>
      <c r="C33" s="48" t="s">
        <v>630</v>
      </c>
      <c r="D33" s="48" t="s">
        <v>631</v>
      </c>
      <c r="E33" s="48" t="s">
        <v>632</v>
      </c>
      <c r="F33" s="48" t="s">
        <v>633</v>
      </c>
      <c r="G33" s="48" t="s">
        <v>634</v>
      </c>
    </row>
    <row r="34" spans="1:7" ht="45.95" customHeight="1">
      <c r="A34" s="48" t="s">
        <v>635</v>
      </c>
      <c r="B34" s="48" t="s">
        <v>636</v>
      </c>
      <c r="C34" s="48" t="s">
        <v>637</v>
      </c>
      <c r="D34" s="48" t="s">
        <v>611</v>
      </c>
      <c r="E34" s="48" t="s">
        <v>372</v>
      </c>
      <c r="F34" s="48" t="s">
        <v>638</v>
      </c>
      <c r="G34" s="48" t="s">
        <v>639</v>
      </c>
    </row>
    <row r="35" spans="1:7" ht="45.95" customHeight="1">
      <c r="A35" s="48" t="s">
        <v>640</v>
      </c>
      <c r="B35" s="48" t="s">
        <v>641</v>
      </c>
      <c r="C35" s="48" t="s">
        <v>642</v>
      </c>
      <c r="D35" s="48" t="s">
        <v>643</v>
      </c>
      <c r="E35" s="48" t="s">
        <v>644</v>
      </c>
      <c r="F35" s="48" t="s">
        <v>645</v>
      </c>
      <c r="G35" s="48" t="s">
        <v>646</v>
      </c>
    </row>
    <row r="36" spans="1:7" ht="45.95" customHeight="1">
      <c r="A36" s="48" t="s">
        <v>647</v>
      </c>
      <c r="B36" s="48" t="s">
        <v>648</v>
      </c>
      <c r="C36" s="48" t="s">
        <v>649</v>
      </c>
      <c r="D36" s="48" t="s">
        <v>650</v>
      </c>
      <c r="E36" s="48" t="s">
        <v>382</v>
      </c>
      <c r="F36" s="48" t="s">
        <v>651</v>
      </c>
      <c r="G36" s="48" t="s">
        <v>652</v>
      </c>
    </row>
    <row r="37" spans="1:7" ht="45.95" customHeight="1">
      <c r="A37" s="49" t="s">
        <v>653</v>
      </c>
      <c r="B37" s="49" t="s">
        <v>654</v>
      </c>
      <c r="C37" s="49" t="s">
        <v>655</v>
      </c>
      <c r="D37" s="49" t="s">
        <v>656</v>
      </c>
      <c r="E37" s="49" t="s">
        <v>529</v>
      </c>
      <c r="F37" s="49" t="s">
        <v>657</v>
      </c>
      <c r="G37" s="49" t="s">
        <v>658</v>
      </c>
    </row>
  </sheetData>
  <mergeCells count="6">
    <mergeCell ref="A13:G13"/>
    <mergeCell ref="A1:G1"/>
    <mergeCell ref="A2:G2"/>
    <mergeCell ref="A4:G4"/>
    <mergeCell ref="A9:G9"/>
    <mergeCell ref="A10:G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2"/>
  <sheetViews>
    <sheetView showGridLines="0" workbookViewId="0"/>
  </sheetViews>
  <sheetFormatPr defaultRowHeight="14.25"/>
  <cols>
    <col min="1" max="1" width="8" customWidth="1"/>
    <col min="2" max="2" width="17" customWidth="1"/>
    <col min="3" max="3" width="24" customWidth="1"/>
    <col min="4" max="4" width="48" customWidth="1"/>
    <col min="5" max="5" width="23" customWidth="1"/>
    <col min="6" max="6" width="12" customWidth="1"/>
    <col min="7" max="7" width="17" customWidth="1"/>
    <col min="8" max="8" width="34" customWidth="1"/>
    <col min="9" max="10" width="18" customWidth="1"/>
    <col min="12" max="14" width="16" customWidth="1"/>
  </cols>
  <sheetData>
    <row r="1" spans="1:14" ht="30" customHeight="1">
      <c r="A1" s="115" t="s">
        <v>659</v>
      </c>
      <c r="B1" s="115" t="s">
        <v>659</v>
      </c>
      <c r="C1" s="115" t="s">
        <v>659</v>
      </c>
      <c r="D1" s="115" t="s">
        <v>659</v>
      </c>
      <c r="E1" s="115" t="s">
        <v>659</v>
      </c>
      <c r="F1" s="115" t="s">
        <v>659</v>
      </c>
      <c r="G1" s="115" t="s">
        <v>659</v>
      </c>
      <c r="H1" s="115" t="s">
        <v>659</v>
      </c>
      <c r="I1" s="115" t="s">
        <v>659</v>
      </c>
      <c r="J1" s="115" t="s">
        <v>659</v>
      </c>
      <c r="K1" s="115" t="s">
        <v>659</v>
      </c>
      <c r="L1" s="115" t="s">
        <v>659</v>
      </c>
      <c r="M1" s="115" t="s">
        <v>659</v>
      </c>
      <c r="N1" s="115" t="s">
        <v>659</v>
      </c>
    </row>
    <row r="2" spans="1:14" ht="33.950000000000003" customHeight="1">
      <c r="A2" s="116" t="s">
        <v>660</v>
      </c>
      <c r="B2" s="116" t="s">
        <v>660</v>
      </c>
      <c r="C2" s="116" t="s">
        <v>660</v>
      </c>
      <c r="D2" s="116" t="s">
        <v>660</v>
      </c>
      <c r="E2" s="116" t="s">
        <v>660</v>
      </c>
      <c r="F2" s="116" t="s">
        <v>660</v>
      </c>
      <c r="G2" s="116" t="s">
        <v>660</v>
      </c>
      <c r="H2" s="116" t="s">
        <v>660</v>
      </c>
      <c r="I2" s="116" t="s">
        <v>660</v>
      </c>
      <c r="J2" s="116" t="s">
        <v>660</v>
      </c>
      <c r="K2" s="116" t="s">
        <v>660</v>
      </c>
      <c r="L2" s="116" t="s">
        <v>660</v>
      </c>
      <c r="M2" s="116" t="s">
        <v>660</v>
      </c>
      <c r="N2" s="116" t="s">
        <v>660</v>
      </c>
    </row>
    <row r="3" spans="1:14">
      <c r="A3" s="94" t="s">
        <v>250</v>
      </c>
      <c r="B3" s="95" t="s">
        <v>251</v>
      </c>
      <c r="C3" s="94"/>
      <c r="D3" s="94" t="s">
        <v>661</v>
      </c>
      <c r="E3" s="96" t="str">
        <f>COUNTIF(G25:G43,"ĐÚNG")&amp;"/19 đúng"</f>
        <v>0/19 đúng</v>
      </c>
      <c r="F3" s="80"/>
      <c r="G3" s="80"/>
      <c r="H3" s="80"/>
      <c r="I3" s="80"/>
      <c r="J3" s="80"/>
      <c r="K3" s="80"/>
      <c r="L3" s="80"/>
      <c r="M3" s="80"/>
      <c r="N3" s="80"/>
    </row>
    <row r="4" spans="1:1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</row>
    <row r="5" spans="1:14" ht="21.95" customHeight="1">
      <c r="A5" s="105" t="s">
        <v>662</v>
      </c>
      <c r="B5" s="105" t="s">
        <v>662</v>
      </c>
      <c r="C5" s="105" t="s">
        <v>662</v>
      </c>
      <c r="D5" s="105" t="s">
        <v>662</v>
      </c>
      <c r="E5" s="80"/>
      <c r="F5" s="80"/>
      <c r="G5" s="80"/>
      <c r="H5" s="105" t="s">
        <v>663</v>
      </c>
      <c r="I5" s="105" t="s">
        <v>663</v>
      </c>
      <c r="J5" s="105" t="s">
        <v>663</v>
      </c>
      <c r="K5" s="80"/>
      <c r="L5" s="105" t="s">
        <v>664</v>
      </c>
      <c r="M5" s="105" t="s">
        <v>664</v>
      </c>
      <c r="N5" s="105" t="s">
        <v>664</v>
      </c>
    </row>
    <row r="6" spans="1:14" ht="30" customHeight="1">
      <c r="A6" s="11" t="s">
        <v>42</v>
      </c>
      <c r="B6" s="11" t="s">
        <v>246</v>
      </c>
      <c r="C6" s="11" t="s">
        <v>47</v>
      </c>
      <c r="D6" s="11" t="s">
        <v>665</v>
      </c>
      <c r="E6" s="80"/>
      <c r="F6" s="80"/>
      <c r="G6" s="80"/>
      <c r="H6" s="11" t="s">
        <v>47</v>
      </c>
      <c r="I6" s="11" t="s">
        <v>666</v>
      </c>
      <c r="J6" s="11" t="s">
        <v>667</v>
      </c>
      <c r="K6" s="80"/>
      <c r="L6" s="11" t="s">
        <v>250</v>
      </c>
      <c r="M6" s="11" t="s">
        <v>668</v>
      </c>
      <c r="N6" s="11" t="s">
        <v>171</v>
      </c>
    </row>
    <row r="7" spans="1:14">
      <c r="A7" s="15">
        <v>46023</v>
      </c>
      <c r="B7" s="12" t="s">
        <v>67</v>
      </c>
      <c r="C7" s="12" t="s">
        <v>55</v>
      </c>
      <c r="D7" s="18">
        <v>1200</v>
      </c>
      <c r="E7" s="80"/>
      <c r="F7" s="80"/>
      <c r="G7" s="80"/>
      <c r="H7" s="12" t="s">
        <v>55</v>
      </c>
      <c r="I7" s="12" t="s">
        <v>144</v>
      </c>
      <c r="J7" s="12" t="s">
        <v>145</v>
      </c>
      <c r="K7" s="80"/>
      <c r="L7" s="12" t="s">
        <v>669</v>
      </c>
      <c r="M7" s="22">
        <v>-0.05</v>
      </c>
      <c r="N7" s="22">
        <v>0.18</v>
      </c>
    </row>
    <row r="8" spans="1:14">
      <c r="A8" s="16">
        <v>46023</v>
      </c>
      <c r="B8" s="13" t="s">
        <v>67</v>
      </c>
      <c r="C8" s="13" t="s">
        <v>58</v>
      </c>
      <c r="D8" s="19">
        <v>-900</v>
      </c>
      <c r="E8" s="80"/>
      <c r="F8" s="80"/>
      <c r="G8" s="80"/>
      <c r="H8" s="13" t="s">
        <v>58</v>
      </c>
      <c r="I8" s="13" t="s">
        <v>58</v>
      </c>
      <c r="J8" s="13" t="s">
        <v>148</v>
      </c>
      <c r="K8" s="80"/>
      <c r="L8" s="13" t="s">
        <v>251</v>
      </c>
      <c r="M8" s="23">
        <v>0</v>
      </c>
      <c r="N8" s="23">
        <v>0.2</v>
      </c>
    </row>
    <row r="9" spans="1:14">
      <c r="A9" s="16">
        <v>46023</v>
      </c>
      <c r="B9" s="13" t="s">
        <v>67</v>
      </c>
      <c r="C9" s="13" t="s">
        <v>60</v>
      </c>
      <c r="D9" s="19">
        <v>-120</v>
      </c>
      <c r="E9" s="80"/>
      <c r="F9" s="80"/>
      <c r="G9" s="80"/>
      <c r="H9" s="13" t="s">
        <v>60</v>
      </c>
      <c r="I9" s="13" t="s">
        <v>151</v>
      </c>
      <c r="J9" s="13" t="s">
        <v>148</v>
      </c>
      <c r="K9" s="80"/>
      <c r="L9" s="14" t="s">
        <v>670</v>
      </c>
      <c r="M9" s="24">
        <v>0.05</v>
      </c>
      <c r="N9" s="24">
        <v>0.22</v>
      </c>
    </row>
    <row r="10" spans="1:14">
      <c r="A10" s="16">
        <v>46023</v>
      </c>
      <c r="B10" s="13" t="s">
        <v>72</v>
      </c>
      <c r="C10" s="13" t="s">
        <v>55</v>
      </c>
      <c r="D10" s="19">
        <v>1800</v>
      </c>
      <c r="E10" s="80"/>
      <c r="F10" s="80"/>
      <c r="G10" s="80"/>
      <c r="H10" s="14" t="s">
        <v>61</v>
      </c>
      <c r="I10" s="14" t="s">
        <v>153</v>
      </c>
      <c r="J10" s="14" t="s">
        <v>148</v>
      </c>
      <c r="K10" s="80"/>
      <c r="L10" s="80"/>
      <c r="M10" s="80"/>
      <c r="N10" s="80"/>
    </row>
    <row r="11" spans="1:14">
      <c r="A11" s="16">
        <v>46023</v>
      </c>
      <c r="B11" s="13" t="s">
        <v>72</v>
      </c>
      <c r="C11" s="13" t="s">
        <v>58</v>
      </c>
      <c r="D11" s="19">
        <v>-1350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</row>
    <row r="12" spans="1:14" ht="21.95" customHeight="1">
      <c r="A12" s="16">
        <v>46023</v>
      </c>
      <c r="B12" s="13" t="s">
        <v>73</v>
      </c>
      <c r="C12" s="13" t="s">
        <v>55</v>
      </c>
      <c r="D12" s="19">
        <v>1500</v>
      </c>
      <c r="E12" s="80"/>
      <c r="F12" s="80"/>
      <c r="G12" s="80"/>
      <c r="H12" s="105" t="s">
        <v>671</v>
      </c>
      <c r="I12" s="105" t="s">
        <v>671</v>
      </c>
      <c r="J12" s="105" t="s">
        <v>671</v>
      </c>
      <c r="K12" s="80"/>
      <c r="L12" s="80"/>
      <c r="M12" s="80"/>
      <c r="N12" s="80"/>
    </row>
    <row r="13" spans="1:14">
      <c r="A13" s="16">
        <v>46023</v>
      </c>
      <c r="B13" s="13" t="s">
        <v>73</v>
      </c>
      <c r="C13" s="13" t="s">
        <v>58</v>
      </c>
      <c r="D13" s="19">
        <v>-1100</v>
      </c>
      <c r="E13" s="80"/>
      <c r="F13" s="80"/>
      <c r="G13" s="80"/>
      <c r="H13" s="66" t="s">
        <v>672</v>
      </c>
      <c r="I13" s="67">
        <v>4300</v>
      </c>
      <c r="J13" s="80"/>
      <c r="K13" s="80"/>
      <c r="L13" s="80"/>
      <c r="M13" s="80"/>
      <c r="N13" s="80"/>
    </row>
    <row r="14" spans="1:14">
      <c r="A14" s="17">
        <v>46023</v>
      </c>
      <c r="B14" s="14" t="s">
        <v>73</v>
      </c>
      <c r="C14" s="14" t="s">
        <v>60</v>
      </c>
      <c r="D14" s="20">
        <v>-180</v>
      </c>
      <c r="E14" s="80"/>
      <c r="F14" s="80"/>
      <c r="G14" s="80"/>
      <c r="H14" s="66" t="s">
        <v>673</v>
      </c>
      <c r="I14" s="67">
        <v>4500</v>
      </c>
      <c r="J14" s="80"/>
      <c r="K14" s="80"/>
      <c r="L14" s="80"/>
      <c r="M14" s="80"/>
      <c r="N14" s="80"/>
    </row>
    <row r="15" spans="1:14">
      <c r="A15" s="80"/>
      <c r="B15" s="80"/>
      <c r="C15" s="80"/>
      <c r="D15" s="80"/>
      <c r="E15" s="80"/>
      <c r="F15" s="80"/>
      <c r="G15" s="80"/>
      <c r="H15" s="66" t="s">
        <v>144</v>
      </c>
      <c r="I15" s="67">
        <v>4500</v>
      </c>
      <c r="J15" s="80"/>
      <c r="K15" s="80"/>
      <c r="L15" s="80"/>
      <c r="M15" s="80"/>
      <c r="N15" s="80"/>
    </row>
    <row r="16" spans="1:14">
      <c r="A16" s="80"/>
      <c r="B16" s="80"/>
      <c r="C16" s="80"/>
      <c r="D16" s="80"/>
      <c r="E16" s="80"/>
      <c r="F16" s="80"/>
      <c r="G16" s="80"/>
      <c r="H16" s="66" t="s">
        <v>674</v>
      </c>
      <c r="I16" s="67">
        <v>-3350</v>
      </c>
      <c r="J16" s="80"/>
      <c r="K16" s="80"/>
      <c r="L16" s="80"/>
      <c r="M16" s="80"/>
      <c r="N16" s="80"/>
    </row>
    <row r="17" spans="1:14">
      <c r="A17" s="80"/>
      <c r="B17" s="80"/>
      <c r="C17" s="80"/>
      <c r="D17" s="80"/>
      <c r="E17" s="80"/>
      <c r="F17" s="80"/>
      <c r="G17" s="80"/>
      <c r="H17" s="66" t="s">
        <v>675</v>
      </c>
      <c r="I17" s="67">
        <v>-3200</v>
      </c>
      <c r="J17" s="80"/>
      <c r="K17" s="80"/>
      <c r="L17" s="80"/>
      <c r="M17" s="80"/>
      <c r="N17" s="80"/>
    </row>
    <row r="18" spans="1:14">
      <c r="A18" s="80"/>
      <c r="B18" s="80"/>
      <c r="C18" s="80"/>
      <c r="D18" s="80"/>
      <c r="E18" s="80"/>
      <c r="F18" s="80"/>
      <c r="G18" s="80"/>
      <c r="H18" s="66" t="s">
        <v>676</v>
      </c>
      <c r="I18" s="67">
        <v>400</v>
      </c>
      <c r="J18" s="80"/>
      <c r="K18" s="80"/>
      <c r="L18" s="80"/>
      <c r="M18" s="80"/>
      <c r="N18" s="80"/>
    </row>
    <row r="19" spans="1:14">
      <c r="A19" s="80"/>
      <c r="B19" s="80"/>
      <c r="C19" s="80"/>
      <c r="D19" s="80"/>
      <c r="E19" s="80"/>
      <c r="F19" s="80"/>
      <c r="G19" s="80"/>
      <c r="H19" s="66" t="s">
        <v>677</v>
      </c>
      <c r="I19" s="67">
        <v>900</v>
      </c>
      <c r="J19" s="80"/>
      <c r="K19" s="80"/>
      <c r="L19" s="80"/>
      <c r="M19" s="80"/>
      <c r="N19" s="80"/>
    </row>
    <row r="20" spans="1:14">
      <c r="A20" s="80"/>
      <c r="B20" s="80"/>
      <c r="C20" s="80"/>
      <c r="D20" s="80"/>
      <c r="E20" s="80"/>
      <c r="F20" s="80"/>
      <c r="G20" s="80"/>
      <c r="H20" s="66" t="s">
        <v>678</v>
      </c>
      <c r="I20" s="67">
        <v>2500</v>
      </c>
      <c r="J20" s="80"/>
      <c r="K20" s="80"/>
      <c r="L20" s="80"/>
      <c r="M20" s="80"/>
      <c r="N20" s="80"/>
    </row>
    <row r="21" spans="1:14">
      <c r="A21" s="80"/>
      <c r="B21" s="80"/>
      <c r="C21" s="80"/>
      <c r="D21" s="80"/>
      <c r="E21" s="80"/>
      <c r="F21" s="80"/>
      <c r="G21" s="80"/>
      <c r="H21" s="66" t="s">
        <v>679</v>
      </c>
      <c r="I21" s="67">
        <v>2200</v>
      </c>
      <c r="J21" s="80"/>
      <c r="K21" s="80"/>
      <c r="L21" s="80"/>
      <c r="M21" s="80"/>
      <c r="N21" s="80"/>
    </row>
    <row r="22" spans="1:14">
      <c r="A22" s="80"/>
      <c r="B22" s="80"/>
      <c r="C22" s="80"/>
      <c r="D22" s="80"/>
      <c r="E22" s="80"/>
      <c r="F22" s="80"/>
      <c r="G22" s="80"/>
      <c r="H22" s="66" t="s">
        <v>680</v>
      </c>
      <c r="I22" s="67">
        <v>350</v>
      </c>
      <c r="J22" s="80"/>
      <c r="K22" s="80"/>
      <c r="L22" s="80"/>
      <c r="M22" s="80"/>
      <c r="N22" s="80"/>
    </row>
    <row r="23" spans="1:14" ht="21.95" customHeight="1">
      <c r="A23" s="105" t="s">
        <v>681</v>
      </c>
      <c r="B23" s="105" t="s">
        <v>681</v>
      </c>
      <c r="C23" s="105" t="s">
        <v>681</v>
      </c>
      <c r="D23" s="105" t="s">
        <v>681</v>
      </c>
      <c r="E23" s="105" t="s">
        <v>681</v>
      </c>
      <c r="F23" s="105" t="s">
        <v>681</v>
      </c>
      <c r="G23" s="105" t="s">
        <v>681</v>
      </c>
      <c r="H23" s="66" t="s">
        <v>356</v>
      </c>
      <c r="I23" s="67">
        <v>0.1</v>
      </c>
      <c r="J23" s="80"/>
      <c r="K23" s="80"/>
      <c r="L23" s="80"/>
      <c r="M23" s="80"/>
      <c r="N23" s="80"/>
    </row>
    <row r="24" spans="1:14" ht="30" customHeight="1">
      <c r="A24" s="11" t="s">
        <v>682</v>
      </c>
      <c r="B24" s="11" t="s">
        <v>683</v>
      </c>
      <c r="C24" s="11" t="s">
        <v>684</v>
      </c>
      <c r="D24" s="11" t="s">
        <v>685</v>
      </c>
      <c r="E24" s="11" t="s">
        <v>686</v>
      </c>
      <c r="F24" s="11" t="s">
        <v>687</v>
      </c>
      <c r="G24" s="11" t="s">
        <v>688</v>
      </c>
      <c r="H24" s="11" t="s">
        <v>689</v>
      </c>
      <c r="I24" s="80"/>
      <c r="J24" s="80"/>
      <c r="K24" s="80"/>
      <c r="L24" s="80"/>
      <c r="M24" s="80"/>
      <c r="N24" s="80"/>
    </row>
    <row r="25" spans="1:14" ht="42" customHeight="1">
      <c r="A25" s="47">
        <v>1</v>
      </c>
      <c r="B25" s="47" t="s">
        <v>690</v>
      </c>
      <c r="C25" s="47" t="s">
        <v>532</v>
      </c>
      <c r="D25" s="47" t="s">
        <v>691</v>
      </c>
      <c r="E25" s="70"/>
      <c r="F25" s="12" t="s">
        <v>402</v>
      </c>
      <c r="G25" s="69" t="str">
        <f>IFERROR(IF(E25="","CHƯA LÀM",IF(ABS(E25-'16_Answer_Key'!C6)&lt;=0.0001,"ĐÚNG","THỬ LẠI")),"THỬ LẠI")</f>
        <v>CHƯA LÀM</v>
      </c>
      <c r="H25" s="47" t="s">
        <v>692</v>
      </c>
      <c r="I25" s="80"/>
      <c r="J25" s="80"/>
      <c r="K25" s="80"/>
      <c r="L25" s="80"/>
      <c r="M25" s="80"/>
      <c r="N25" s="80"/>
    </row>
    <row r="26" spans="1:14" ht="42" customHeight="1">
      <c r="A26" s="48">
        <v>2</v>
      </c>
      <c r="B26" s="48" t="s">
        <v>690</v>
      </c>
      <c r="C26" s="48" t="s">
        <v>546</v>
      </c>
      <c r="D26" s="48" t="s">
        <v>693</v>
      </c>
      <c r="E26" s="70"/>
      <c r="F26" s="13" t="s">
        <v>402</v>
      </c>
      <c r="G26" s="69" t="str">
        <f>IFERROR(IF(E26="","CHƯA LÀM",IF(ABS(E26-'16_Answer_Key'!C7)&lt;=0.0001,"ĐÚNG","THỬ LẠI")),"THỬ LẠI")</f>
        <v>CHƯA LÀM</v>
      </c>
      <c r="H26" s="48" t="s">
        <v>694</v>
      </c>
      <c r="I26" s="80"/>
      <c r="J26" s="80"/>
      <c r="K26" s="80"/>
      <c r="L26" s="80"/>
      <c r="M26" s="80"/>
      <c r="N26" s="80"/>
    </row>
    <row r="27" spans="1:14" ht="42" customHeight="1">
      <c r="A27" s="48">
        <v>3</v>
      </c>
      <c r="B27" s="48" t="s">
        <v>690</v>
      </c>
      <c r="C27" s="48" t="s">
        <v>546</v>
      </c>
      <c r="D27" s="48" t="s">
        <v>695</v>
      </c>
      <c r="E27" s="70"/>
      <c r="F27" s="13" t="s">
        <v>402</v>
      </c>
      <c r="G27" s="69" t="str">
        <f>IFERROR(IF(E27="","CHƯA LÀM",IF(ABS(E27-'16_Answer_Key'!C8)&lt;=0.0001,"ĐÚNG","THỬ LẠI")),"THỬ LẠI")</f>
        <v>CHƯA LÀM</v>
      </c>
      <c r="H27" s="48" t="s">
        <v>696</v>
      </c>
      <c r="I27" s="80"/>
      <c r="J27" s="80"/>
      <c r="K27" s="80"/>
      <c r="L27" s="80"/>
      <c r="M27" s="80"/>
      <c r="N27" s="80"/>
    </row>
    <row r="28" spans="1:14" ht="42" customHeight="1">
      <c r="A28" s="48">
        <v>4</v>
      </c>
      <c r="B28" s="48" t="s">
        <v>690</v>
      </c>
      <c r="C28" s="48" t="s">
        <v>553</v>
      </c>
      <c r="D28" s="48" t="s">
        <v>697</v>
      </c>
      <c r="E28" s="68"/>
      <c r="F28" s="13" t="s">
        <v>698</v>
      </c>
      <c r="G28" s="69" t="str">
        <f>IFERROR(IF(E28="","CHƯA LÀM",IF(E28='16_Answer_Key'!C9,"ĐÚNG","THỬ LẠI")),"THỬ LẠI")</f>
        <v>CHƯA LÀM</v>
      </c>
      <c r="H28" s="48" t="s">
        <v>699</v>
      </c>
      <c r="I28" s="80"/>
      <c r="J28" s="80"/>
      <c r="K28" s="80"/>
      <c r="L28" s="80"/>
      <c r="M28" s="80"/>
      <c r="N28" s="80"/>
    </row>
    <row r="29" spans="1:14" ht="42" customHeight="1">
      <c r="A29" s="48">
        <v>5</v>
      </c>
      <c r="B29" s="48" t="s">
        <v>690</v>
      </c>
      <c r="C29" s="48" t="s">
        <v>700</v>
      </c>
      <c r="D29" s="48" t="s">
        <v>701</v>
      </c>
      <c r="E29" s="68"/>
      <c r="F29" s="13" t="s">
        <v>698</v>
      </c>
      <c r="G29" s="69" t="str">
        <f>IFERROR(IF(E29="","CHƯA LÀM",IF(E29='16_Answer_Key'!C10,"ĐÚNG","THỬ LẠI")),"THỬ LẠI")</f>
        <v>CHƯA LÀM</v>
      </c>
      <c r="H29" s="48" t="s">
        <v>702</v>
      </c>
      <c r="I29" s="80"/>
      <c r="J29" s="80"/>
      <c r="K29" s="80"/>
      <c r="L29" s="80"/>
      <c r="M29" s="80"/>
      <c r="N29" s="80"/>
    </row>
    <row r="30" spans="1:14" ht="42" customHeight="1">
      <c r="A30" s="48">
        <v>6</v>
      </c>
      <c r="B30" s="48" t="s">
        <v>690</v>
      </c>
      <c r="C30" s="48" t="s">
        <v>525</v>
      </c>
      <c r="D30" s="48" t="s">
        <v>703</v>
      </c>
      <c r="E30" s="70"/>
      <c r="F30" s="13" t="s">
        <v>402</v>
      </c>
      <c r="G30" s="69" t="str">
        <f>IFERROR(IF(E30="","CHƯA LÀM",IF(ABS(E30-'16_Answer_Key'!C11)&lt;=0.0001,"ĐÚNG","THỬ LẠI")),"THỬ LẠI")</f>
        <v>CHƯA LÀM</v>
      </c>
      <c r="H30" s="48" t="s">
        <v>704</v>
      </c>
      <c r="I30" s="80"/>
      <c r="J30" s="80"/>
      <c r="K30" s="80"/>
      <c r="L30" s="80"/>
      <c r="M30" s="80"/>
      <c r="N30" s="80"/>
    </row>
    <row r="31" spans="1:14" ht="42" customHeight="1">
      <c r="A31" s="48">
        <v>7</v>
      </c>
      <c r="B31" s="48" t="s">
        <v>705</v>
      </c>
      <c r="C31" s="48" t="s">
        <v>170</v>
      </c>
      <c r="D31" s="48" t="s">
        <v>706</v>
      </c>
      <c r="E31" s="70"/>
      <c r="F31" s="13" t="s">
        <v>402</v>
      </c>
      <c r="G31" s="69" t="str">
        <f>IFERROR(IF(E31="","CHƯA LÀM",IF(ABS(E31-'16_Answer_Key'!C12)&lt;=0.0001,"ĐÚNG","THỬ LẠI")),"THỬ LẠI")</f>
        <v>CHƯA LÀM</v>
      </c>
      <c r="H31" s="48" t="s">
        <v>707</v>
      </c>
      <c r="I31" s="80"/>
      <c r="J31" s="80"/>
      <c r="K31" s="80"/>
      <c r="L31" s="80"/>
      <c r="M31" s="80"/>
      <c r="N31" s="80"/>
    </row>
    <row r="32" spans="1:14" ht="42" customHeight="1">
      <c r="A32" s="48">
        <v>8</v>
      </c>
      <c r="B32" s="48" t="s">
        <v>705</v>
      </c>
      <c r="C32" s="48" t="s">
        <v>171</v>
      </c>
      <c r="D32" s="48" t="s">
        <v>708</v>
      </c>
      <c r="E32" s="71"/>
      <c r="F32" s="13" t="s">
        <v>709</v>
      </c>
      <c r="G32" s="69" t="str">
        <f>IFERROR(IF(E32="","CHƯA LÀM",IF(ABS(E32-'16_Answer_Key'!C13)&lt;=0.0001,"ĐÚNG","THỬ LẠI")),"THỬ LẠI")</f>
        <v>CHƯA LÀM</v>
      </c>
      <c r="H32" s="48" t="s">
        <v>710</v>
      </c>
      <c r="I32" s="80"/>
      <c r="J32" s="80"/>
      <c r="K32" s="80"/>
      <c r="L32" s="80"/>
      <c r="M32" s="80"/>
      <c r="N32" s="80"/>
    </row>
    <row r="33" spans="1:14" ht="42" customHeight="1">
      <c r="A33" s="48">
        <v>9</v>
      </c>
      <c r="B33" s="48" t="s">
        <v>705</v>
      </c>
      <c r="C33" s="48" t="s">
        <v>711</v>
      </c>
      <c r="D33" s="48" t="s">
        <v>712</v>
      </c>
      <c r="E33" s="70"/>
      <c r="F33" s="13" t="s">
        <v>402</v>
      </c>
      <c r="G33" s="69" t="str">
        <f>IFERROR(IF(E33="","CHƯA LÀM",IF(ABS(E33-'16_Answer_Key'!C14)&lt;=0.0001,"ĐÚNG","THỬ LẠI")),"THỬ LẠI")</f>
        <v>CHƯA LÀM</v>
      </c>
      <c r="H33" s="48" t="s">
        <v>713</v>
      </c>
      <c r="I33" s="80"/>
      <c r="J33" s="80"/>
      <c r="K33" s="80"/>
      <c r="L33" s="80"/>
      <c r="M33" s="80"/>
      <c r="N33" s="80"/>
    </row>
    <row r="34" spans="1:14" ht="42" customHeight="1">
      <c r="A34" s="48">
        <v>10</v>
      </c>
      <c r="B34" s="48" t="s">
        <v>705</v>
      </c>
      <c r="C34" s="48" t="s">
        <v>714</v>
      </c>
      <c r="D34" s="48" t="s">
        <v>715</v>
      </c>
      <c r="E34" s="71"/>
      <c r="F34" s="13" t="s">
        <v>709</v>
      </c>
      <c r="G34" s="69" t="str">
        <f>IFERROR(IF(E34="","CHƯA LÀM",IF(ABS(E34-'16_Answer_Key'!C15)&lt;=0.0001,"ĐÚNG","THỬ LẠI")),"THỬ LẠI")</f>
        <v>CHƯA LÀM</v>
      </c>
      <c r="H34" s="48" t="s">
        <v>716</v>
      </c>
      <c r="I34" s="80"/>
      <c r="J34" s="80"/>
      <c r="K34" s="80"/>
      <c r="L34" s="80"/>
      <c r="M34" s="80"/>
      <c r="N34" s="80"/>
    </row>
    <row r="35" spans="1:14" ht="42" customHeight="1">
      <c r="A35" s="48">
        <v>11</v>
      </c>
      <c r="B35" s="48" t="s">
        <v>705</v>
      </c>
      <c r="C35" s="48" t="s">
        <v>717</v>
      </c>
      <c r="D35" s="48" t="s">
        <v>718</v>
      </c>
      <c r="E35" s="68"/>
      <c r="F35" s="13" t="s">
        <v>698</v>
      </c>
      <c r="G35" s="69" t="str">
        <f>IFERROR(IF(E35="","CHƯA LÀM",IF(E35='16_Answer_Key'!C16,"ĐÚNG","THỬ LẠI")),"THỬ LẠI")</f>
        <v>CHƯA LÀM</v>
      </c>
      <c r="H35" s="48" t="s">
        <v>719</v>
      </c>
      <c r="I35" s="80"/>
      <c r="J35" s="80"/>
      <c r="K35" s="80"/>
      <c r="L35" s="80"/>
      <c r="M35" s="80"/>
      <c r="N35" s="80"/>
    </row>
    <row r="36" spans="1:14" ht="42" customHeight="1">
      <c r="A36" s="48">
        <v>12</v>
      </c>
      <c r="B36" s="48" t="s">
        <v>705</v>
      </c>
      <c r="C36" s="48" t="s">
        <v>720</v>
      </c>
      <c r="D36" s="48" t="s">
        <v>721</v>
      </c>
      <c r="E36" s="68"/>
      <c r="F36" s="13" t="s">
        <v>698</v>
      </c>
      <c r="G36" s="69" t="str">
        <f>IFERROR(IF(E36="","CHƯA LÀM",IF(E36='16_Answer_Key'!C17,"ĐÚNG","THỬ LẠI")),"THỬ LẠI")</f>
        <v>CHƯA LÀM</v>
      </c>
      <c r="H36" s="48" t="s">
        <v>722</v>
      </c>
      <c r="I36" s="80"/>
      <c r="J36" s="80"/>
      <c r="K36" s="80"/>
      <c r="L36" s="80"/>
      <c r="M36" s="80"/>
      <c r="N36" s="80"/>
    </row>
    <row r="37" spans="1:14" ht="42" customHeight="1">
      <c r="A37" s="48">
        <v>13</v>
      </c>
      <c r="B37" s="48" t="s">
        <v>278</v>
      </c>
      <c r="C37" s="48" t="s">
        <v>723</v>
      </c>
      <c r="D37" s="48" t="s">
        <v>724</v>
      </c>
      <c r="E37" s="71"/>
      <c r="F37" s="13" t="s">
        <v>709</v>
      </c>
      <c r="G37" s="69" t="str">
        <f>IFERROR(IF(E37="","CHƯA LÀM",IF(ABS(E37-'16_Answer_Key'!C18)&lt;=0.0001,"ĐÚNG","THỬ LẠI")),"THỬ LẠI")</f>
        <v>CHƯA LÀM</v>
      </c>
      <c r="H37" s="48" t="s">
        <v>725</v>
      </c>
      <c r="I37" s="80"/>
      <c r="J37" s="80"/>
      <c r="K37" s="80"/>
      <c r="L37" s="80"/>
      <c r="M37" s="80"/>
      <c r="N37" s="80"/>
    </row>
    <row r="38" spans="1:14" ht="42" customHeight="1">
      <c r="A38" s="48">
        <v>14</v>
      </c>
      <c r="B38" s="48" t="s">
        <v>278</v>
      </c>
      <c r="C38" s="48" t="s">
        <v>726</v>
      </c>
      <c r="D38" s="48" t="s">
        <v>727</v>
      </c>
      <c r="E38" s="70"/>
      <c r="F38" s="13" t="s">
        <v>402</v>
      </c>
      <c r="G38" s="69" t="str">
        <f>IFERROR(IF(E38="","CHƯA LÀM",IF(ABS(E38-'16_Answer_Key'!C19)&lt;=0.0001,"ĐÚNG","THỬ LẠI")),"THỬ LẠI")</f>
        <v>CHƯA LÀM</v>
      </c>
      <c r="H38" s="48" t="s">
        <v>728</v>
      </c>
      <c r="I38" s="80"/>
      <c r="J38" s="80"/>
      <c r="K38" s="80"/>
      <c r="L38" s="80"/>
      <c r="M38" s="80"/>
      <c r="N38" s="80"/>
    </row>
    <row r="39" spans="1:14" ht="42" customHeight="1">
      <c r="A39" s="48">
        <v>15</v>
      </c>
      <c r="B39" s="48" t="s">
        <v>278</v>
      </c>
      <c r="C39" s="48" t="s">
        <v>617</v>
      </c>
      <c r="D39" s="48" t="s">
        <v>729</v>
      </c>
      <c r="E39" s="70"/>
      <c r="F39" s="13" t="s">
        <v>402</v>
      </c>
      <c r="G39" s="69" t="str">
        <f>IFERROR(IF(E39="","CHƯA LÀM",IF(ABS(E39-'16_Answer_Key'!C20)&lt;=0.0001,"ĐÚNG","THỬ LẠI")),"THỬ LẠI")</f>
        <v>CHƯA LÀM</v>
      </c>
      <c r="H39" s="48" t="s">
        <v>730</v>
      </c>
      <c r="I39" s="80"/>
      <c r="J39" s="80"/>
      <c r="K39" s="80"/>
      <c r="L39" s="80"/>
      <c r="M39" s="80"/>
      <c r="N39" s="80"/>
    </row>
    <row r="40" spans="1:14" ht="42" customHeight="1">
      <c r="A40" s="48">
        <v>16</v>
      </c>
      <c r="B40" s="48" t="s">
        <v>731</v>
      </c>
      <c r="C40" s="48" t="s">
        <v>732</v>
      </c>
      <c r="D40" s="48" t="s">
        <v>733</v>
      </c>
      <c r="E40" s="72"/>
      <c r="F40" s="13" t="s">
        <v>734</v>
      </c>
      <c r="G40" s="69" t="str">
        <f>IFERROR(IF(E40="","CHƯA LÀM",IF(ABS(E40-'16_Answer_Key'!C21)&lt;=0.0001,"ĐÚNG","THỬ LẠI")),"THỬ LẠI")</f>
        <v>CHƯA LÀM</v>
      </c>
      <c r="H40" s="48" t="s">
        <v>735</v>
      </c>
      <c r="I40" s="80"/>
      <c r="J40" s="80"/>
      <c r="K40" s="80"/>
      <c r="L40" s="80"/>
      <c r="M40" s="80"/>
      <c r="N40" s="80"/>
    </row>
    <row r="41" spans="1:14" ht="42" customHeight="1">
      <c r="A41" s="48">
        <v>17</v>
      </c>
      <c r="B41" s="48" t="s">
        <v>731</v>
      </c>
      <c r="C41" s="48" t="s">
        <v>736</v>
      </c>
      <c r="D41" s="48" t="s">
        <v>737</v>
      </c>
      <c r="E41" s="70"/>
      <c r="F41" s="13" t="s">
        <v>402</v>
      </c>
      <c r="G41" s="69" t="str">
        <f>IFERROR(IF(E41="","CHƯA LÀM",IF(ABS(E41-'16_Answer_Key'!C22)&lt;=0.0001,"ĐÚNG","THỬ LẠI")),"THỬ LẠI")</f>
        <v>CHƯA LÀM</v>
      </c>
      <c r="H41" s="48" t="s">
        <v>738</v>
      </c>
      <c r="I41" s="80"/>
      <c r="J41" s="80"/>
      <c r="K41" s="80"/>
      <c r="L41" s="80"/>
      <c r="M41" s="80"/>
      <c r="N41" s="80"/>
    </row>
    <row r="42" spans="1:14" ht="42" customHeight="1">
      <c r="A42" s="48">
        <v>18</v>
      </c>
      <c r="B42" s="48" t="s">
        <v>739</v>
      </c>
      <c r="C42" s="48" t="s">
        <v>628</v>
      </c>
      <c r="D42" s="48" t="s">
        <v>740</v>
      </c>
      <c r="E42" s="68"/>
      <c r="F42" s="13" t="s">
        <v>698</v>
      </c>
      <c r="G42" s="69" t="str">
        <f>IFERROR(IF(E42="","CHƯA LÀM",IF(E42='16_Answer_Key'!C23,"ĐÚNG","THỬ LẠI")),"THỬ LẠI")</f>
        <v>CHƯA LÀM</v>
      </c>
      <c r="H42" s="48" t="s">
        <v>741</v>
      </c>
      <c r="I42" s="80"/>
      <c r="J42" s="80"/>
      <c r="K42" s="80"/>
      <c r="L42" s="80"/>
      <c r="M42" s="80"/>
      <c r="N42" s="80"/>
    </row>
    <row r="43" spans="1:14" ht="42" customHeight="1">
      <c r="A43" s="49">
        <v>19</v>
      </c>
      <c r="B43" s="49" t="s">
        <v>739</v>
      </c>
      <c r="C43" s="49" t="s">
        <v>742</v>
      </c>
      <c r="D43" s="49" t="s">
        <v>743</v>
      </c>
      <c r="E43" s="73"/>
      <c r="F43" s="14" t="s">
        <v>744</v>
      </c>
      <c r="G43" s="69" t="str">
        <f>IFERROR(IF(E43="","CHƯA LÀM",IF(ABS(E43-'16_Answer_Key'!C24)&lt;=0.0001,"ĐÚNG","THỬ LẠI")),"THỬ LẠI")</f>
        <v>CHƯA LÀM</v>
      </c>
      <c r="H43" s="49" t="s">
        <v>745</v>
      </c>
      <c r="I43" s="80"/>
      <c r="J43" s="80"/>
      <c r="K43" s="80"/>
      <c r="L43" s="80"/>
      <c r="M43" s="80"/>
      <c r="N43" s="80"/>
    </row>
    <row r="44" spans="1:1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</row>
    <row r="45" spans="1:14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</row>
    <row r="46" spans="1:14" ht="21.95" customHeight="1">
      <c r="A46" s="105" t="s">
        <v>746</v>
      </c>
      <c r="B46" s="105" t="s">
        <v>746</v>
      </c>
      <c r="C46" s="105" t="s">
        <v>746</v>
      </c>
      <c r="D46" s="105" t="s">
        <v>746</v>
      </c>
      <c r="E46" s="105" t="s">
        <v>746</v>
      </c>
      <c r="F46" s="105" t="s">
        <v>746</v>
      </c>
      <c r="G46" s="105" t="s">
        <v>746</v>
      </c>
      <c r="H46" s="105" t="s">
        <v>746</v>
      </c>
      <c r="I46" s="80"/>
      <c r="J46" s="80"/>
      <c r="K46" s="80"/>
      <c r="L46" s="80"/>
      <c r="M46" s="80"/>
      <c r="N46" s="80"/>
    </row>
    <row r="47" spans="1:14" ht="30" customHeight="1">
      <c r="A47" s="11" t="s">
        <v>682</v>
      </c>
      <c r="B47" s="11" t="s">
        <v>684</v>
      </c>
      <c r="C47" s="11" t="s">
        <v>747</v>
      </c>
      <c r="D47" s="11" t="s">
        <v>748</v>
      </c>
      <c r="E47" s="11" t="s">
        <v>749</v>
      </c>
      <c r="F47" s="80"/>
      <c r="G47" s="80"/>
      <c r="H47" s="80"/>
      <c r="I47" s="80"/>
      <c r="J47" s="80"/>
      <c r="K47" s="80"/>
      <c r="L47" s="80"/>
      <c r="M47" s="80"/>
      <c r="N47" s="80"/>
    </row>
    <row r="48" spans="1:14" ht="38.1" customHeight="1">
      <c r="A48" s="12">
        <v>1</v>
      </c>
      <c r="B48" s="47" t="s">
        <v>635</v>
      </c>
      <c r="C48" s="47" t="s">
        <v>750</v>
      </c>
      <c r="D48" s="47" t="s">
        <v>751</v>
      </c>
      <c r="E48" s="74" t="s">
        <v>752</v>
      </c>
      <c r="F48" s="80"/>
      <c r="G48" s="80"/>
      <c r="H48" s="80"/>
      <c r="I48" s="80"/>
      <c r="J48" s="80"/>
      <c r="K48" s="80"/>
      <c r="L48" s="80"/>
      <c r="M48" s="80"/>
      <c r="N48" s="80"/>
    </row>
    <row r="49" spans="1:14" ht="38.1" customHeight="1">
      <c r="A49" s="13">
        <v>2</v>
      </c>
      <c r="B49" s="48" t="s">
        <v>640</v>
      </c>
      <c r="C49" s="48" t="s">
        <v>753</v>
      </c>
      <c r="D49" s="48" t="s">
        <v>754</v>
      </c>
      <c r="E49" s="74" t="s">
        <v>752</v>
      </c>
      <c r="F49" s="80"/>
      <c r="G49" s="80"/>
      <c r="H49" s="80"/>
      <c r="I49" s="80"/>
      <c r="J49" s="80"/>
      <c r="K49" s="80"/>
      <c r="L49" s="80"/>
      <c r="M49" s="80"/>
      <c r="N49" s="80"/>
    </row>
    <row r="50" spans="1:14" ht="38.1" customHeight="1">
      <c r="A50" s="13">
        <v>3</v>
      </c>
      <c r="B50" s="48" t="s">
        <v>647</v>
      </c>
      <c r="C50" s="48" t="s">
        <v>755</v>
      </c>
      <c r="D50" s="48" t="s">
        <v>756</v>
      </c>
      <c r="E50" s="74" t="s">
        <v>752</v>
      </c>
      <c r="F50" s="80"/>
      <c r="G50" s="80"/>
      <c r="H50" s="80"/>
      <c r="I50" s="80"/>
      <c r="J50" s="80"/>
      <c r="K50" s="80"/>
      <c r="L50" s="80"/>
      <c r="M50" s="80"/>
      <c r="N50" s="80"/>
    </row>
    <row r="51" spans="1:14" ht="38.1" customHeight="1">
      <c r="A51" s="13">
        <v>4</v>
      </c>
      <c r="B51" s="48" t="s">
        <v>757</v>
      </c>
      <c r="C51" s="48" t="s">
        <v>758</v>
      </c>
      <c r="D51" s="48" t="s">
        <v>759</v>
      </c>
      <c r="E51" s="74" t="s">
        <v>752</v>
      </c>
      <c r="F51" s="80"/>
      <c r="G51" s="80"/>
      <c r="H51" s="80"/>
      <c r="I51" s="80"/>
      <c r="J51" s="80"/>
      <c r="K51" s="80"/>
      <c r="L51" s="80"/>
      <c r="M51" s="80"/>
      <c r="N51" s="80"/>
    </row>
    <row r="52" spans="1:14" ht="38.1" customHeight="1">
      <c r="A52" s="14">
        <v>5</v>
      </c>
      <c r="B52" s="49" t="s">
        <v>760</v>
      </c>
      <c r="C52" s="49" t="s">
        <v>761</v>
      </c>
      <c r="D52" s="49" t="s">
        <v>762</v>
      </c>
      <c r="E52" s="74" t="s">
        <v>752</v>
      </c>
      <c r="F52" s="80"/>
      <c r="G52" s="80"/>
      <c r="H52" s="80"/>
      <c r="I52" s="80"/>
      <c r="J52" s="80"/>
      <c r="K52" s="80"/>
      <c r="L52" s="80"/>
      <c r="M52" s="80"/>
      <c r="N52" s="80"/>
    </row>
  </sheetData>
  <mergeCells count="8">
    <mergeCell ref="H12:J12"/>
    <mergeCell ref="A23:G23"/>
    <mergeCell ref="A46:H46"/>
    <mergeCell ref="A1:N1"/>
    <mergeCell ref="A2:N2"/>
    <mergeCell ref="A5:D5"/>
    <mergeCell ref="H5:J5"/>
    <mergeCell ref="L5:N5"/>
  </mergeCells>
  <conditionalFormatting sqref="E48:E52">
    <cfRule type="expression" dxfId="3" priority="4">
      <formula>E48="Đã làm"</formula>
    </cfRule>
  </conditionalFormatting>
  <conditionalFormatting sqref="G25:G43">
    <cfRule type="expression" dxfId="2" priority="1">
      <formula>G25="ĐÚNG"</formula>
    </cfRule>
    <cfRule type="expression" dxfId="1" priority="2">
      <formula>G25="THỬ LẠI"</formula>
    </cfRule>
    <cfRule type="expression" dxfId="0" priority="3">
      <formula>G25="CHƯA LÀM"</formula>
    </cfRule>
  </conditionalFormatting>
  <dataValidations count="2">
    <dataValidation type="list" sqref="B3" xr:uid="{00000000-0002-0000-1100-000000000000}">
      <formula1>"Bear,Base,Bull"</formula1>
    </dataValidation>
    <dataValidation type="list" sqref="E48:E52" xr:uid="{00000000-0002-0000-1100-000001000000}">
      <formula1>"Chưa làm,Đã làm"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4"/>
  <sheetViews>
    <sheetView showGridLines="0" workbookViewId="0"/>
  </sheetViews>
  <sheetFormatPr defaultRowHeight="14.25"/>
  <cols>
    <col min="1" max="1" width="7" customWidth="1"/>
    <col min="2" max="2" width="57" customWidth="1"/>
    <col min="3" max="3" width="18" customWidth="1"/>
    <col min="4" max="4" width="45" customWidth="1"/>
    <col min="5" max="5" width="38" customWidth="1"/>
    <col min="6" max="6" width="30" customWidth="1"/>
  </cols>
  <sheetData>
    <row r="1" spans="1:6" ht="30" customHeight="1">
      <c r="A1" s="115" t="s">
        <v>763</v>
      </c>
      <c r="B1" s="115" t="s">
        <v>763</v>
      </c>
      <c r="C1" s="115" t="s">
        <v>763</v>
      </c>
      <c r="D1" s="115" t="s">
        <v>763</v>
      </c>
      <c r="E1" s="115" t="s">
        <v>763</v>
      </c>
      <c r="F1" s="115" t="s">
        <v>763</v>
      </c>
    </row>
    <row r="2" spans="1:6" ht="33.950000000000003" customHeight="1">
      <c r="A2" s="116" t="s">
        <v>764</v>
      </c>
      <c r="B2" s="116" t="s">
        <v>764</v>
      </c>
      <c r="C2" s="116" t="s">
        <v>764</v>
      </c>
      <c r="D2" s="116" t="s">
        <v>764</v>
      </c>
      <c r="E2" s="116" t="s">
        <v>764</v>
      </c>
      <c r="F2" s="116" t="s">
        <v>764</v>
      </c>
    </row>
    <row r="3" spans="1:6">
      <c r="A3" s="168" t="s">
        <v>765</v>
      </c>
      <c r="B3" s="169" t="s">
        <v>765</v>
      </c>
      <c r="C3" s="169" t="s">
        <v>765</v>
      </c>
      <c r="D3" s="169" t="s">
        <v>765</v>
      </c>
      <c r="E3" s="169" t="s">
        <v>765</v>
      </c>
      <c r="F3" s="170" t="s">
        <v>765</v>
      </c>
    </row>
    <row r="4" spans="1:6">
      <c r="A4" s="80"/>
      <c r="B4" s="80"/>
      <c r="C4" s="80"/>
      <c r="D4" s="80"/>
      <c r="E4" s="80"/>
      <c r="F4" s="80"/>
    </row>
    <row r="5" spans="1:6" ht="30" customHeight="1">
      <c r="A5" s="11" t="s">
        <v>682</v>
      </c>
      <c r="B5" s="11" t="s">
        <v>766</v>
      </c>
      <c r="C5" s="11" t="s">
        <v>767</v>
      </c>
      <c r="D5" s="11" t="s">
        <v>768</v>
      </c>
      <c r="E5" s="11" t="s">
        <v>769</v>
      </c>
      <c r="F5" s="11" t="s">
        <v>770</v>
      </c>
    </row>
    <row r="6" spans="1:6" ht="54" customHeight="1">
      <c r="A6" s="12">
        <v>1</v>
      </c>
      <c r="B6" s="47" t="s">
        <v>771</v>
      </c>
      <c r="C6" s="76">
        <f>SUM('15_Practice_Lab'!$D$7:$D$14)</f>
        <v>850</v>
      </c>
      <c r="D6" s="47" t="s">
        <v>772</v>
      </c>
      <c r="E6" s="47" t="s">
        <v>773</v>
      </c>
      <c r="F6" s="47" t="s">
        <v>774</v>
      </c>
    </row>
    <row r="7" spans="1:6" ht="54" customHeight="1">
      <c r="A7" s="13">
        <v>2</v>
      </c>
      <c r="B7" s="48" t="s">
        <v>775</v>
      </c>
      <c r="C7" s="76">
        <f>SUMIFS('15_Practice_Lab'!$D$7:$D$14,'15_Practice_Lab'!$B$7:$B$14,"TGDĐ",'15_Practice_Lab'!$C$7:$C$14,"REV")</f>
        <v>1200</v>
      </c>
      <c r="D7" s="48" t="s">
        <v>776</v>
      </c>
      <c r="E7" s="48" t="s">
        <v>777</v>
      </c>
      <c r="F7" s="48" t="s">
        <v>778</v>
      </c>
    </row>
    <row r="8" spans="1:6" ht="54" customHeight="1">
      <c r="A8" s="13">
        <v>3</v>
      </c>
      <c r="B8" s="48" t="s">
        <v>779</v>
      </c>
      <c r="C8" s="76">
        <f>SUMIFS('15_Practice_Lab'!$D$7:$D$14,'15_Practice_Lab'!$C$7:$C$14,"REV")</f>
        <v>4500</v>
      </c>
      <c r="D8" s="48" t="s">
        <v>780</v>
      </c>
      <c r="E8" s="48" t="s">
        <v>781</v>
      </c>
      <c r="F8" s="48" t="s">
        <v>782</v>
      </c>
    </row>
    <row r="9" spans="1:6" ht="54" customHeight="1">
      <c r="A9" s="13">
        <v>4</v>
      </c>
      <c r="B9" s="48" t="s">
        <v>783</v>
      </c>
      <c r="C9" s="75" t="str">
        <f>_xlfn.XLOOKUP("REV",'15_Practice_Lab'!$H$7:$H$10,'15_Practice_Lab'!$I$7:$I$10,"Unmapped",0)</f>
        <v>Revenue</v>
      </c>
      <c r="D9" s="48" t="s">
        <v>784</v>
      </c>
      <c r="E9" s="48" t="s">
        <v>785</v>
      </c>
      <c r="F9" s="48" t="s">
        <v>786</v>
      </c>
    </row>
    <row r="10" spans="1:6" ht="54" customHeight="1">
      <c r="A10" s="13">
        <v>5</v>
      </c>
      <c r="B10" s="48" t="s">
        <v>787</v>
      </c>
      <c r="C10" s="75" t="str">
        <f>IFERROR(_xlfn.XLOOKUP("TAX",'15_Practice_Lab'!$H$7:$H$10,'15_Practice_Lab'!$I$7:$I$10),"Unmapped")</f>
        <v>Unmapped</v>
      </c>
      <c r="D10" s="48" t="s">
        <v>788</v>
      </c>
      <c r="E10" s="48" t="s">
        <v>789</v>
      </c>
      <c r="F10" s="48" t="s">
        <v>790</v>
      </c>
    </row>
    <row r="11" spans="1:6" ht="54" customHeight="1">
      <c r="A11" s="13">
        <v>6</v>
      </c>
      <c r="B11" s="48" t="s">
        <v>527</v>
      </c>
      <c r="C11" s="76">
        <f>'05_Monthly_P&amp;L'!O7</f>
        <v>155928.14561936699</v>
      </c>
      <c r="D11" s="48" t="s">
        <v>791</v>
      </c>
      <c r="E11" s="48" t="s">
        <v>792</v>
      </c>
      <c r="F11" s="48" t="s">
        <v>793</v>
      </c>
    </row>
    <row r="12" spans="1:6" ht="54" customHeight="1">
      <c r="A12" s="13">
        <v>7</v>
      </c>
      <c r="B12" s="48" t="s">
        <v>794</v>
      </c>
      <c r="C12" s="76">
        <f>'15_Practice_Lab'!$I$15+'15_Practice_Lab'!$I$16</f>
        <v>1150</v>
      </c>
      <c r="D12" s="48" t="s">
        <v>795</v>
      </c>
      <c r="E12" s="48" t="s">
        <v>796</v>
      </c>
      <c r="F12" s="48" t="s">
        <v>797</v>
      </c>
    </row>
    <row r="13" spans="1:6" ht="54" customHeight="1">
      <c r="A13" s="13">
        <v>8</v>
      </c>
      <c r="B13" s="48" t="s">
        <v>798</v>
      </c>
      <c r="C13" s="77">
        <f>IFERROR(C12/'15_Practice_Lab'!$I$15,0)</f>
        <v>0.25555555555555554</v>
      </c>
      <c r="D13" s="48" t="s">
        <v>799</v>
      </c>
      <c r="E13" s="48" t="s">
        <v>800</v>
      </c>
      <c r="F13" s="48" t="s">
        <v>171</v>
      </c>
    </row>
    <row r="14" spans="1:6" ht="54" customHeight="1">
      <c r="A14" s="13">
        <v>9</v>
      </c>
      <c r="B14" s="48" t="s">
        <v>801</v>
      </c>
      <c r="C14" s="76">
        <f>'15_Practice_Lab'!$I$14-'15_Practice_Lab'!$I$13</f>
        <v>200</v>
      </c>
      <c r="D14" s="48" t="s">
        <v>802</v>
      </c>
      <c r="E14" s="48" t="s">
        <v>803</v>
      </c>
      <c r="F14" s="48" t="s">
        <v>711</v>
      </c>
    </row>
    <row r="15" spans="1:6" ht="54" customHeight="1">
      <c r="A15" s="13">
        <v>10</v>
      </c>
      <c r="B15" s="48" t="s">
        <v>804</v>
      </c>
      <c r="C15" s="77">
        <f>IFERROR(C14/ABS('15_Practice_Lab'!$I$13),0)</f>
        <v>4.6511627906976744E-2</v>
      </c>
      <c r="D15" s="48" t="s">
        <v>805</v>
      </c>
      <c r="E15" s="48" t="s">
        <v>806</v>
      </c>
      <c r="F15" s="48" t="s">
        <v>714</v>
      </c>
    </row>
    <row r="16" spans="1:6" ht="54" customHeight="1">
      <c r="A16" s="13">
        <v>11</v>
      </c>
      <c r="B16" s="48" t="s">
        <v>807</v>
      </c>
      <c r="C16" s="75" t="str">
        <f>IF(C14&gt;=0,"F","U")</f>
        <v>F</v>
      </c>
      <c r="D16" s="48" t="s">
        <v>808</v>
      </c>
      <c r="E16" s="48" t="s">
        <v>809</v>
      </c>
      <c r="F16" s="48" t="s">
        <v>810</v>
      </c>
    </row>
    <row r="17" spans="1:6" ht="54" customHeight="1">
      <c r="A17" s="13">
        <v>12</v>
      </c>
      <c r="B17" s="48" t="s">
        <v>811</v>
      </c>
      <c r="C17" s="75" t="str">
        <f>IF(('15_Practice_Lab'!$I$16-'15_Practice_Lab'!$I$17)*-1&gt;=0,"F","U")</f>
        <v>F</v>
      </c>
      <c r="D17" s="48" t="s">
        <v>812</v>
      </c>
      <c r="E17" s="48" t="s">
        <v>813</v>
      </c>
      <c r="F17" s="48" t="s">
        <v>814</v>
      </c>
    </row>
    <row r="18" spans="1:6" ht="54" customHeight="1">
      <c r="A18" s="13">
        <v>13</v>
      </c>
      <c r="B18" s="48" t="s">
        <v>815</v>
      </c>
      <c r="C18" s="77">
        <f>_xlfn.XLOOKUP('15_Practice_Lab'!$B$3,'15_Practice_Lab'!$L$7:$L$9,'15_Practice_Lab'!$M$7:$M$9)</f>
        <v>0</v>
      </c>
      <c r="D18" s="48" t="s">
        <v>816</v>
      </c>
      <c r="E18" s="48" t="s">
        <v>817</v>
      </c>
      <c r="F18" s="48" t="s">
        <v>818</v>
      </c>
    </row>
    <row r="19" spans="1:6" ht="54" customHeight="1">
      <c r="A19" s="13">
        <v>14</v>
      </c>
      <c r="B19" s="48" t="s">
        <v>819</v>
      </c>
      <c r="C19" s="76">
        <f>'15_Practice_Lab'!$I$15*(1+C18)</f>
        <v>4500</v>
      </c>
      <c r="D19" s="48" t="s">
        <v>820</v>
      </c>
      <c r="E19" s="48" t="s">
        <v>821</v>
      </c>
      <c r="F19" s="48" t="s">
        <v>726</v>
      </c>
    </row>
    <row r="20" spans="1:6" ht="54" customHeight="1">
      <c r="A20" s="13">
        <v>15</v>
      </c>
      <c r="B20" s="48" t="s">
        <v>822</v>
      </c>
      <c r="C20" s="76">
        <f>'15_Practice_Lab'!$I$20+'15_Practice_Lab'!$I$21</f>
        <v>4700</v>
      </c>
      <c r="D20" s="48" t="s">
        <v>823</v>
      </c>
      <c r="E20" s="48" t="s">
        <v>824</v>
      </c>
      <c r="F20" s="48" t="s">
        <v>259</v>
      </c>
    </row>
    <row r="21" spans="1:6" ht="54" customHeight="1">
      <c r="A21" s="13">
        <v>16</v>
      </c>
      <c r="B21" s="48" t="s">
        <v>825</v>
      </c>
      <c r="C21" s="78">
        <f>IFERROR('15_Practice_Lab'!$I$18/'15_Practice_Lab'!$I$15*365,0)</f>
        <v>32.444444444444443</v>
      </c>
      <c r="D21" s="48" t="s">
        <v>826</v>
      </c>
      <c r="E21" s="48" t="s">
        <v>827</v>
      </c>
      <c r="F21" s="48" t="s">
        <v>828</v>
      </c>
    </row>
    <row r="22" spans="1:6" ht="54" customHeight="1">
      <c r="A22" s="13">
        <v>17</v>
      </c>
      <c r="B22" s="48" t="s">
        <v>829</v>
      </c>
      <c r="C22" s="76">
        <f>'15_Practice_Lab'!$I$18+'15_Practice_Lab'!$I$19-'15_Practice_Lab'!$I$22</f>
        <v>950</v>
      </c>
      <c r="D22" s="48" t="s">
        <v>830</v>
      </c>
      <c r="E22" s="48" t="s">
        <v>831</v>
      </c>
      <c r="F22" s="48" t="s">
        <v>832</v>
      </c>
    </row>
    <row r="23" spans="1:6" ht="54" customHeight="1">
      <c r="A23" s="13">
        <v>18</v>
      </c>
      <c r="B23" s="48" t="s">
        <v>833</v>
      </c>
      <c r="C23" s="75" t="str">
        <f>IF(ABS(C8-'15_Practice_Lab'!$I$15)&lt;='15_Practice_Lab'!$I$23,"PASS","FAIL")</f>
        <v>PASS</v>
      </c>
      <c r="D23" s="48" t="s">
        <v>834</v>
      </c>
      <c r="E23" s="48" t="s">
        <v>835</v>
      </c>
      <c r="F23" s="48" t="s">
        <v>744</v>
      </c>
    </row>
    <row r="24" spans="1:6" ht="54" customHeight="1">
      <c r="A24" s="14">
        <v>19</v>
      </c>
      <c r="B24" s="49" t="s">
        <v>836</v>
      </c>
      <c r="C24" s="79">
        <f>COUNTIF('10_Checks'!$F$6:$F$21,"PASS")</f>
        <v>16</v>
      </c>
      <c r="D24" s="49" t="s">
        <v>837</v>
      </c>
      <c r="E24" s="49" t="s">
        <v>838</v>
      </c>
      <c r="F24" s="49" t="s">
        <v>839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1DC78-5F59-4059-BC9A-30E0892F9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00_Read_Me</vt:lpstr>
      <vt:lpstr>01_Raw_Actual</vt:lpstr>
      <vt:lpstr>02_Raw_Budget</vt:lpstr>
      <vt:lpstr>03_Master_Data</vt:lpstr>
      <vt:lpstr>04_Account_Mapping</vt:lpstr>
      <vt:lpstr>05_Monthly_P&amp;L</vt:lpstr>
      <vt:lpstr>05A_YoY_Analysis</vt:lpstr>
      <vt:lpstr>06_Variance_Analysis</vt:lpstr>
      <vt:lpstr>07_Rolling_Forecast</vt:lpstr>
      <vt:lpstr>07A_Forecast_Variance</vt:lpstr>
      <vt:lpstr>08_Working_Capital</vt:lpstr>
      <vt:lpstr>09_Management_Dashboard</vt:lpstr>
      <vt:lpstr>10_Checks</vt:lpstr>
      <vt:lpstr>11_Sources</vt:lpstr>
      <vt:lpstr>12_Pivot_Source</vt:lpstr>
      <vt:lpstr>13_Query_M_Code</vt:lpstr>
      <vt:lpstr>14_Formula_Guide</vt:lpstr>
      <vt:lpstr>15_Practice_Lab</vt:lpstr>
      <vt:lpstr>16_Answer_Key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NGHIA LE HOANG</cp:lastModifiedBy>
  <dcterms:created xsi:type="dcterms:W3CDTF">2026-07-28T07:30:11Z</dcterms:created>
  <dcterms:modified xsi:type="dcterms:W3CDTF">2026-07-28T07:30:59Z</dcterms:modified>
</cp:coreProperties>
</file>